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bceea0aed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39edca13dca147c4"/>
    <x:sheet xmlns:r="http://schemas.openxmlformats.org/officeDocument/2006/relationships" name="축 검증" sheetId="2" r:id="Rb941d7125f9b4d24"/>
    <x:sheet xmlns:r="http://schemas.openxmlformats.org/officeDocument/2006/relationships" name="공식·설정" sheetId="3" r:id="R972046b8e49c403d"/>
    <x:sheet xmlns:r="http://schemas.openxmlformats.org/officeDocument/2006/relationships" name="LUT 원본" sheetId="4" r:id="Rfb3abdb713274e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0"/>
    <x:numFmt numFmtId="202" formatCode="0.0000%"/>
    <x:numFmt numFmtId="203" formatCode="@"/>
  </x:numFmts>
  <x:fonts count="7">
    <x:font>
      <x:sz val="11"/>
      <x:name val="Carlito"/>
    </x:font>
    <x:font>
      <x:b/>
      <x:sz val="14"/>
      <x:color rgb="FF18324A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i/>
      <x:sz val="10"/>
      <x:color rgb="FF666666"/>
      <x:name val="Arial"/>
    </x:font>
    <x:font>
      <x:b/>
      <x:sz val="12"/>
      <x:color rgb="FF1F1F1F"/>
      <x:name val="Arial"/>
    </x:font>
    <x:font>
      <x:b/>
      <x:sz val="10"/>
      <x:color rgb="FF18324A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666666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  <x:fill>
      <x:patternFill patternType="solid">
        <x:fgColor rgb="FF008C95"/>
      </x:patternFill>
    </x:fill>
    <x:fill>
      <x:patternFill patternType="solid">
        <x:fgColor rgb="FF18324A"/>
      </x:patternFill>
    </x:fill>
    <x:fill>
      <x:patternFill patternType="solid">
        <x:fgColor rgb="FFDCE6F1"/>
      </x:patternFill>
    </x:fill>
  </x:fills>
  <x:borders count="22">
    <x:border/>
    <x:border>
      <x:right style="thin">
        <x:color rgb="FFFFFFFF"/>
      </x:right>
      <x:bottom style="medium">
        <x:color rgb="FF666666"/>
      </x:bottom>
    </x:border>
    <x:border>
      <x:left style="thin">
        <x:color rgb="FFFFFFFF"/>
      </x:left>
      <x:right style="thin">
        <x:color rgb="FFFFFFFF"/>
      </x:right>
      <x:bottom style="medium">
        <x:color rgb="FF666666"/>
      </x:bottom>
    </x:border>
    <x:border>
      <x:left style="thin">
        <x:color rgb="FFFFFFFF"/>
      </x:left>
      <x:bottom style="medium">
        <x:color rgb="FF666666"/>
      </x:bottom>
    </x:border>
    <x:border>
      <x:right style="thin">
        <x:color rgb="FFFFFFFF"/>
      </x:right>
      <x:bottom style="medium">
        <x:color rgb="FF2F5597"/>
      </x:bottom>
    </x:border>
    <x:border>
      <x:left style="thin">
        <x:color rgb="FFFFFFFF"/>
      </x:left>
      <x:right style="thin">
        <x:color rgb="FFFFFFFF"/>
      </x:right>
      <x:bottom style="medium">
        <x:color rgb="FF2F5597"/>
      </x:bottom>
    </x:border>
    <x:border>
      <x:left style="thin">
        <x:color rgb="FFFFFFFF"/>
      </x:left>
      <x:bottom style="medium">
        <x:color rgb="FF2F5597"/>
      </x:bottom>
    </x:border>
    <x:border>
      <x:right style="thin">
        <x:color rgb="FFFFFFFF"/>
      </x:right>
      <x:bottom style="medium">
        <x:color rgb="FF548235"/>
      </x:bottom>
    </x:border>
    <x:border>
      <x:left style="thin">
        <x:color rgb="FFFFFFFF"/>
      </x:left>
      <x:right style="thin">
        <x:color rgb="FFFFFFFF"/>
      </x:right>
      <x:bottom style="medium">
        <x:color rgb="FF548235"/>
      </x:bottom>
    </x:border>
    <x:border>
      <x:left style="thin">
        <x:color rgb="FFFFFFFF"/>
      </x:left>
      <x:bottom style="medium">
        <x:color rgb="FF548235"/>
      </x:bottom>
    </x:border>
    <x:border>
      <x:right style="thin">
        <x:color rgb="FFFFFFFF"/>
      </x:right>
      <x:bottom style="medium">
        <x:color rgb="FFC65911"/>
      </x:bottom>
    </x:border>
    <x:border>
      <x:left style="thin">
        <x:color rgb="FFFFFFFF"/>
      </x:left>
      <x:right style="thin">
        <x:color rgb="FFFFFFFF"/>
      </x:right>
      <x:bottom style="medium">
        <x:color rgb="FFC65911"/>
      </x:bottom>
    </x:border>
    <x:border>
      <x:left style="thin">
        <x:color rgb="FFFFFFFF"/>
      </x:left>
      <x:bottom style="medium">
        <x:color rgb="FFC65911"/>
      </x:bottom>
    </x:border>
    <x:border>
      <x:right style="thin">
        <x:color rgb="FFFFFFFF"/>
      </x:right>
      <x:bottom style="medium">
        <x:color rgb="FF7030A0"/>
      </x:bottom>
    </x:border>
    <x:border>
      <x:left style="thin">
        <x:color rgb="FFFFFFFF"/>
      </x:left>
      <x:right style="thin">
        <x:color rgb="FFFFFFFF"/>
      </x:right>
      <x:bottom style="medium">
        <x:color rgb="FF7030A0"/>
      </x:bottom>
    </x:border>
    <x:border>
      <x:left style="thin">
        <x:color rgb="FFFFFFFF"/>
      </x:left>
      <x:bottom style="medium">
        <x:color rgb="FF7030A0"/>
      </x:bottom>
    </x:border>
    <x:border>
      <x:right style="thin">
        <x:color rgb="FFFFFFFF"/>
      </x:right>
      <x:bottom style="medium">
        <x:color rgb="FF008C95"/>
      </x:bottom>
    </x:border>
    <x:border>
      <x:left style="thin">
        <x:color rgb="FFFFFFFF"/>
      </x:left>
      <x:right style="thin">
        <x:color rgb="FFFFFFFF"/>
      </x:right>
      <x:bottom style="medium">
        <x:color rgb="FF008C95"/>
      </x:bottom>
    </x:border>
    <x:border>
      <x:left style="thin">
        <x:color rgb="FFFFFFFF"/>
      </x:left>
      <x:bottom style="medium">
        <x:color rgb="FF008C95"/>
      </x:bottom>
    </x:border>
    <x:border>
      <x:bottom style="medium">
        <x:color rgb="FF18324A"/>
      </x:bottom>
    </x:border>
    <x:border>
      <x:right style="thin">
        <x:color rgb="FFFFFFFF"/>
      </x:right>
      <x:bottom style="medium">
        <x:color rgb="FF18324A"/>
      </x:bottom>
    </x:border>
    <x:border>
      <x:left style="thin">
        <x:color rgb="FFFFFFFF"/>
      </x:left>
      <x:bottom style="medium">
        <x:color rgb="FF18324A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/>
    </x:xf>
    <x:xf numFmtId="200" fontId="2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7" xfId="0" applyNumberFormat="1" applyFont="1" applyFill="1" applyBorder="1" applyAlignment="1">
      <x:alignment horizontal="center" vertical="center" wrapText="1"/>
    </x:xf>
    <x:xf numFmtId="0" fontId="3" fillId="6" borderId="8" xfId="0" applyNumberFormat="1" applyFont="1" applyFill="1" applyBorder="1" applyAlignment="1">
      <x:alignment horizontal="center" vertical="center" wrapText="1"/>
    </x:xf>
    <x:xf numFmtId="0" fontId="3" fillId="6" borderId="9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0" xfId="0" applyNumberFormat="1" applyFont="1" applyFill="1" applyBorder="1" applyAlignment="1">
      <x:alignment horizontal="center" vertical="center" wrapText="1"/>
    </x:xf>
    <x:xf numFmtId="0" fontId="3" fillId="7" borderId="11" xfId="0" applyNumberFormat="1" applyFont="1" applyFill="1" applyBorder="1" applyAlignment="1">
      <x:alignment horizontal="center" vertical="center" wrapText="1"/>
    </x:xf>
    <x:xf numFmtId="0" fontId="3" fillId="7" borderId="1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13" xfId="0" applyNumberFormat="1" applyFont="1" applyFill="1" applyBorder="1" applyAlignment="1">
      <x:alignment horizontal="center" vertical="center" wrapText="1"/>
    </x:xf>
    <x:xf numFmtId="0" fontId="3" fillId="8" borderId="14" xfId="0" applyNumberFormat="1" applyFont="1" applyFill="1" applyBorder="1" applyAlignment="1">
      <x:alignment horizontal="center" vertical="center" wrapText="1"/>
    </x:xf>
    <x:xf numFmtId="0" fontId="3" fillId="8" borderId="1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16" xfId="0" applyNumberFormat="1" applyFont="1" applyFill="1" applyBorder="1" applyAlignment="1">
      <x:alignment horizontal="center" vertical="center" wrapText="1"/>
    </x:xf>
    <x:xf numFmtId="0" fontId="3" fillId="9" borderId="17" xfId="0" applyNumberFormat="1" applyFont="1" applyFill="1" applyBorder="1" applyAlignment="1">
      <x:alignment horizontal="center" vertical="center" wrapText="1"/>
    </x:xf>
    <x:xf numFmtId="0" fontId="3" fillId="9" borderId="18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0" borderId="19" xfId="0" applyNumberFormat="1" applyFont="1" applyFill="1" applyBorder="1" applyAlignment="1">
      <x:alignment horizontal="center" vertical="center" wrapText="1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vertical="center"/>
    </x:xf>
    <x:xf numFmtId="0" fontId="3" fillId="10" borderId="20" xfId="0" applyNumberFormat="1" applyFont="1" applyFill="1" applyBorder="1" applyAlignment="1">
      <x:alignment horizontal="center" vertical="center" wrapText="1"/>
    </x:xf>
    <x:xf numFmtId="0" fontId="3" fillId="10" borderId="21" xfId="0" applyNumberFormat="1" applyFont="1" applyFill="1" applyBorder="1" applyAlignment="1">
      <x:alignment horizontal="center" vertical="center" wrapText="1"/>
    </x:xf>
    <x:xf numFmtId="203" fontId="2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1577f9bf34cf9" /><Relationship Type="http://schemas.openxmlformats.org/officeDocument/2006/relationships/theme" Target="/xl/theme/theme1.xml" Id="Rce61a9c7b83442d6" /><Relationship Type="http://schemas.openxmlformats.org/officeDocument/2006/relationships/sharedStrings" Target="/xl/sharedStrings.xml" Id="Rffa3268482d54026" /><Relationship Type="http://schemas.openxmlformats.org/officeDocument/2006/relationships/worksheet" Target="/xl/worksheets/sheet1.xml" Id="R39edca13dca147c4" /><Relationship Type="http://schemas.openxmlformats.org/officeDocument/2006/relationships/worksheet" Target="/xl/worksheets/sheet2.xml" Id="Rb941d7125f9b4d24" /><Relationship Type="http://schemas.openxmlformats.org/officeDocument/2006/relationships/worksheet" Target="/xl/worksheets/sheet3.xml" Id="R972046b8e49c403d" /><Relationship Type="http://schemas.openxmlformats.org/officeDocument/2006/relationships/worksheet" Target="/xl/worksheets/sheet4.xml" Id="Rfb3abdb713274e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24A"/>
  </x:sheetPr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3" hidden="0" customWidth="1"/>
    <x:col min="4" max="4" width="15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</x:cols>
  <x:sheetData>
    <x:row r="2" ht="24" customHeight="1">
      <x:c r="A2" s="1" t="str">
        <x:v>MCAMv4 AE Axis Verification / 노출축 계산 검증</x:v>
      </x:c>
      <x:c r="B2" s="1"/>
      <x:c r="C2" s="1"/>
      <x:c r="D2" s="1"/>
      <x:c r="E2" s="1"/>
      <x:c r="F2" s="1"/>
      <x:c r="G2" s="1"/>
      <x:c r="H2" s="1"/>
    </x:row>
    <x:row r="3">
      <x:c r="A3" s="15" t="str">
        <x:v>첨부된 11_mcamv4_ae_axis_table.zip의 LogExposureAxis 저장값과 Excel 공식 재계산값을 전체 887개 code에서 비교합니다.</x:v>
      </x:c>
      <x:c r="B3" s="15"/>
      <x:c r="C3" s="15"/>
      <x:c r="D3" s="15"/>
      <x:c r="E3" s="15"/>
      <x:c r="F3" s="15"/>
      <x:c r="G3" s="15"/>
      <x:c r="H3" s="15"/>
    </x:row>
    <x:row r="5" ht="34" customHeight="1">
      <x:c r="A5" s="69" t="str">
        <x:v>Validation item / 검증 항목</x:v>
      </x:c>
      <x:c r="B5" s="70" t="str">
        <x:v>Result / 결과</x:v>
      </x:c>
      <x:c r="D5" s="31" t="str">
        <x:v>대표 code</x:v>
      </x:c>
      <x:c r="E5" s="32" t="str">
        <x:v>nominal us</x:v>
      </x:c>
      <x:c r="F5" s="32" t="str">
        <x:v>effective us</x:v>
      </x:c>
      <x:c r="G5" s="32" t="str">
        <x:v>register</x:v>
      </x:c>
      <x:c r="H5" s="33" t="str">
        <x:v>step ratio</x:v>
      </x:c>
    </x:row>
    <x:row r="6" ht="18" customHeight="1">
      <x:c r="A6" s="13" t="str">
        <x:v>Code count / 전체 code 수</x:v>
      </x:c>
      <x:c r="B6" s="14" t="n">
        <x:f>ROWS('축 검증'!$A$5:$A$891)</x:f>
        <x:v>887</x:v>
      </x:c>
      <x:c r="D6" s="65" t="n">
        <x:v>108</x:v>
      </x:c>
      <x:c r="E6" s="65" t="n">
        <x:f>INDEX('축 검증'!$M$5:$M$891,MATCH(D6,'축 검증'!$A$5:$A$891,0))</x:f>
        <x:v>5.03515625</x:v>
      </x:c>
      <x:c r="F6" s="65" t="n">
        <x:f>INDEX('축 검증'!$U$5:$U$891,MATCH(D6,'축 검증'!$A$5:$A$891,0))</x:f>
        <x:v>43</x:v>
      </x:c>
      <x:c r="G6" s="14" t="n">
        <x:f>INDEX('축 검증'!$O$5:$O$891,MATCH(D6,'축 검증'!$A$5:$A$891,0))</x:f>
        <x:v>1</x:v>
      </x:c>
      <x:c r="H6" s="66" t="n">
        <x:f>INDEX('축 검증'!$Z$5:$Z$891,MATCH(D6,'축 검증'!$A$5:$A$891,0))</x:f>
        <x:v>0.014739990234375</x:v>
      </x:c>
    </x:row>
    <x:row r="7" ht="18" customHeight="1">
      <x:c r="A7" s="13" t="str">
        <x:v>PASS rows / PASS 행 수</x:v>
      </x:c>
      <x:c r="B7" s="14" t="n">
        <x:f>COUNTIFS('축 검증'!$AB$5:$AB$891,"PASS")</x:f>
        <x:v>887</x:v>
      </x:c>
      <x:c r="D7" s="65" t="n">
        <x:v>400</x:v>
      </x:c>
      <x:c r="E7" s="65" t="n">
        <x:f>INDEX('축 검증'!$M$5:$M$891,MATCH(D7,'축 검증'!$A$5:$A$891,0))</x:f>
        <x:v>169.0625</x:v>
      </x:c>
      <x:c r="F7" s="65" t="n">
        <x:f>INDEX('축 검증'!$U$5:$U$891,MATCH(D7,'축 검증'!$A$5:$A$891,0))</x:f>
        <x:v>203</x:v>
      </x:c>
      <x:c r="G7" s="14" t="n">
        <x:f>INDEX('축 검증'!$O$5:$O$891,MATCH(D7,'축 검증'!$A$5:$A$891,0))</x:f>
        <x:v>17</x:v>
      </x:c>
      <x:c r="H7" s="66" t="n">
        <x:f>INDEX('축 검증'!$Z$5:$Z$891,MATCH(D7,'축 검증'!$A$5:$A$891,0))</x:f>
        <x:v>0.010833740234375</x:v>
      </x:c>
    </x:row>
    <x:row r="8" ht="18" customHeight="1">
      <x:c r="A8" s="13" t="str">
        <x:v>FAIL rows / FAIL 행 수</x:v>
      </x:c>
      <x:c r="B8" s="14" t="n">
        <x:f>COUNTIFS('축 검증'!$AB$5:$AB$891,"FAIL")</x:f>
        <x:v>0</x:v>
      </x:c>
      <x:c r="D8" s="65" t="n">
        <x:v>994</x:v>
      </x:c>
      <x:c r="E8" s="65" t="n">
        <x:f>INDEX('축 검증'!$M$5:$M$891,MATCH(D8,'축 검증'!$A$5:$A$891,0))</x:f>
        <x:v>104000</x:v>
      </x:c>
      <x:c r="F8" s="65" t="n">
        <x:f>INDEX('축 검증'!$U$5:$U$891,MATCH(D8,'축 검증'!$A$5:$A$891,0))</x:f>
        <x:v>104033</x:v>
      </x:c>
      <x:c r="G8" s="14" t="n">
        <x:f>INDEX('축 검증'!$O$5:$O$891,MATCH(D8,'축 검증'!$A$5:$A$891,0))</x:f>
        <x:v>10400</x:v>
      </x:c>
      <x:c r="H8" s="66" t="n">
        <x:f>INDEX('축 검증'!$Z$5:$Z$891,MATCH(D8,'축 검증'!$A$5:$A$891,0))</x:f>
        <x:v>0</x:v>
      </x:c>
    </x:row>
    <x:row r="9" ht="18" customHeight="1">
      <x:c r="A9" s="13" t="str">
        <x:v>Final status / 최종 판정</x:v>
      </x:c>
      <x:c r="B9" s="72" t="str">
        <x:f>IF(B8=0,"PASS","FAIL")</x:f>
        <x:v>PASS</x:v>
      </x:c>
    </x:row>
    <x:row r="10" ht="18" customHeight="1">
      <x:c r="A10" s="13" t="str">
        <x:v>Q7 mismatch / 불일치 수</x:v>
      </x:c>
      <x:c r="B10" s="14" t="n">
        <x:f>COUNTIFS('축 검증'!$I$5:$I$891,"&lt;&gt;0")</x:f>
        <x:v>0</x:v>
      </x:c>
    </x:row>
    <x:row r="11" ht="34" customHeight="1">
      <x:c r="A11" s="13" t="str">
        <x:v>nominal_time_ mismatch / 불일치 수</x:v>
      </x:c>
      <x:c r="B11" s="14" t="n">
        <x:f>COUNTIFS('축 검증'!$L$5:$L$891,"&lt;&gt;0")</x:f>
        <x:v>0</x:v>
      </x:c>
      <x:c r="D11" s="21" t="str">
        <x:v>Reading order / 읽는 순서</x:v>
      </x:c>
      <x:c r="E11" s="22" t="str">
        <x:v>1. Formulas / 공식·설정</x:v>
      </x:c>
      <x:c r="F11" s="22" t="str">
        <x:v>2. LUT / LUT 원본</x:v>
      </x:c>
      <x:c r="G11" s="22" t="str">
        <x:v>3. Verification / 축 검증</x:v>
      </x:c>
      <x:c r="H11" s="23" t="str">
        <x:v>4. Summary / 요약 판정</x:v>
      </x:c>
    </x:row>
    <x:row r="12" ht="34" customHeight="1">
      <x:c r="A12" s="13" t="str">
        <x:v>register_ mismatch / 불일치 수</x:v>
      </x:c>
      <x:c r="B12" s="14" t="n">
        <x:f>COUNTIFS('축 검증'!$Q$5:$Q$891,"&lt;&gt;0")</x:f>
        <x:v>0</x:v>
      </x:c>
      <x:c r="D12" s="34" t="str">
        <x:v>핵심</x:v>
      </x:c>
      <x:c r="E12" s="34" t="str">
        <x:v>Q8/Q16과 시간 상수 확인</x:v>
      </x:c>
      <x:c r="F12" s="34" t="str">
        <x:v>보간 기준점 확인</x:v>
      </x:c>
      <x:c r="G12" s="34" t="str">
        <x:v>C++와 Excel 값을 행별 대조</x:v>
      </x:c>
      <x:c r="H12" s="34" t="str">
        <x:v>불일치 수가 모두 0인지 확인</x:v>
      </x:c>
    </x:row>
    <x:row r="13" ht="34" customHeight="1">
      <x:c r="A13" s="13" t="str">
        <x:v>effective_time_ mismatch / 불일치 수</x:v>
      </x:c>
      <x:c r="B13" s="14" t="n">
        <x:f>COUNTIFS('축 검증'!$T$5:$T$891,"&lt;&gt;0")</x:f>
        <x:v>0</x:v>
      </x:c>
      <x:c r="D13" s="34" t="str">
        <x:v>정상 기준</x:v>
      </x:c>
      <x:c r="E13" s="34" t="str">
        <x:v>원본 기본값 유지</x:v>
      </x:c>
      <x:c r="F13" s="34" t="str">
        <x:v>73개 항목</x:v>
      </x:c>
      <x:c r="G13" s="34" t="str">
        <x:v>차이 열 5개가 모두 0</x:v>
      </x:c>
      <x:c r="H13" s="34" t="str">
        <x:v>최종 판정 PASS</x:v>
      </x:c>
    </x:row>
    <x:row r="14" ht="34" customHeight="1">
      <x:c r="A14" s="13" t="str">
        <x:v>step_ratio_ mismatch / 불일치 수</x:v>
      </x:c>
      <x:c r="B14" s="14" t="n">
        <x:f>COUNTIFS('축 검증'!$Y$5:$Y$891,"&lt;&gt;0")</x:f>
        <x:v>0</x:v>
      </x:c>
      <x:c r="D14" s="34" t="str">
        <x:v>주의</x:v>
      </x:c>
      <x:c r="E14" s="34" t="str">
        <x:v>입력값 수정 시 검증 결과 변경</x:v>
      </x:c>
      <x:c r="F14" s="34" t="str">
        <x:v>714~728 구간은 7 code 간격</x:v>
      </x:c>
      <x:c r="G14" s="34" t="str">
        <x:v>마지막 code의 step ratio는 0</x:v>
      </x:c>
      <x:c r="H14" s="34" t="str">
        <x:v>FAIL이면 해당 행의 빨간 셀 확인</x:v>
      </x:c>
    </x:row>
    <x:row r="17">
      <x:c r="A17" s="74" t="str">
        <x:v>Verification notes / 검증 결론</x:v>
      </x:c>
      <x:c r="B17" s="74"/>
      <x:c r="C17" s="74"/>
      <x:c r="D17" s="74"/>
      <x:c r="E17" s="74"/>
      <x:c r="F17" s="74"/>
      <x:c r="G17" s="74"/>
      <x:c r="H17" s="74"/>
    </x:row>
    <x:row r="18" ht="18" customHeight="1">
      <x:c r="A18" s="13" t="str">
        <x:v>nominal_time_</x:v>
      </x:c>
      <x:c r="B18" s="13" t="str">
        <x:v>LUT 보간 Q7 × 26,624,000 / 4,089,531의 정수 몫</x:v>
      </x:c>
      <x:c r="C18" s="13"/>
      <x:c r="D18" s="13"/>
      <x:c r="E18" s="13"/>
      <x:c r="F18" s="13"/>
      <x:c r="G18" s="13"/>
      <x:c r="H18" s="13"/>
    </x:row>
    <x:row r="19" ht="18" customHeight="1">
      <x:c r="A19" s="13" t="str">
        <x:v>effective_time_</x:v>
      </x:c>
      <x:c r="B19" s="13" t="str">
        <x:v>register_ × 2,560 + 8,448 (Q8), 즉 register × 10us + 33us</x:v>
      </x:c>
      <x:c r="C19" s="13"/>
      <x:c r="D19" s="13"/>
      <x:c r="E19" s="13"/>
      <x:c r="F19" s="13"/>
      <x:c r="G19" s="13"/>
      <x:c r="H19" s="13"/>
    </x:row>
    <x:row r="20" ht="18" customHeight="1">
      <x:c r="A20" s="13" t="str">
        <x:v>step_ratio_</x:v>
      </x:c>
      <x:c r="B20" s="13" t="str">
        <x:v>다음 nominal과 현재 nominal의 차이 / 현재 nominal을 Q16으로 표현</x:v>
      </x:c>
      <x:c r="C20" s="13"/>
      <x:c r="D20" s="13"/>
      <x:c r="E20" s="13"/>
      <x:c r="F20" s="13"/>
      <x:c r="G20" s="13"/>
      <x:c r="H20" s="13"/>
    </x:row>
  </x:sheetData>
  <x:conditionalFormatting sqref="B9:B9">
    <x:cfRule type="containsText" dxfId="6" priority="1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0" hidden="0" customWidth="1"/>
    <x:col min="10" max="10" width="16" hidden="0" customWidth="1"/>
    <x:col min="11" max="11" width="16" hidden="0" customWidth="1"/>
    <x:col min="12" max="12" width="15" hidden="0" customWidth="1"/>
    <x:col min="13" max="13" width="16" hidden="0" customWidth="1"/>
    <x:col min="14" max="14" width="16" hidden="0" customWidth="1"/>
    <x:col min="15" max="15" width="13" hidden="0" customWidth="1"/>
    <x:col min="16" max="16" width="13" hidden="0" customWidth="1"/>
    <x:col min="17" max="17" width="12" hidden="0" customWidth="1"/>
    <x:col min="18" max="18" width="17" hidden="0" customWidth="1"/>
    <x:col min="19" max="19" width="17" hidden="0" customWidth="1"/>
    <x:col min="20" max="20" width="16" hidden="0" customWidth="1"/>
    <x:col min="21" max="21" width="16" hidden="0" customWidth="1"/>
    <x:col min="22" max="22" width="16" hidden="0" customWidth="1"/>
    <x:col min="23" max="23" width="18" hidden="0" customWidth="1"/>
    <x:col min="24" max="24" width="18" hidden="0" customWidth="1"/>
    <x:col min="25" max="25" width="15" hidden="0" customWidth="1"/>
    <x:col min="26" max="26" width="17" hidden="0" customWidth="1"/>
    <x:col min="27" max="27" width="17" hidden="0" customWidth="1"/>
    <x:col min="28" max="28" width="11" hidden="0" customWidth="1"/>
  </x:cols>
  <x:sheetData>
    <x:row r="2" ht="24" customHeight="1">
      <x:c r="A2" s="1" t="str">
        <x:v>LogExposureAxis Full Verification / 전체 테이블 검증 (code 108~994)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>
      <x:c r="A3" s="15" t="str">
        <x:v>C++ 기준값은 첨부 소스의 실제 private 배열을 읽어 추출했습니다. Excel 값은 오른쪽 공식으로 독립 재계산하며, 모든 차이가 0이어야 PASS입니다.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</x:row>
    <x:row r="4" ht="34" customHeight="1">
      <x:c r="A4" s="9" t="str">
        <x:v>code</x:v>
      </x:c>
      <x:c r="B4" s="10" t="str">
        <x:v>index</x:v>
      </x:c>
      <x:c r="C4" s="10" t="str">
        <x:v>LUT lower code</x:v>
      </x:c>
      <x:c r="D4" s="10" t="str">
        <x:v>LUT lower Q7</x:v>
      </x:c>
      <x:c r="E4" s="10" t="str">
        <x:v>LUT upper code</x:v>
      </x:c>
      <x:c r="F4" s="11" t="str">
        <x:v>LUT upper Q7</x:v>
      </x:c>
      <x:c r="G4" s="21" t="str">
        <x:v>Q7 C++</x:v>
      </x:c>
      <x:c r="H4" s="22" t="str">
        <x:v>Q7 Excel</x:v>
      </x:c>
      <x:c r="I4" s="23" t="str">
        <x:v>Q7 diff / 차이</x:v>
      </x:c>
      <x:c r="J4" s="31" t="str">
        <x:v>nominal Q8 C++</x:v>
      </x:c>
      <x:c r="K4" s="32" t="str">
        <x:v>nominal Q8 Excel</x:v>
      </x:c>
      <x:c r="L4" s="32" t="str">
        <x:v>nominal Q8 diff / 차이</x:v>
      </x:c>
      <x:c r="M4" s="32" t="str">
        <x:v>nominal us C++</x:v>
      </x:c>
      <x:c r="N4" s="33" t="str">
        <x:v>nominal us Excel</x:v>
      </x:c>
      <x:c r="O4" s="40" t="str">
        <x:v>register C++</x:v>
      </x:c>
      <x:c r="P4" s="41" t="str">
        <x:v>register Excel</x:v>
      </x:c>
      <x:c r="Q4" s="42" t="str">
        <x:v>register diff / 차이</x:v>
      </x:c>
      <x:c r="R4" s="48" t="str">
        <x:v>effective Q8 C++</x:v>
      </x:c>
      <x:c r="S4" s="49" t="str">
        <x:v>effective Q8 Excel</x:v>
      </x:c>
      <x:c r="T4" s="49" t="str">
        <x:v>effective Q8 diff / 차이</x:v>
      </x:c>
      <x:c r="U4" s="49" t="str">
        <x:v>effective us C++</x:v>
      </x:c>
      <x:c r="V4" s="50" t="str">
        <x:v>effective us Excel</x:v>
      </x:c>
      <x:c r="W4" s="56" t="str">
        <x:v>step ratio Q16 C++</x:v>
      </x:c>
      <x:c r="X4" s="57" t="str">
        <x:v>step ratio Q16 Excel</x:v>
      </x:c>
      <x:c r="Y4" s="57" t="str">
        <x:v>step ratio diff / 차이</x:v>
      </x:c>
      <x:c r="Z4" s="57" t="str">
        <x:v>step ratio % C++</x:v>
      </x:c>
      <x:c r="AA4" s="58" t="str">
        <x:v>step ratio % Excel</x:v>
      </x:c>
      <x:c r="AB4" s="64" t="str">
        <x:v>Status / 전체 검증</x:v>
      </x:c>
    </x:row>
    <x:row r="5" ht="18" customHeight="1">
      <x:c r="A5" s="14" t="n">
        <x:v>108</x:v>
      </x:c>
      <x:c r="B5" s="14" t="n">
        <x:v>0</x:v>
      </x:c>
      <x:c r="C5" s="14" t="n">
        <x:v>98</x:v>
      </x:c>
      <x:c r="D5" s="14" t="n">
        <x:v>168</x:v>
      </x:c>
      <x:c r="E5" s="14" t="n">
        <x:v>112</x:v>
      </x:c>
      <x:c r="F5" s="14" t="n">
        <x:v>211</x:v>
      </x:c>
      <x:c r="G5" s="14" t="n">
        <x:v>198</x:v>
      </x:c>
      <x:c r="H5" s="14" t="n">
        <x:f>INT((F5-D5)*(A5-C5)/(E5-C5))+D5</x:f>
        <x:v>198</x:v>
      </x:c>
      <x:c r="I5" s="68" t="n">
        <x:f>H5-G5</x:f>
        <x:v>0</x:v>
      </x:c>
      <x:c r="J5" s="14" t="n">
        <x:v>1289</x:v>
      </x:c>
      <x:c r="K5" s="14" t="n">
        <x:f>INT(H5*'공식·설정'!$B$10/'공식·설정'!$B$15)</x:f>
        <x:v>1289</x:v>
      </x:c>
      <x:c r="L5" s="68" t="n">
        <x:f>K5-J5</x:f>
        <x:v>0</x:v>
      </x:c>
      <x:c r="M5" s="65" t="n">
        <x:f>J5/'공식·설정'!$B$7</x:f>
        <x:v>5.03515625</x:v>
      </x:c>
      <x:c r="N5" s="65" t="n">
        <x:f>K5/'공식·설정'!$B$7</x:f>
        <x:v>5.03515625</x:v>
      </x:c>
      <x:c r="O5" s="14" t="n">
        <x:v>1</x:v>
      </x:c>
      <x:c r="P5" s="14" t="n">
        <x:f>MIN(32767,MAX(0,INT((K5+INT('공식·설정'!$B$12/2))/'공식·설정'!$B$12)))</x:f>
        <x:v>1</x:v>
      </x:c>
      <x:c r="Q5" s="68" t="n">
        <x:f>P5-O5</x:f>
        <x:v>0</x:v>
      </x:c>
      <x:c r="R5" s="14" t="n">
        <x:v>11008</x:v>
      </x:c>
      <x:c r="S5" s="14" t="n">
        <x:f>P5*'공식·설정'!$B$12+'공식·설정'!$B$14</x:f>
        <x:v>11008</x:v>
      </x:c>
      <x:c r="T5" s="68" t="n">
        <x:f>S5-R5</x:f>
        <x:v>0</x:v>
      </x:c>
      <x:c r="U5" s="65" t="n">
        <x:f>R5/'공식·설정'!$B$7</x:f>
        <x:v>43</x:v>
      </x:c>
      <x:c r="V5" s="65" t="n">
        <x:f>S5/'공식·설정'!$B$7</x:f>
        <x:v>43</x:v>
      </x:c>
      <x:c r="W5" s="14" t="n">
        <x:v>966</x:v>
      </x:c>
      <x:c r="X5" s="14" t="n">
        <x:f>INT(ABS(K6-K5)*'공식·설정'!$B$8/K5)</x:f>
        <x:v>966</x:v>
      </x:c>
      <x:c r="Y5" s="68" t="n">
        <x:f>X5-W5</x:f>
        <x:v>0</x:v>
      </x:c>
      <x:c r="Z5" s="66" t="n">
        <x:f>W5/'공식·설정'!$B$8</x:f>
        <x:v>0.014739990234375</x:v>
      </x:c>
      <x:c r="AA5" s="66" t="n">
        <x:f>X5/'공식·설정'!$B$8</x:f>
        <x:v>0.014739990234375</x:v>
      </x:c>
      <x:c r="AB5" s="67" t="str">
        <x:f>IF(AND(I5=0,L5=0,Q5=0,T5=0,Y5=0),"PASS","FAIL")</x:f>
        <x:v>PASS</x:v>
      </x:c>
    </x:row>
    <x:row r="6" ht="18" customHeight="1">
      <x:c r="A6" s="14" t="n">
        <x:v>109</x:v>
      </x:c>
      <x:c r="B6" s="14" t="n">
        <x:v>1</x:v>
      </x:c>
      <x:c r="C6" s="14" t="n">
        <x:v>98</x:v>
      </x:c>
      <x:c r="D6" s="14" t="n">
        <x:v>168</x:v>
      </x:c>
      <x:c r="E6" s="14" t="n">
        <x:v>112</x:v>
      </x:c>
      <x:c r="F6" s="14" t="n">
        <x:v>211</x:v>
      </x:c>
      <x:c r="G6" s="14" t="n">
        <x:v>201</x:v>
      </x:c>
      <x:c r="H6" s="14" t="n">
        <x:f>INT((F6-D6)*(A6-C6)/(E6-C6))+D6</x:f>
        <x:v>201</x:v>
      </x:c>
      <x:c r="I6" s="68" t="n">
        <x:f>H6-G6</x:f>
        <x:v>0</x:v>
      </x:c>
      <x:c r="J6" s="14" t="n">
        <x:v>1308</x:v>
      </x:c>
      <x:c r="K6" s="14" t="n">
        <x:f>INT(H6*'공식·설정'!$B$10/'공식·설정'!$B$15)</x:f>
        <x:v>1308</x:v>
      </x:c>
      <x:c r="L6" s="68" t="n">
        <x:f>K6-J6</x:f>
        <x:v>0</x:v>
      </x:c>
      <x:c r="M6" s="65" t="n">
        <x:f>J6/'공식·설정'!$B$7</x:f>
        <x:v>5.109375</x:v>
      </x:c>
      <x:c r="N6" s="65" t="n">
        <x:f>K6/'공식·설정'!$B$7</x:f>
        <x:v>5.109375</x:v>
      </x:c>
      <x:c r="O6" s="14" t="n">
        <x:v>1</x:v>
      </x:c>
      <x:c r="P6" s="14" t="n">
        <x:f>MIN(32767,MAX(0,INT((K6+INT('공식·설정'!$B$12/2))/'공식·설정'!$B$12)))</x:f>
        <x:v>1</x:v>
      </x:c>
      <x:c r="Q6" s="68" t="n">
        <x:f>P6-O6</x:f>
        <x:v>0</x:v>
      </x:c>
      <x:c r="R6" s="14" t="n">
        <x:v>11008</x:v>
      </x:c>
      <x:c r="S6" s="14" t="n">
        <x:f>P6*'공식·설정'!$B$12+'공식·설정'!$B$14</x:f>
        <x:v>11008</x:v>
      </x:c>
      <x:c r="T6" s="68" t="n">
        <x:f>S6-R6</x:f>
        <x:v>0</x:v>
      </x:c>
      <x:c r="U6" s="65" t="n">
        <x:f>R6/'공식·설정'!$B$7</x:f>
        <x:v>43</x:v>
      </x:c>
      <x:c r="V6" s="65" t="n">
        <x:f>S6/'공식·설정'!$B$7</x:f>
        <x:v>43</x:v>
      </x:c>
      <x:c r="W6" s="14" t="n">
        <x:v>1002</x:v>
      </x:c>
      <x:c r="X6" s="14" t="n">
        <x:f>INT(ABS(K7-K6)*'공식·설정'!$B$8/K6)</x:f>
        <x:v>1002</x:v>
      </x:c>
      <x:c r="Y6" s="68" t="n">
        <x:f>X6-W6</x:f>
        <x:v>0</x:v>
      </x:c>
      <x:c r="Z6" s="66" t="n">
        <x:f>W6/'공식·설정'!$B$8</x:f>
        <x:v>0.015289306640625</x:v>
      </x:c>
      <x:c r="AA6" s="66" t="n">
        <x:f>X6/'공식·설정'!$B$8</x:f>
        <x:v>0.015289306640625</x:v>
      </x:c>
      <x:c r="AB6" s="67" t="str">
        <x:f>IF(AND(I6=0,L6=0,Q6=0,T6=0,Y6=0),"PASS","FAIL")</x:f>
        <x:v>PASS</x:v>
      </x:c>
    </x:row>
    <x:row r="7" ht="18" customHeight="1">
      <x:c r="A7" s="14" t="n">
        <x:v>110</x:v>
      </x:c>
      <x:c r="B7" s="14" t="n">
        <x:v>2</x:v>
      </x:c>
      <x:c r="C7" s="14" t="n">
        <x:v>98</x:v>
      </x:c>
      <x:c r="D7" s="14" t="n">
        <x:v>168</x:v>
      </x:c>
      <x:c r="E7" s="14" t="n">
        <x:v>112</x:v>
      </x:c>
      <x:c r="F7" s="14" t="n">
        <x:v>211</x:v>
      </x:c>
      <x:c r="G7" s="14" t="n">
        <x:v>204</x:v>
      </x:c>
      <x:c r="H7" s="14" t="n">
        <x:f>INT((F7-D7)*(A7-C7)/(E7-C7))+D7</x:f>
        <x:v>204</x:v>
      </x:c>
      <x:c r="I7" s="68" t="n">
        <x:f>H7-G7</x:f>
        <x:v>0</x:v>
      </x:c>
      <x:c r="J7" s="14" t="n">
        <x:v>1328</x:v>
      </x:c>
      <x:c r="K7" s="14" t="n">
        <x:f>INT(H7*'공식·설정'!$B$10/'공식·설정'!$B$15)</x:f>
        <x:v>1328</x:v>
      </x:c>
      <x:c r="L7" s="68" t="n">
        <x:f>K7-J7</x:f>
        <x:v>0</x:v>
      </x:c>
      <x:c r="M7" s="65" t="n">
        <x:f>J7/'공식·설정'!$B$7</x:f>
        <x:v>5.1875</x:v>
      </x:c>
      <x:c r="N7" s="65" t="n">
        <x:f>K7/'공식·설정'!$B$7</x:f>
        <x:v>5.1875</x:v>
      </x:c>
      <x:c r="O7" s="14" t="n">
        <x:v>1</x:v>
      </x:c>
      <x:c r="P7" s="14" t="n">
        <x:f>MIN(32767,MAX(0,INT((K7+INT('공식·설정'!$B$12/2))/'공식·설정'!$B$12)))</x:f>
        <x:v>1</x:v>
      </x:c>
      <x:c r="Q7" s="68" t="n">
        <x:f>P7-O7</x:f>
        <x:v>0</x:v>
      </x:c>
      <x:c r="R7" s="14" t="n">
        <x:v>11008</x:v>
      </x:c>
      <x:c r="S7" s="14" t="n">
        <x:f>P7*'공식·설정'!$B$12+'공식·설정'!$B$14</x:f>
        <x:v>11008</x:v>
      </x:c>
      <x:c r="T7" s="68" t="n">
        <x:f>S7-R7</x:f>
        <x:v>0</x:v>
      </x:c>
      <x:c r="U7" s="65" t="n">
        <x:f>R7/'공식·설정'!$B$7</x:f>
        <x:v>43</x:v>
      </x:c>
      <x:c r="V7" s="65" t="n">
        <x:f>S7/'공식·설정'!$B$7</x:f>
        <x:v>43</x:v>
      </x:c>
      <x:c r="W7" s="14" t="n">
        <x:v>937</x:v>
      </x:c>
      <x:c r="X7" s="14" t="n">
        <x:f>INT(ABS(K8-K7)*'공식·설정'!$B$8/K7)</x:f>
        <x:v>937</x:v>
      </x:c>
      <x:c r="Y7" s="68" t="n">
        <x:f>X7-W7</x:f>
        <x:v>0</x:v>
      </x:c>
      <x:c r="Z7" s="66" t="n">
        <x:f>W7/'공식·설정'!$B$8</x:f>
        <x:v>0.0142974853515625</x:v>
      </x:c>
      <x:c r="AA7" s="66" t="n">
        <x:f>X7/'공식·설정'!$B$8</x:f>
        <x:v>0.0142974853515625</x:v>
      </x:c>
      <x:c r="AB7" s="67" t="str">
        <x:f>IF(AND(I7=0,L7=0,Q7=0,T7=0,Y7=0),"PASS","FAIL")</x:f>
        <x:v>PASS</x:v>
      </x:c>
    </x:row>
    <x:row r="8" ht="18" customHeight="1">
      <x:c r="A8" s="14" t="n">
        <x:v>111</x:v>
      </x:c>
      <x:c r="B8" s="14" t="n">
        <x:v>3</x:v>
      </x:c>
      <x:c r="C8" s="14" t="n">
        <x:v>98</x:v>
      </x:c>
      <x:c r="D8" s="14" t="n">
        <x:v>168</x:v>
      </x:c>
      <x:c r="E8" s="14" t="n">
        <x:v>112</x:v>
      </x:c>
      <x:c r="F8" s="14" t="n">
        <x:v>211</x:v>
      </x:c>
      <x:c r="G8" s="14" t="n">
        <x:v>207</x:v>
      </x:c>
      <x:c r="H8" s="14" t="n">
        <x:f>INT((F8-D8)*(A8-C8)/(E8-C8))+D8</x:f>
        <x:v>207</x:v>
      </x:c>
      <x:c r="I8" s="68" t="n">
        <x:f>H8-G8</x:f>
        <x:v>0</x:v>
      </x:c>
      <x:c r="J8" s="14" t="n">
        <x:v>1347</x:v>
      </x:c>
      <x:c r="K8" s="14" t="n">
        <x:f>INT(H8*'공식·설정'!$B$10/'공식·설정'!$B$15)</x:f>
        <x:v>1347</x:v>
      </x:c>
      <x:c r="L8" s="68" t="n">
        <x:f>K8-J8</x:f>
        <x:v>0</x:v>
      </x:c>
      <x:c r="M8" s="65" t="n">
        <x:f>J8/'공식·설정'!$B$7</x:f>
        <x:v>5.26171875</x:v>
      </x:c>
      <x:c r="N8" s="65" t="n">
        <x:f>K8/'공식·설정'!$B$7</x:f>
        <x:v>5.26171875</x:v>
      </x:c>
      <x:c r="O8" s="14" t="n">
        <x:v>1</x:v>
      </x:c>
      <x:c r="P8" s="14" t="n">
        <x:f>MIN(32767,MAX(0,INT((K8+INT('공식·설정'!$B$12/2))/'공식·설정'!$B$12)))</x:f>
        <x:v>1</x:v>
      </x:c>
      <x:c r="Q8" s="68" t="n">
        <x:f>P8-O8</x:f>
        <x:v>0</x:v>
      </x:c>
      <x:c r="R8" s="14" t="n">
        <x:v>11008</x:v>
      </x:c>
      <x:c r="S8" s="14" t="n">
        <x:f>P8*'공식·설정'!$B$12+'공식·설정'!$B$14</x:f>
        <x:v>11008</x:v>
      </x:c>
      <x:c r="T8" s="68" t="n">
        <x:f>S8-R8</x:f>
        <x:v>0</x:v>
      </x:c>
      <x:c r="U8" s="65" t="n">
        <x:f>R8/'공식·설정'!$B$7</x:f>
        <x:v>43</x:v>
      </x:c>
      <x:c r="V8" s="65" t="n">
        <x:f>S8/'공식·설정'!$B$7</x:f>
        <x:v>43</x:v>
      </x:c>
      <x:c r="W8" s="14" t="n">
        <x:v>1264</x:v>
      </x:c>
      <x:c r="X8" s="14" t="n">
        <x:f>INT(ABS(K9-K8)*'공식·설정'!$B$8/K8)</x:f>
        <x:v>1264</x:v>
      </x:c>
      <x:c r="Y8" s="68" t="n">
        <x:f>X8-W8</x:f>
        <x:v>0</x:v>
      </x:c>
      <x:c r="Z8" s="66" t="n">
        <x:f>W8/'공식·설정'!$B$8</x:f>
        <x:v>0.019287109375</x:v>
      </x:c>
      <x:c r="AA8" s="66" t="n">
        <x:f>X8/'공식·설정'!$B$8</x:f>
        <x:v>0.019287109375</x:v>
      </x:c>
      <x:c r="AB8" s="67" t="str">
        <x:f>IF(AND(I8=0,L8=0,Q8=0,T8=0,Y8=0),"PASS","FAIL")</x:f>
        <x:v>PASS</x:v>
      </x:c>
    </x:row>
    <x:row r="9" ht="18" customHeight="1">
      <x:c r="A9" s="14" t="n">
        <x:v>112</x:v>
      </x:c>
      <x:c r="B9" s="14" t="n">
        <x:v>4</x:v>
      </x:c>
      <x:c r="C9" s="14" t="n">
        <x:v>112</x:v>
      </x:c>
      <x:c r="D9" s="14" t="n">
        <x:v>211</x:v>
      </x:c>
      <x:c r="E9" s="14" t="n">
        <x:v>126</x:v>
      </x:c>
      <x:c r="F9" s="14" t="n">
        <x:v>259</x:v>
      </x:c>
      <x:c r="G9" s="14" t="n">
        <x:v>211</x:v>
      </x:c>
      <x:c r="H9" s="14" t="n">
        <x:f>INT((F9-D9)*(A9-C9)/(E9-C9))+D9</x:f>
        <x:v>211</x:v>
      </x:c>
      <x:c r="I9" s="68" t="n">
        <x:f>H9-G9</x:f>
        <x:v>0</x:v>
      </x:c>
      <x:c r="J9" s="14" t="n">
        <x:v>1373</x:v>
      </x:c>
      <x:c r="K9" s="14" t="n">
        <x:f>INT(H9*'공식·설정'!$B$10/'공식·설정'!$B$15)</x:f>
        <x:v>1373</x:v>
      </x:c>
      <x:c r="L9" s="68" t="n">
        <x:f>K9-J9</x:f>
        <x:v>0</x:v>
      </x:c>
      <x:c r="M9" s="65" t="n">
        <x:f>J9/'공식·설정'!$B$7</x:f>
        <x:v>5.36328125</x:v>
      </x:c>
      <x:c r="N9" s="65" t="n">
        <x:f>K9/'공식·설정'!$B$7</x:f>
        <x:v>5.36328125</x:v>
      </x:c>
      <x:c r="O9" s="14" t="n">
        <x:v>1</x:v>
      </x:c>
      <x:c r="P9" s="14" t="n">
        <x:f>MIN(32767,MAX(0,INT((K9+INT('공식·설정'!$B$12/2))/'공식·설정'!$B$12)))</x:f>
        <x:v>1</x:v>
      </x:c>
      <x:c r="Q9" s="68" t="n">
        <x:f>P9-O9</x:f>
        <x:v>0</x:v>
      </x:c>
      <x:c r="R9" s="14" t="n">
        <x:v>11008</x:v>
      </x:c>
      <x:c r="S9" s="14" t="n">
        <x:f>P9*'공식·설정'!$B$12+'공식·설정'!$B$14</x:f>
        <x:v>11008</x:v>
      </x:c>
      <x:c r="T9" s="68" t="n">
        <x:f>S9-R9</x:f>
        <x:v>0</x:v>
      </x:c>
      <x:c r="U9" s="65" t="n">
        <x:f>R9/'공식·설정'!$B$7</x:f>
        <x:v>43</x:v>
      </x:c>
      <x:c r="V9" s="65" t="n">
        <x:f>S9/'공식·설정'!$B$7</x:f>
        <x:v>43</x:v>
      </x:c>
      <x:c r="W9" s="14" t="n">
        <x:v>954</x:v>
      </x:c>
      <x:c r="X9" s="14" t="n">
        <x:f>INT(ABS(K10-K9)*'공식·설정'!$B$8/K9)</x:f>
        <x:v>954</x:v>
      </x:c>
      <x:c r="Y9" s="68" t="n">
        <x:f>X9-W9</x:f>
        <x:v>0</x:v>
      </x:c>
      <x:c r="Z9" s="66" t="n">
        <x:f>W9/'공식·설정'!$B$8</x:f>
        <x:v>0.014556884765625</x:v>
      </x:c>
      <x:c r="AA9" s="66" t="n">
        <x:f>X9/'공식·설정'!$B$8</x:f>
        <x:v>0.014556884765625</x:v>
      </x:c>
      <x:c r="AB9" s="67" t="str">
        <x:f>IF(AND(I9=0,L9=0,Q9=0,T9=0,Y9=0),"PASS","FAIL")</x:f>
        <x:v>PASS</x:v>
      </x:c>
    </x:row>
    <x:row r="10" ht="18" customHeight="1">
      <x:c r="A10" s="14" t="n">
        <x:v>113</x:v>
      </x:c>
      <x:c r="B10" s="14" t="n">
        <x:v>5</x:v>
      </x:c>
      <x:c r="C10" s="14" t="n">
        <x:v>112</x:v>
      </x:c>
      <x:c r="D10" s="14" t="n">
        <x:v>211</x:v>
      </x:c>
      <x:c r="E10" s="14" t="n">
        <x:v>126</x:v>
      </x:c>
      <x:c r="F10" s="14" t="n">
        <x:v>259</x:v>
      </x:c>
      <x:c r="G10" s="14" t="n">
        <x:v>214</x:v>
      </x:c>
      <x:c r="H10" s="14" t="n">
        <x:f>INT((F10-D10)*(A10-C10)/(E10-C10))+D10</x:f>
        <x:v>214</x:v>
      </x:c>
      <x:c r="I10" s="68" t="n">
        <x:f>H10-G10</x:f>
        <x:v>0</x:v>
      </x:c>
      <x:c r="J10" s="14" t="n">
        <x:v>1393</x:v>
      </x:c>
      <x:c r="K10" s="14" t="n">
        <x:f>INT(H10*'공식·설정'!$B$10/'공식·설정'!$B$15)</x:f>
        <x:v>1393</x:v>
      </x:c>
      <x:c r="L10" s="68" t="n">
        <x:f>K10-J10</x:f>
        <x:v>0</x:v>
      </x:c>
      <x:c r="M10" s="65" t="n">
        <x:f>J10/'공식·설정'!$B$7</x:f>
        <x:v>5.44140625</x:v>
      </x:c>
      <x:c r="N10" s="65" t="n">
        <x:f>K10/'공식·설정'!$B$7</x:f>
        <x:v>5.44140625</x:v>
      </x:c>
      <x:c r="O10" s="14" t="n">
        <x:v>1</x:v>
      </x:c>
      <x:c r="P10" s="14" t="n">
        <x:f>MIN(32767,MAX(0,INT((K10+INT('공식·설정'!$B$12/2))/'공식·설정'!$B$12)))</x:f>
        <x:v>1</x:v>
      </x:c>
      <x:c r="Q10" s="68" t="n">
        <x:f>P10-O10</x:f>
        <x:v>0</x:v>
      </x:c>
      <x:c r="R10" s="14" t="n">
        <x:v>11008</x:v>
      </x:c>
      <x:c r="S10" s="14" t="n">
        <x:f>P10*'공식·설정'!$B$12+'공식·설정'!$B$14</x:f>
        <x:v>11008</x:v>
      </x:c>
      <x:c r="T10" s="68" t="n">
        <x:f>S10-R10</x:f>
        <x:v>0</x:v>
      </x:c>
      <x:c r="U10" s="65" t="n">
        <x:f>R10/'공식·설정'!$B$7</x:f>
        <x:v>43</x:v>
      </x:c>
      <x:c r="V10" s="65" t="n">
        <x:f>S10/'공식·설정'!$B$7</x:f>
        <x:v>43</x:v>
      </x:c>
      <x:c r="W10" s="14" t="n">
        <x:v>893</x:v>
      </x:c>
      <x:c r="X10" s="14" t="n">
        <x:f>INT(ABS(K11-K10)*'공식·설정'!$B$8/K10)</x:f>
        <x:v>893</x:v>
      </x:c>
      <x:c r="Y10" s="68" t="n">
        <x:f>X10-W10</x:f>
        <x:v>0</x:v>
      </x:c>
      <x:c r="Z10" s="66" t="n">
        <x:f>W10/'공식·설정'!$B$8</x:f>
        <x:v>0.0136260986328125</x:v>
      </x:c>
      <x:c r="AA10" s="66" t="n">
        <x:f>X10/'공식·설정'!$B$8</x:f>
        <x:v>0.0136260986328125</x:v>
      </x:c>
      <x:c r="AB10" s="67" t="str">
        <x:f>IF(AND(I10=0,L10=0,Q10=0,T10=0,Y10=0),"PASS","FAIL")</x:f>
        <x:v>PASS</x:v>
      </x:c>
    </x:row>
    <x:row r="11" ht="18" customHeight="1">
      <x:c r="A11" s="14" t="n">
        <x:v>114</x:v>
      </x:c>
      <x:c r="B11" s="14" t="n">
        <x:v>6</x:v>
      </x:c>
      <x:c r="C11" s="14" t="n">
        <x:v>112</x:v>
      </x:c>
      <x:c r="D11" s="14" t="n">
        <x:v>211</x:v>
      </x:c>
      <x:c r="E11" s="14" t="n">
        <x:v>126</x:v>
      </x:c>
      <x:c r="F11" s="14" t="n">
        <x:v>259</x:v>
      </x:c>
      <x:c r="G11" s="14" t="n">
        <x:v>217</x:v>
      </x:c>
      <x:c r="H11" s="14" t="n">
        <x:f>INT((F11-D11)*(A11-C11)/(E11-C11))+D11</x:f>
        <x:v>217</x:v>
      </x:c>
      <x:c r="I11" s="68" t="n">
        <x:f>H11-G11</x:f>
        <x:v>0</x:v>
      </x:c>
      <x:c r="J11" s="14" t="n">
        <x:v>1412</x:v>
      </x:c>
      <x:c r="K11" s="14" t="n">
        <x:f>INT(H11*'공식·설정'!$B$10/'공식·설정'!$B$15)</x:f>
        <x:v>1412</x:v>
      </x:c>
      <x:c r="L11" s="68" t="n">
        <x:f>K11-J11</x:f>
        <x:v>0</x:v>
      </x:c>
      <x:c r="M11" s="65" t="n">
        <x:f>J11/'공식·설정'!$B$7</x:f>
        <x:v>5.515625</x:v>
      </x:c>
      <x:c r="N11" s="65" t="n">
        <x:f>K11/'공식·설정'!$B$7</x:f>
        <x:v>5.515625</x:v>
      </x:c>
      <x:c r="O11" s="14" t="n">
        <x:v>1</x:v>
      </x:c>
      <x:c r="P11" s="14" t="n">
        <x:f>MIN(32767,MAX(0,INT((K11+INT('공식·설정'!$B$12/2))/'공식·설정'!$B$12)))</x:f>
        <x:v>1</x:v>
      </x:c>
      <x:c r="Q11" s="68" t="n">
        <x:f>P11-O11</x:f>
        <x:v>0</x:v>
      </x:c>
      <x:c r="R11" s="14" t="n">
        <x:v>11008</x:v>
      </x:c>
      <x:c r="S11" s="14" t="n">
        <x:f>P11*'공식·설정'!$B$12+'공식·설정'!$B$14</x:f>
        <x:v>11008</x:v>
      </x:c>
      <x:c r="T11" s="68" t="n">
        <x:f>S11-R11</x:f>
        <x:v>0</x:v>
      </x:c>
      <x:c r="U11" s="65" t="n">
        <x:f>R11/'공식·설정'!$B$7</x:f>
        <x:v>43</x:v>
      </x:c>
      <x:c r="V11" s="65" t="n">
        <x:f>S11/'공식·설정'!$B$7</x:f>
        <x:v>43</x:v>
      </x:c>
      <x:c r="W11" s="14" t="n">
        <x:v>1206</x:v>
      </x:c>
      <x:c r="X11" s="14" t="n">
        <x:f>INT(ABS(K12-K11)*'공식·설정'!$B$8/K11)</x:f>
        <x:v>1206</x:v>
      </x:c>
      <x:c r="Y11" s="68" t="n">
        <x:f>X11-W11</x:f>
        <x:v>0</x:v>
      </x:c>
      <x:c r="Z11" s="66" t="n">
        <x:f>W11/'공식·설정'!$B$8</x:f>
        <x:v>0.018402099609375</x:v>
      </x:c>
      <x:c r="AA11" s="66" t="n">
        <x:f>X11/'공식·설정'!$B$8</x:f>
        <x:v>0.018402099609375</x:v>
      </x:c>
      <x:c r="AB11" s="67" t="str">
        <x:f>IF(AND(I11=0,L11=0,Q11=0,T11=0,Y11=0),"PASS","FAIL")</x:f>
        <x:v>PASS</x:v>
      </x:c>
    </x:row>
    <x:row r="12" ht="18" customHeight="1">
      <x:c r="A12" s="14" t="n">
        <x:v>115</x:v>
      </x:c>
      <x:c r="B12" s="14" t="n">
        <x:v>7</x:v>
      </x:c>
      <x:c r="C12" s="14" t="n">
        <x:v>112</x:v>
      </x:c>
      <x:c r="D12" s="14" t="n">
        <x:v>211</x:v>
      </x:c>
      <x:c r="E12" s="14" t="n">
        <x:v>126</x:v>
      </x:c>
      <x:c r="F12" s="14" t="n">
        <x:v>259</x:v>
      </x:c>
      <x:c r="G12" s="14" t="n">
        <x:v>221</x:v>
      </x:c>
      <x:c r="H12" s="14" t="n">
        <x:f>INT((F12-D12)*(A12-C12)/(E12-C12))+D12</x:f>
        <x:v>221</x:v>
      </x:c>
      <x:c r="I12" s="68" t="n">
        <x:f>H12-G12</x:f>
        <x:v>0</x:v>
      </x:c>
      <x:c r="J12" s="14" t="n">
        <x:v>1438</x:v>
      </x:c>
      <x:c r="K12" s="14" t="n">
        <x:f>INT(H12*'공식·설정'!$B$10/'공식·설정'!$B$15)</x:f>
        <x:v>1438</x:v>
      </x:c>
      <x:c r="L12" s="68" t="n">
        <x:f>K12-J12</x:f>
        <x:v>0</x:v>
      </x:c>
      <x:c r="M12" s="65" t="n">
        <x:f>J12/'공식·설정'!$B$7</x:f>
        <x:v>5.6171875</x:v>
      </x:c>
      <x:c r="N12" s="65" t="n">
        <x:f>K12/'공식·설정'!$B$7</x:f>
        <x:v>5.6171875</x:v>
      </x:c>
      <x:c r="O12" s="14" t="n">
        <x:v>1</x:v>
      </x:c>
      <x:c r="P12" s="14" t="n">
        <x:f>MIN(32767,MAX(0,INT((K12+INT('공식·설정'!$B$12/2))/'공식·설정'!$B$12)))</x:f>
        <x:v>1</x:v>
      </x:c>
      <x:c r="Q12" s="68" t="n">
        <x:f>P12-O12</x:f>
        <x:v>0</x:v>
      </x:c>
      <x:c r="R12" s="14" t="n">
        <x:v>11008</x:v>
      </x:c>
      <x:c r="S12" s="14" t="n">
        <x:f>P12*'공식·설정'!$B$12+'공식·설정'!$B$14</x:f>
        <x:v>11008</x:v>
      </x:c>
      <x:c r="T12" s="68" t="n">
        <x:f>S12-R12</x:f>
        <x:v>0</x:v>
      </x:c>
      <x:c r="U12" s="65" t="n">
        <x:f>R12/'공식·설정'!$B$7</x:f>
        <x:v>43</x:v>
      </x:c>
      <x:c r="V12" s="65" t="n">
        <x:f>S12/'공식·설정'!$B$7</x:f>
        <x:v>43</x:v>
      </x:c>
      <x:c r="W12" s="14" t="n">
        <x:v>911</x:v>
      </x:c>
      <x:c r="X12" s="14" t="n">
        <x:f>INT(ABS(K13-K12)*'공식·설정'!$B$8/K12)</x:f>
        <x:v>911</x:v>
      </x:c>
      <x:c r="Y12" s="68" t="n">
        <x:f>X12-W12</x:f>
        <x:v>0</x:v>
      </x:c>
      <x:c r="Z12" s="66" t="n">
        <x:f>W12/'공식·설정'!$B$8</x:f>
        <x:v>0.0139007568359375</x:v>
      </x:c>
      <x:c r="AA12" s="66" t="n">
        <x:f>X12/'공식·설정'!$B$8</x:f>
        <x:v>0.0139007568359375</x:v>
      </x:c>
      <x:c r="AB12" s="67" t="str">
        <x:f>IF(AND(I12=0,L12=0,Q12=0,T12=0,Y12=0),"PASS","FAIL")</x:f>
        <x:v>PASS</x:v>
      </x:c>
    </x:row>
    <x:row r="13" ht="18" customHeight="1">
      <x:c r="A13" s="14" t="n">
        <x:v>116</x:v>
      </x:c>
      <x:c r="B13" s="14" t="n">
        <x:v>8</x:v>
      </x:c>
      <x:c r="C13" s="14" t="n">
        <x:v>112</x:v>
      </x:c>
      <x:c r="D13" s="14" t="n">
        <x:v>211</x:v>
      </x:c>
      <x:c r="E13" s="14" t="n">
        <x:v>126</x:v>
      </x:c>
      <x:c r="F13" s="14" t="n">
        <x:v>259</x:v>
      </x:c>
      <x:c r="G13" s="14" t="n">
        <x:v>224</x:v>
      </x:c>
      <x:c r="H13" s="14" t="n">
        <x:f>INT((F13-D13)*(A13-C13)/(E13-C13))+D13</x:f>
        <x:v>224</x:v>
      </x:c>
      <x:c r="I13" s="68" t="n">
        <x:f>H13-G13</x:f>
        <x:v>0</x:v>
      </x:c>
      <x:c r="J13" s="14" t="n">
        <x:v>1458</x:v>
      </x:c>
      <x:c r="K13" s="14" t="n">
        <x:f>INT(H13*'공식·설정'!$B$10/'공식·설정'!$B$15)</x:f>
        <x:v>1458</x:v>
      </x:c>
      <x:c r="L13" s="68" t="n">
        <x:f>K13-J13</x:f>
        <x:v>0</x:v>
      </x:c>
      <x:c r="M13" s="65" t="n">
        <x:f>J13/'공식·설정'!$B$7</x:f>
        <x:v>5.6953125</x:v>
      </x:c>
      <x:c r="N13" s="65" t="n">
        <x:f>K13/'공식·설정'!$B$7</x:f>
        <x:v>5.6953125</x:v>
      </x:c>
      <x:c r="O13" s="14" t="n">
        <x:v>1</x:v>
      </x:c>
      <x:c r="P13" s="14" t="n">
        <x:f>MIN(32767,MAX(0,INT((K13+INT('공식·설정'!$B$12/2))/'공식·설정'!$B$12)))</x:f>
        <x:v>1</x:v>
      </x:c>
      <x:c r="Q13" s="68" t="n">
        <x:f>P13-O13</x:f>
        <x:v>0</x:v>
      </x:c>
      <x:c r="R13" s="14" t="n">
        <x:v>11008</x:v>
      </x:c>
      <x:c r="S13" s="14" t="n">
        <x:f>P13*'공식·설정'!$B$12+'공식·설정'!$B$14</x:f>
        <x:v>11008</x:v>
      </x:c>
      <x:c r="T13" s="68" t="n">
        <x:f>S13-R13</x:f>
        <x:v>0</x:v>
      </x:c>
      <x:c r="U13" s="65" t="n">
        <x:f>R13/'공식·설정'!$B$7</x:f>
        <x:v>43</x:v>
      </x:c>
      <x:c r="V13" s="65" t="n">
        <x:f>S13/'공식·설정'!$B$7</x:f>
        <x:v>43</x:v>
      </x:c>
      <x:c r="W13" s="14" t="n">
        <x:v>1168</x:v>
      </x:c>
      <x:c r="X13" s="14" t="n">
        <x:f>INT(ABS(K14-K13)*'공식·설정'!$B$8/K13)</x:f>
        <x:v>1168</x:v>
      </x:c>
      <x:c r="Y13" s="68" t="n">
        <x:f>X13-W13</x:f>
        <x:v>0</x:v>
      </x:c>
      <x:c r="Z13" s="66" t="n">
        <x:f>W13/'공식·설정'!$B$8</x:f>
        <x:v>0.017822265625</x:v>
      </x:c>
      <x:c r="AA13" s="66" t="n">
        <x:f>X13/'공식·설정'!$B$8</x:f>
        <x:v>0.017822265625</x:v>
      </x:c>
      <x:c r="AB13" s="67" t="str">
        <x:f>IF(AND(I13=0,L13=0,Q13=0,T13=0,Y13=0),"PASS","FAIL")</x:f>
        <x:v>PASS</x:v>
      </x:c>
    </x:row>
    <x:row r="14" ht="18" customHeight="1">
      <x:c r="A14" s="14" t="n">
        <x:v>117</x:v>
      </x:c>
      <x:c r="B14" s="14" t="n">
        <x:v>9</x:v>
      </x:c>
      <x:c r="C14" s="14" t="n">
        <x:v>112</x:v>
      </x:c>
      <x:c r="D14" s="14" t="n">
        <x:v>211</x:v>
      </x:c>
      <x:c r="E14" s="14" t="n">
        <x:v>126</x:v>
      </x:c>
      <x:c r="F14" s="14" t="n">
        <x:v>259</x:v>
      </x:c>
      <x:c r="G14" s="14" t="n">
        <x:v>228</x:v>
      </x:c>
      <x:c r="H14" s="14" t="n">
        <x:f>INT((F14-D14)*(A14-C14)/(E14-C14))+D14</x:f>
        <x:v>228</x:v>
      </x:c>
      <x:c r="I14" s="68" t="n">
        <x:f>H14-G14</x:f>
        <x:v>0</x:v>
      </x:c>
      <x:c r="J14" s="14" t="n">
        <x:v>1484</x:v>
      </x:c>
      <x:c r="K14" s="14" t="n">
        <x:f>INT(H14*'공식·설정'!$B$10/'공식·설정'!$B$15)</x:f>
        <x:v>1484</x:v>
      </x:c>
      <x:c r="L14" s="68" t="n">
        <x:f>K14-J14</x:f>
        <x:v>0</x:v>
      </x:c>
      <x:c r="M14" s="65" t="n">
        <x:f>J14/'공식·설정'!$B$7</x:f>
        <x:v>5.796875</x:v>
      </x:c>
      <x:c r="N14" s="65" t="n">
        <x:f>K14/'공식·설정'!$B$7</x:f>
        <x:v>5.796875</x:v>
      </x:c>
      <x:c r="O14" s="14" t="n">
        <x:v>1</x:v>
      </x:c>
      <x:c r="P14" s="14" t="n">
        <x:f>MIN(32767,MAX(0,INT((K14+INT('공식·설정'!$B$12/2))/'공식·설정'!$B$12)))</x:f>
        <x:v>1</x:v>
      </x:c>
      <x:c r="Q14" s="68" t="n">
        <x:f>P14-O14</x:f>
        <x:v>0</x:v>
      </x:c>
      <x:c r="R14" s="14" t="n">
        <x:v>11008</x:v>
      </x:c>
      <x:c r="S14" s="14" t="n">
        <x:f>P14*'공식·설정'!$B$12+'공식·설정'!$B$14</x:f>
        <x:v>11008</x:v>
      </x:c>
      <x:c r="T14" s="68" t="n">
        <x:f>S14-R14</x:f>
        <x:v>0</x:v>
      </x:c>
      <x:c r="U14" s="65" t="n">
        <x:f>R14/'공식·설정'!$B$7</x:f>
        <x:v>43</x:v>
      </x:c>
      <x:c r="V14" s="65" t="n">
        <x:f>S14/'공식·설정'!$B$7</x:f>
        <x:v>43</x:v>
      </x:c>
      <x:c r="W14" s="14" t="n">
        <x:v>839</x:v>
      </x:c>
      <x:c r="X14" s="14" t="n">
        <x:f>INT(ABS(K15-K14)*'공식·설정'!$B$8/K14)</x:f>
        <x:v>839</x:v>
      </x:c>
      <x:c r="Y14" s="68" t="n">
        <x:f>X14-W14</x:f>
        <x:v>0</x:v>
      </x:c>
      <x:c r="Z14" s="66" t="n">
        <x:f>W14/'공식·설정'!$B$8</x:f>
        <x:v>0.0128021240234375</x:v>
      </x:c>
      <x:c r="AA14" s="66" t="n">
        <x:f>X14/'공식·설정'!$B$8</x:f>
        <x:v>0.0128021240234375</x:v>
      </x:c>
      <x:c r="AB14" s="67" t="str">
        <x:f>IF(AND(I14=0,L14=0,Q14=0,T14=0,Y14=0),"PASS","FAIL")</x:f>
        <x:v>PASS</x:v>
      </x:c>
    </x:row>
    <x:row r="15" ht="18" customHeight="1">
      <x:c r="A15" s="14" t="n">
        <x:v>118</x:v>
      </x:c>
      <x:c r="B15" s="14" t="n">
        <x:v>10</x:v>
      </x:c>
      <x:c r="C15" s="14" t="n">
        <x:v>112</x:v>
      </x:c>
      <x:c r="D15" s="14" t="n">
        <x:v>211</x:v>
      </x:c>
      <x:c r="E15" s="14" t="n">
        <x:v>126</x:v>
      </x:c>
      <x:c r="F15" s="14" t="n">
        <x:v>259</x:v>
      </x:c>
      <x:c r="G15" s="14" t="n">
        <x:v>231</x:v>
      </x:c>
      <x:c r="H15" s="14" t="n">
        <x:f>INT((F15-D15)*(A15-C15)/(E15-C15))+D15</x:f>
        <x:v>231</x:v>
      </x:c>
      <x:c r="I15" s="68" t="n">
        <x:f>H15-G15</x:f>
        <x:v>0</x:v>
      </x:c>
      <x:c r="J15" s="14" t="n">
        <x:v>1503</x:v>
      </x:c>
      <x:c r="K15" s="14" t="n">
        <x:f>INT(H15*'공식·설정'!$B$10/'공식·설정'!$B$15)</x:f>
        <x:v>1503</x:v>
      </x:c>
      <x:c r="L15" s="68" t="n">
        <x:f>K15-J15</x:f>
        <x:v>0</x:v>
      </x:c>
      <x:c r="M15" s="65" t="n">
        <x:f>J15/'공식·설정'!$B$7</x:f>
        <x:v>5.87109375</x:v>
      </x:c>
      <x:c r="N15" s="65" t="n">
        <x:f>K15/'공식·설정'!$B$7</x:f>
        <x:v>5.87109375</x:v>
      </x:c>
      <x:c r="O15" s="14" t="n">
        <x:v>1</x:v>
      </x:c>
      <x:c r="P15" s="14" t="n">
        <x:f>MIN(32767,MAX(0,INT((K15+INT('공식·설정'!$B$12/2))/'공식·설정'!$B$12)))</x:f>
        <x:v>1</x:v>
      </x:c>
      <x:c r="Q15" s="68" t="n">
        <x:f>P15-O15</x:f>
        <x:v>0</x:v>
      </x:c>
      <x:c r="R15" s="14" t="n">
        <x:v>11008</x:v>
      </x:c>
      <x:c r="S15" s="14" t="n">
        <x:f>P15*'공식·설정'!$B$12+'공식·설정'!$B$14</x:f>
        <x:v>11008</x:v>
      </x:c>
      <x:c r="T15" s="68" t="n">
        <x:f>S15-R15</x:f>
        <x:v>0</x:v>
      </x:c>
      <x:c r="U15" s="65" t="n">
        <x:f>R15/'공식·설정'!$B$7</x:f>
        <x:v>43</x:v>
      </x:c>
      <x:c r="V15" s="65" t="n">
        <x:f>S15/'공식·설정'!$B$7</x:f>
        <x:v>43</x:v>
      </x:c>
      <x:c r="W15" s="14" t="n">
        <x:v>1133</x:v>
      </x:c>
      <x:c r="X15" s="14" t="n">
        <x:f>INT(ABS(K16-K15)*'공식·설정'!$B$8/K15)</x:f>
        <x:v>1133</x:v>
      </x:c>
      <x:c r="Y15" s="68" t="n">
        <x:f>X15-W15</x:f>
        <x:v>0</x:v>
      </x:c>
      <x:c r="Z15" s="66" t="n">
        <x:f>W15/'공식·설정'!$B$8</x:f>
        <x:v>0.0172882080078125</x:v>
      </x:c>
      <x:c r="AA15" s="66" t="n">
        <x:f>X15/'공식·설정'!$B$8</x:f>
        <x:v>0.0172882080078125</x:v>
      </x:c>
      <x:c r="AB15" s="67" t="str">
        <x:f>IF(AND(I15=0,L15=0,Q15=0,T15=0,Y15=0),"PASS","FAIL")</x:f>
        <x:v>PASS</x:v>
      </x:c>
    </x:row>
    <x:row r="16" ht="18" customHeight="1">
      <x:c r="A16" s="14" t="n">
        <x:v>119</x:v>
      </x:c>
      <x:c r="B16" s="14" t="n">
        <x:v>11</x:v>
      </x:c>
      <x:c r="C16" s="14" t="n">
        <x:v>112</x:v>
      </x:c>
      <x:c r="D16" s="14" t="n">
        <x:v>211</x:v>
      </x:c>
      <x:c r="E16" s="14" t="n">
        <x:v>126</x:v>
      </x:c>
      <x:c r="F16" s="14" t="n">
        <x:v>259</x:v>
      </x:c>
      <x:c r="G16" s="14" t="n">
        <x:v>235</x:v>
      </x:c>
      <x:c r="H16" s="14" t="n">
        <x:f>INT((F16-D16)*(A16-C16)/(E16-C16))+D16</x:f>
        <x:v>235</x:v>
      </x:c>
      <x:c r="I16" s="68" t="n">
        <x:f>H16-G16</x:f>
        <x:v>0</x:v>
      </x:c>
      <x:c r="J16" s="14" t="n">
        <x:v>1529</x:v>
      </x:c>
      <x:c r="K16" s="14" t="n">
        <x:f>INT(H16*'공식·설정'!$B$10/'공식·설정'!$B$15)</x:f>
        <x:v>1529</x:v>
      </x:c>
      <x:c r="L16" s="68" t="n">
        <x:f>K16-J16</x:f>
        <x:v>0</x:v>
      </x:c>
      <x:c r="M16" s="65" t="n">
        <x:f>J16/'공식·설정'!$B$7</x:f>
        <x:v>5.97265625</x:v>
      </x:c>
      <x:c r="N16" s="65" t="n">
        <x:f>K16/'공식·설정'!$B$7</x:f>
        <x:v>5.97265625</x:v>
      </x:c>
      <x:c r="O16" s="14" t="n">
        <x:v>1</x:v>
      </x:c>
      <x:c r="P16" s="14" t="n">
        <x:f>MIN(32767,MAX(0,INT((K16+INT('공식·설정'!$B$12/2))/'공식·설정'!$B$12)))</x:f>
        <x:v>1</x:v>
      </x:c>
      <x:c r="Q16" s="68" t="n">
        <x:f>P16-O16</x:f>
        <x:v>0</x:v>
      </x:c>
      <x:c r="R16" s="14" t="n">
        <x:v>11008</x:v>
      </x:c>
      <x:c r="S16" s="14" t="n">
        <x:f>P16*'공식·설정'!$B$12+'공식·설정'!$B$14</x:f>
        <x:v>11008</x:v>
      </x:c>
      <x:c r="T16" s="68" t="n">
        <x:f>S16-R16</x:f>
        <x:v>0</x:v>
      </x:c>
      <x:c r="U16" s="65" t="n">
        <x:f>R16/'공식·설정'!$B$7</x:f>
        <x:v>43</x:v>
      </x:c>
      <x:c r="V16" s="65" t="n">
        <x:f>S16/'공식·설정'!$B$7</x:f>
        <x:v>43</x:v>
      </x:c>
      <x:c r="W16" s="14" t="n">
        <x:v>857</x:v>
      </x:c>
      <x:c r="X16" s="14" t="n">
        <x:f>INT(ABS(K17-K16)*'공식·설정'!$B$8/K16)</x:f>
        <x:v>857</x:v>
      </x:c>
      <x:c r="Y16" s="68" t="n">
        <x:f>X16-W16</x:f>
        <x:v>0</x:v>
      </x:c>
      <x:c r="Z16" s="66" t="n">
        <x:f>W16/'공식·설정'!$B$8</x:f>
        <x:v>0.0130767822265625</x:v>
      </x:c>
      <x:c r="AA16" s="66" t="n">
        <x:f>X16/'공식·설정'!$B$8</x:f>
        <x:v>0.0130767822265625</x:v>
      </x:c>
      <x:c r="AB16" s="67" t="str">
        <x:f>IF(AND(I16=0,L16=0,Q16=0,T16=0,Y16=0),"PASS","FAIL")</x:f>
        <x:v>PASS</x:v>
      </x:c>
    </x:row>
    <x:row r="17" ht="18" customHeight="1">
      <x:c r="A17" s="14" t="n">
        <x:v>120</x:v>
      </x:c>
      <x:c r="B17" s="14" t="n">
        <x:v>12</x:v>
      </x:c>
      <x:c r="C17" s="14" t="n">
        <x:v>112</x:v>
      </x:c>
      <x:c r="D17" s="14" t="n">
        <x:v>211</x:v>
      </x:c>
      <x:c r="E17" s="14" t="n">
        <x:v>126</x:v>
      </x:c>
      <x:c r="F17" s="14" t="n">
        <x:v>259</x:v>
      </x:c>
      <x:c r="G17" s="14" t="n">
        <x:v>238</x:v>
      </x:c>
      <x:c r="H17" s="14" t="n">
        <x:f>INT((F17-D17)*(A17-C17)/(E17-C17))+D17</x:f>
        <x:v>238</x:v>
      </x:c>
      <x:c r="I17" s="68" t="n">
        <x:f>H17-G17</x:f>
        <x:v>0</x:v>
      </x:c>
      <x:c r="J17" s="14" t="n">
        <x:v>1549</x:v>
      </x:c>
      <x:c r="K17" s="14" t="n">
        <x:f>INT(H17*'공식·설정'!$B$10/'공식·설정'!$B$15)</x:f>
        <x:v>1549</x:v>
      </x:c>
      <x:c r="L17" s="68" t="n">
        <x:f>K17-J17</x:f>
        <x:v>0</x:v>
      </x:c>
      <x:c r="M17" s="65" t="n">
        <x:f>J17/'공식·설정'!$B$7</x:f>
        <x:v>6.05078125</x:v>
      </x:c>
      <x:c r="N17" s="65" t="n">
        <x:f>K17/'공식·설정'!$B$7</x:f>
        <x:v>6.05078125</x:v>
      </x:c>
      <x:c r="O17" s="14" t="n">
        <x:v>1</x:v>
      </x:c>
      <x:c r="P17" s="14" t="n">
        <x:f>MIN(32767,MAX(0,INT((K17+INT('공식·설정'!$B$12/2))/'공식·설정'!$B$12)))</x:f>
        <x:v>1</x:v>
      </x:c>
      <x:c r="Q17" s="68" t="n">
        <x:f>P17-O17</x:f>
        <x:v>0</x:v>
      </x:c>
      <x:c r="R17" s="14" t="n">
        <x:v>11008</x:v>
      </x:c>
      <x:c r="S17" s="14" t="n">
        <x:f>P17*'공식·설정'!$B$12+'공식·설정'!$B$14</x:f>
        <x:v>11008</x:v>
      </x:c>
      <x:c r="T17" s="68" t="n">
        <x:f>S17-R17</x:f>
        <x:v>0</x:v>
      </x:c>
      <x:c r="U17" s="65" t="n">
        <x:f>R17/'공식·설정'!$B$7</x:f>
        <x:v>43</x:v>
      </x:c>
      <x:c r="V17" s="65" t="n">
        <x:f>S17/'공식·설정'!$B$7</x:f>
        <x:v>43</x:v>
      </x:c>
      <x:c r="W17" s="14" t="n">
        <x:v>803</x:v>
      </x:c>
      <x:c r="X17" s="14" t="n">
        <x:f>INT(ABS(K18-K17)*'공식·설정'!$B$8/K17)</x:f>
        <x:v>803</x:v>
      </x:c>
      <x:c r="Y17" s="68" t="n">
        <x:f>X17-W17</x:f>
        <x:v>0</x:v>
      </x:c>
      <x:c r="Z17" s="66" t="n">
        <x:f>W17/'공식·설정'!$B$8</x:f>
        <x:v>0.0122528076171875</x:v>
      </x:c>
      <x:c r="AA17" s="66" t="n">
        <x:f>X17/'공식·설정'!$B$8</x:f>
        <x:v>0.0122528076171875</x:v>
      </x:c>
      <x:c r="AB17" s="67" t="str">
        <x:f>IF(AND(I17=0,L17=0,Q17=0,T17=0,Y17=0),"PASS","FAIL")</x:f>
        <x:v>PASS</x:v>
      </x:c>
    </x:row>
    <x:row r="18" ht="18" customHeight="1">
      <x:c r="A18" s="14" t="n">
        <x:v>121</x:v>
      </x:c>
      <x:c r="B18" s="14" t="n">
        <x:v>13</x:v>
      </x:c>
      <x:c r="C18" s="14" t="n">
        <x:v>112</x:v>
      </x:c>
      <x:c r="D18" s="14" t="n">
        <x:v>211</x:v>
      </x:c>
      <x:c r="E18" s="14" t="n">
        <x:v>126</x:v>
      </x:c>
      <x:c r="F18" s="14" t="n">
        <x:v>259</x:v>
      </x:c>
      <x:c r="G18" s="14" t="n">
        <x:v>241</x:v>
      </x:c>
      <x:c r="H18" s="14" t="n">
        <x:f>INT((F18-D18)*(A18-C18)/(E18-C18))+D18</x:f>
        <x:v>241</x:v>
      </x:c>
      <x:c r="I18" s="68" t="n">
        <x:f>H18-G18</x:f>
        <x:v>0</x:v>
      </x:c>
      <x:c r="J18" s="14" t="n">
        <x:v>1568</x:v>
      </x:c>
      <x:c r="K18" s="14" t="n">
        <x:f>INT(H18*'공식·설정'!$B$10/'공식·설정'!$B$15)</x:f>
        <x:v>1568</x:v>
      </x:c>
      <x:c r="L18" s="68" t="n">
        <x:f>K18-J18</x:f>
        <x:v>0</x:v>
      </x:c>
      <x:c r="M18" s="65" t="n">
        <x:f>J18/'공식·설정'!$B$7</x:f>
        <x:v>6.125</x:v>
      </x:c>
      <x:c r="N18" s="65" t="n">
        <x:f>K18/'공식·설정'!$B$7</x:f>
        <x:v>6.125</x:v>
      </x:c>
      <x:c r="O18" s="14" t="n">
        <x:v>1</x:v>
      </x:c>
      <x:c r="P18" s="14" t="n">
        <x:f>MIN(32767,MAX(0,INT((K18+INT('공식·설정'!$B$12/2))/'공식·설정'!$B$12)))</x:f>
        <x:v>1</x:v>
      </x:c>
      <x:c r="Q18" s="68" t="n">
        <x:f>P18-O18</x:f>
        <x:v>0</x:v>
      </x:c>
      <x:c r="R18" s="14" t="n">
        <x:v>11008</x:v>
      </x:c>
      <x:c r="S18" s="14" t="n">
        <x:f>P18*'공식·설정'!$B$12+'공식·설정'!$B$14</x:f>
        <x:v>11008</x:v>
      </x:c>
      <x:c r="T18" s="68" t="n">
        <x:f>S18-R18</x:f>
        <x:v>0</x:v>
      </x:c>
      <x:c r="U18" s="65" t="n">
        <x:f>R18/'공식·설정'!$B$7</x:f>
        <x:v>43</x:v>
      </x:c>
      <x:c r="V18" s="65" t="n">
        <x:f>S18/'공식·설정'!$B$7</x:f>
        <x:v>43</x:v>
      </x:c>
      <x:c r="W18" s="14" t="n">
        <x:v>1128</x:v>
      </x:c>
      <x:c r="X18" s="14" t="n">
        <x:f>INT(ABS(K19-K18)*'공식·설정'!$B$8/K18)</x:f>
        <x:v>1128</x:v>
      </x:c>
      <x:c r="Y18" s="68" t="n">
        <x:f>X18-W18</x:f>
        <x:v>0</x:v>
      </x:c>
      <x:c r="Z18" s="66" t="n">
        <x:f>W18/'공식·설정'!$B$8</x:f>
        <x:v>0.0172119140625</x:v>
      </x:c>
      <x:c r="AA18" s="66" t="n">
        <x:f>X18/'공식·설정'!$B$8</x:f>
        <x:v>0.0172119140625</x:v>
      </x:c>
      <x:c r="AB18" s="67" t="str">
        <x:f>IF(AND(I18=0,L18=0,Q18=0,T18=0,Y18=0),"PASS","FAIL")</x:f>
        <x:v>PASS</x:v>
      </x:c>
    </x:row>
    <x:row r="19" ht="18" customHeight="1">
      <x:c r="A19" s="14" t="n">
        <x:v>122</x:v>
      </x:c>
      <x:c r="B19" s="14" t="n">
        <x:v>14</x:v>
      </x:c>
      <x:c r="C19" s="14" t="n">
        <x:v>112</x:v>
      </x:c>
      <x:c r="D19" s="14" t="n">
        <x:v>211</x:v>
      </x:c>
      <x:c r="E19" s="14" t="n">
        <x:v>126</x:v>
      </x:c>
      <x:c r="F19" s="14" t="n">
        <x:v>259</x:v>
      </x:c>
      <x:c r="G19" s="14" t="n">
        <x:v>245</x:v>
      </x:c>
      <x:c r="H19" s="14" t="n">
        <x:f>INT((F19-D19)*(A19-C19)/(E19-C19))+D19</x:f>
        <x:v>245</x:v>
      </x:c>
      <x:c r="I19" s="68" t="n">
        <x:f>H19-G19</x:f>
        <x:v>0</x:v>
      </x:c>
      <x:c r="J19" s="14" t="n">
        <x:v>1595</x:v>
      </x:c>
      <x:c r="K19" s="14" t="n">
        <x:f>INT(H19*'공식·설정'!$B$10/'공식·설정'!$B$15)</x:f>
        <x:v>1595</x:v>
      </x:c>
      <x:c r="L19" s="68" t="n">
        <x:f>K19-J19</x:f>
        <x:v>0</x:v>
      </x:c>
      <x:c r="M19" s="65" t="n">
        <x:f>J19/'공식·설정'!$B$7</x:f>
        <x:v>6.23046875</x:v>
      </x:c>
      <x:c r="N19" s="65" t="n">
        <x:f>K19/'공식·설정'!$B$7</x:f>
        <x:v>6.23046875</x:v>
      </x:c>
      <x:c r="O19" s="14" t="n">
        <x:v>1</x:v>
      </x:c>
      <x:c r="P19" s="14" t="n">
        <x:f>MIN(32767,MAX(0,INT((K19+INT('공식·설정'!$B$12/2))/'공식·설정'!$B$12)))</x:f>
        <x:v>1</x:v>
      </x:c>
      <x:c r="Q19" s="68" t="n">
        <x:f>P19-O19</x:f>
        <x:v>0</x:v>
      </x:c>
      <x:c r="R19" s="14" t="n">
        <x:v>11008</x:v>
      </x:c>
      <x:c r="S19" s="14" t="n">
        <x:f>P19*'공식·설정'!$B$12+'공식·설정'!$B$14</x:f>
        <x:v>11008</x:v>
      </x:c>
      <x:c r="T19" s="68" t="n">
        <x:f>S19-R19</x:f>
        <x:v>0</x:v>
      </x:c>
      <x:c r="U19" s="65" t="n">
        <x:f>R19/'공식·설정'!$B$7</x:f>
        <x:v>43</x:v>
      </x:c>
      <x:c r="V19" s="65" t="n">
        <x:f>S19/'공식·설정'!$B$7</x:f>
        <x:v>43</x:v>
      </x:c>
      <x:c r="W19" s="14" t="n">
        <x:v>780</x:v>
      </x:c>
      <x:c r="X19" s="14" t="n">
        <x:f>INT(ABS(K20-K19)*'공식·설정'!$B$8/K19)</x:f>
        <x:v>780</x:v>
      </x:c>
      <x:c r="Y19" s="68" t="n">
        <x:f>X19-W19</x:f>
        <x:v>0</x:v>
      </x:c>
      <x:c r="Z19" s="66" t="n">
        <x:f>W19/'공식·설정'!$B$8</x:f>
        <x:v>0.01190185546875</x:v>
      </x:c>
      <x:c r="AA19" s="66" t="n">
        <x:f>X19/'공식·설정'!$B$8</x:f>
        <x:v>0.01190185546875</x:v>
      </x:c>
      <x:c r="AB19" s="67" t="str">
        <x:f>IF(AND(I19=0,L19=0,Q19=0,T19=0,Y19=0),"PASS","FAIL")</x:f>
        <x:v>PASS</x:v>
      </x:c>
    </x:row>
    <x:row r="20" ht="18" customHeight="1">
      <x:c r="A20" s="14" t="n">
        <x:v>123</x:v>
      </x:c>
      <x:c r="B20" s="14" t="n">
        <x:v>15</x:v>
      </x:c>
      <x:c r="C20" s="14" t="n">
        <x:v>112</x:v>
      </x:c>
      <x:c r="D20" s="14" t="n">
        <x:v>211</x:v>
      </x:c>
      <x:c r="E20" s="14" t="n">
        <x:v>126</x:v>
      </x:c>
      <x:c r="F20" s="14" t="n">
        <x:v>259</x:v>
      </x:c>
      <x:c r="G20" s="14" t="n">
        <x:v>248</x:v>
      </x:c>
      <x:c r="H20" s="14" t="n">
        <x:f>INT((F20-D20)*(A20-C20)/(E20-C20))+D20</x:f>
        <x:v>248</x:v>
      </x:c>
      <x:c r="I20" s="68" t="n">
        <x:f>H20-G20</x:f>
        <x:v>0</x:v>
      </x:c>
      <x:c r="J20" s="14" t="n">
        <x:v>1614</x:v>
      </x:c>
      <x:c r="K20" s="14" t="n">
        <x:f>INT(H20*'공식·설정'!$B$10/'공식·설정'!$B$15)</x:f>
        <x:v>1614</x:v>
      </x:c>
      <x:c r="L20" s="68" t="n">
        <x:f>K20-J20</x:f>
        <x:v>0</x:v>
      </x:c>
      <x:c r="M20" s="65" t="n">
        <x:f>J20/'공식·설정'!$B$7</x:f>
        <x:v>6.3046875</x:v>
      </x:c>
      <x:c r="N20" s="65" t="n">
        <x:f>K20/'공식·설정'!$B$7</x:f>
        <x:v>6.3046875</x:v>
      </x:c>
      <x:c r="O20" s="14" t="n">
        <x:v>1</x:v>
      </x:c>
      <x:c r="P20" s="14" t="n">
        <x:f>MIN(32767,MAX(0,INT((K20+INT('공식·설정'!$B$12/2))/'공식·설정'!$B$12)))</x:f>
        <x:v>1</x:v>
      </x:c>
      <x:c r="Q20" s="68" t="n">
        <x:f>P20-O20</x:f>
        <x:v>0</x:v>
      </x:c>
      <x:c r="R20" s="14" t="n">
        <x:v>11008</x:v>
      </x:c>
      <x:c r="S20" s="14" t="n">
        <x:f>P20*'공식·설정'!$B$12+'공식·설정'!$B$14</x:f>
        <x:v>11008</x:v>
      </x:c>
      <x:c r="T20" s="68" t="n">
        <x:f>S20-R20</x:f>
        <x:v>0</x:v>
      </x:c>
      <x:c r="U20" s="65" t="n">
        <x:f>R20/'공식·설정'!$B$7</x:f>
        <x:v>43</x:v>
      </x:c>
      <x:c r="V20" s="65" t="n">
        <x:f>S20/'공식·설정'!$B$7</x:f>
        <x:v>43</x:v>
      </x:c>
      <x:c r="W20" s="14" t="n">
        <x:v>1055</x:v>
      </x:c>
      <x:c r="X20" s="14" t="n">
        <x:f>INT(ABS(K21-K20)*'공식·설정'!$B$8/K20)</x:f>
        <x:v>1055</x:v>
      </x:c>
      <x:c r="Y20" s="68" t="n">
        <x:f>X20-W20</x:f>
        <x:v>0</x:v>
      </x:c>
      <x:c r="Z20" s="66" t="n">
        <x:f>W20/'공식·설정'!$B$8</x:f>
        <x:v>0.0160980224609375</x:v>
      </x:c>
      <x:c r="AA20" s="66" t="n">
        <x:f>X20/'공식·설정'!$B$8</x:f>
        <x:v>0.0160980224609375</x:v>
      </x:c>
      <x:c r="AB20" s="67" t="str">
        <x:f>IF(AND(I20=0,L20=0,Q20=0,T20=0,Y20=0),"PASS","FAIL")</x:f>
        <x:v>PASS</x:v>
      </x:c>
    </x:row>
    <x:row r="21" ht="18" customHeight="1">
      <x:c r="A21" s="14" t="n">
        <x:v>124</x:v>
      </x:c>
      <x:c r="B21" s="14" t="n">
        <x:v>16</x:v>
      </x:c>
      <x:c r="C21" s="14" t="n">
        <x:v>112</x:v>
      </x:c>
      <x:c r="D21" s="14" t="n">
        <x:v>211</x:v>
      </x:c>
      <x:c r="E21" s="14" t="n">
        <x:v>126</x:v>
      </x:c>
      <x:c r="F21" s="14" t="n">
        <x:v>259</x:v>
      </x:c>
      <x:c r="G21" s="14" t="n">
        <x:v>252</x:v>
      </x:c>
      <x:c r="H21" s="14" t="n">
        <x:f>INT((F21-D21)*(A21-C21)/(E21-C21))+D21</x:f>
        <x:v>252</x:v>
      </x:c>
      <x:c r="I21" s="68" t="n">
        <x:f>H21-G21</x:f>
        <x:v>0</x:v>
      </x:c>
      <x:c r="J21" s="14" t="n">
        <x:v>1640</x:v>
      </x:c>
      <x:c r="K21" s="14" t="n">
        <x:f>INT(H21*'공식·설정'!$B$10/'공식·설정'!$B$15)</x:f>
        <x:v>1640</x:v>
      </x:c>
      <x:c r="L21" s="68" t="n">
        <x:f>K21-J21</x:f>
        <x:v>0</x:v>
      </x:c>
      <x:c r="M21" s="65" t="n">
        <x:f>J21/'공식·설정'!$B$7</x:f>
        <x:v>6.40625</x:v>
      </x:c>
      <x:c r="N21" s="65" t="n">
        <x:f>K21/'공식·설정'!$B$7</x:f>
        <x:v>6.40625</x:v>
      </x:c>
      <x:c r="O21" s="14" t="n">
        <x:v>1</x:v>
      </x:c>
      <x:c r="P21" s="14" t="n">
        <x:f>MIN(32767,MAX(0,INT((K21+INT('공식·설정'!$B$12/2))/'공식·설정'!$B$12)))</x:f>
        <x:v>1</x:v>
      </x:c>
      <x:c r="Q21" s="68" t="n">
        <x:f>P21-O21</x:f>
        <x:v>0</x:v>
      </x:c>
      <x:c r="R21" s="14" t="n">
        <x:v>11008</x:v>
      </x:c>
      <x:c r="S21" s="14" t="n">
        <x:f>P21*'공식·설정'!$B$12+'공식·설정'!$B$14</x:f>
        <x:v>11008</x:v>
      </x:c>
      <x:c r="T21" s="68" t="n">
        <x:f>S21-R21</x:f>
        <x:v>0</x:v>
      </x:c>
      <x:c r="U21" s="65" t="n">
        <x:f>R21/'공식·설정'!$B$7</x:f>
        <x:v>43</x:v>
      </x:c>
      <x:c r="V21" s="65" t="n">
        <x:f>S21/'공식·설정'!$B$7</x:f>
        <x:v>43</x:v>
      </x:c>
      <x:c r="W21" s="14" t="n">
        <x:v>799</x:v>
      </x:c>
      <x:c r="X21" s="14" t="n">
        <x:f>INT(ABS(K22-K21)*'공식·설정'!$B$8/K21)</x:f>
        <x:v>799</x:v>
      </x:c>
      <x:c r="Y21" s="68" t="n">
        <x:f>X21-W21</x:f>
        <x:v>0</x:v>
      </x:c>
      <x:c r="Z21" s="66" t="n">
        <x:f>W21/'공식·설정'!$B$8</x:f>
        <x:v>0.0121917724609375</x:v>
      </x:c>
      <x:c r="AA21" s="66" t="n">
        <x:f>X21/'공식·설정'!$B$8</x:f>
        <x:v>0.0121917724609375</x:v>
      </x:c>
      <x:c r="AB21" s="67" t="str">
        <x:f>IF(AND(I21=0,L21=0,Q21=0,T21=0,Y21=0),"PASS","FAIL")</x:f>
        <x:v>PASS</x:v>
      </x:c>
    </x:row>
    <x:row r="22" ht="18" customHeight="1">
      <x:c r="A22" s="14" t="n">
        <x:v>125</x:v>
      </x:c>
      <x:c r="B22" s="14" t="n">
        <x:v>17</x:v>
      </x:c>
      <x:c r="C22" s="14" t="n">
        <x:v>112</x:v>
      </x:c>
      <x:c r="D22" s="14" t="n">
        <x:v>211</x:v>
      </x:c>
      <x:c r="E22" s="14" t="n">
        <x:v>126</x:v>
      </x:c>
      <x:c r="F22" s="14" t="n">
        <x:v>259</x:v>
      </x:c>
      <x:c r="G22" s="14" t="n">
        <x:v>255</x:v>
      </x:c>
      <x:c r="H22" s="14" t="n">
        <x:f>INT((F22-D22)*(A22-C22)/(E22-C22))+D22</x:f>
        <x:v>255</x:v>
      </x:c>
      <x:c r="I22" s="68" t="n">
        <x:f>H22-G22</x:f>
        <x:v>0</x:v>
      </x:c>
      <x:c r="J22" s="14" t="n">
        <x:v>1660</x:v>
      </x:c>
      <x:c r="K22" s="14" t="n">
        <x:f>INT(H22*'공식·설정'!$B$10/'공식·설정'!$B$15)</x:f>
        <x:v>1660</x:v>
      </x:c>
      <x:c r="L22" s="68" t="n">
        <x:f>K22-J22</x:f>
        <x:v>0</x:v>
      </x:c>
      <x:c r="M22" s="65" t="n">
        <x:f>J22/'공식·설정'!$B$7</x:f>
        <x:v>6.484375</x:v>
      </x:c>
      <x:c r="N22" s="65" t="n">
        <x:f>K22/'공식·설정'!$B$7</x:f>
        <x:v>6.484375</x:v>
      </x:c>
      <x:c r="O22" s="14" t="n">
        <x:v>1</x:v>
      </x:c>
      <x:c r="P22" s="14" t="n">
        <x:f>MIN(32767,MAX(0,INT((K22+INT('공식·설정'!$B$12/2))/'공식·설정'!$B$12)))</x:f>
        <x:v>1</x:v>
      </x:c>
      <x:c r="Q22" s="68" t="n">
        <x:f>P22-O22</x:f>
        <x:v>0</x:v>
      </x:c>
      <x:c r="R22" s="14" t="n">
        <x:v>11008</x:v>
      </x:c>
      <x:c r="S22" s="14" t="n">
        <x:f>P22*'공식·설정'!$B$12+'공식·설정'!$B$14</x:f>
        <x:v>11008</x:v>
      </x:c>
      <x:c r="T22" s="68" t="n">
        <x:f>S22-R22</x:f>
        <x:v>0</x:v>
      </x:c>
      <x:c r="U22" s="65" t="n">
        <x:f>R22/'공식·설정'!$B$7</x:f>
        <x:v>43</x:v>
      </x:c>
      <x:c r="V22" s="65" t="n">
        <x:f>S22/'공식·설정'!$B$7</x:f>
        <x:v>43</x:v>
      </x:c>
      <x:c r="W22" s="14" t="n">
        <x:v>1026</x:v>
      </x:c>
      <x:c r="X22" s="14" t="n">
        <x:f>INT(ABS(K23-K22)*'공식·설정'!$B$8/K22)</x:f>
        <x:v>1026</x:v>
      </x:c>
      <x:c r="Y22" s="68" t="n">
        <x:f>X22-W22</x:f>
        <x:v>0</x:v>
      </x:c>
      <x:c r="Z22" s="66" t="n">
        <x:f>W22/'공식·설정'!$B$8</x:f>
        <x:v>0.015655517578125</x:v>
      </x:c>
      <x:c r="AA22" s="66" t="n">
        <x:f>X22/'공식·설정'!$B$8</x:f>
        <x:v>0.015655517578125</x:v>
      </x:c>
      <x:c r="AB22" s="67" t="str">
        <x:f>IF(AND(I22=0,L22=0,Q22=0,T22=0,Y22=0),"PASS","FAIL")</x:f>
        <x:v>PASS</x:v>
      </x:c>
    </x:row>
    <x:row r="23" ht="18" customHeight="1">
      <x:c r="A23" s="14" t="n">
        <x:v>126</x:v>
      </x:c>
      <x:c r="B23" s="14" t="n">
        <x:v>18</x:v>
      </x:c>
      <x:c r="C23" s="14" t="n">
        <x:v>126</x:v>
      </x:c>
      <x:c r="D23" s="14" t="n">
        <x:v>259</x:v>
      </x:c>
      <x:c r="E23" s="14" t="n">
        <x:v>140</x:v>
      </x:c>
      <x:c r="F23" s="14" t="n">
        <x:v>316</x:v>
      </x:c>
      <x:c r="G23" s="14" t="n">
        <x:v>259</x:v>
      </x:c>
      <x:c r="H23" s="14" t="n">
        <x:f>INT((F23-D23)*(A23-C23)/(E23-C23))+D23</x:f>
        <x:v>259</x:v>
      </x:c>
      <x:c r="I23" s="68" t="n">
        <x:f>H23-G23</x:f>
        <x:v>0</x:v>
      </x:c>
      <x:c r="J23" s="14" t="n">
        <x:v>1686</x:v>
      </x:c>
      <x:c r="K23" s="14" t="n">
        <x:f>INT(H23*'공식·설정'!$B$10/'공식·설정'!$B$15)</x:f>
        <x:v>1686</x:v>
      </x:c>
      <x:c r="L23" s="68" t="n">
        <x:f>K23-J23</x:f>
        <x:v>0</x:v>
      </x:c>
      <x:c r="M23" s="65" t="n">
        <x:f>J23/'공식·설정'!$B$7</x:f>
        <x:v>6.5859375</x:v>
      </x:c>
      <x:c r="N23" s="65" t="n">
        <x:f>K23/'공식·설정'!$B$7</x:f>
        <x:v>6.5859375</x:v>
      </x:c>
      <x:c r="O23" s="14" t="n">
        <x:v>1</x:v>
      </x:c>
      <x:c r="P23" s="14" t="n">
        <x:f>MIN(32767,MAX(0,INT((K23+INT('공식·설정'!$B$12/2))/'공식·설정'!$B$12)))</x:f>
        <x:v>1</x:v>
      </x:c>
      <x:c r="Q23" s="68" t="n">
        <x:f>P23-O23</x:f>
        <x:v>0</x:v>
      </x:c>
      <x:c r="R23" s="14" t="n">
        <x:v>11008</x:v>
      </x:c>
      <x:c r="S23" s="14" t="n">
        <x:f>P23*'공식·설정'!$B$12+'공식·설정'!$B$14</x:f>
        <x:v>11008</x:v>
      </x:c>
      <x:c r="T23" s="68" t="n">
        <x:f>S23-R23</x:f>
        <x:v>0</x:v>
      </x:c>
      <x:c r="U23" s="65" t="n">
        <x:f>R23/'공식·설정'!$B$7</x:f>
        <x:v>43</x:v>
      </x:c>
      <x:c r="V23" s="65" t="n">
        <x:f>S23/'공식·설정'!$B$7</x:f>
        <x:v>43</x:v>
      </x:c>
      <x:c r="W23" s="14" t="n">
        <x:v>1010</x:v>
      </x:c>
      <x:c r="X23" s="14" t="n">
        <x:f>INT(ABS(K24-K23)*'공식·설정'!$B$8/K23)</x:f>
        <x:v>1010</x:v>
      </x:c>
      <x:c r="Y23" s="68" t="n">
        <x:f>X23-W23</x:f>
        <x:v>0</x:v>
      </x:c>
      <x:c r="Z23" s="66" t="n">
        <x:f>W23/'공식·설정'!$B$8</x:f>
        <x:v>0.015411376953125</x:v>
      </x:c>
      <x:c r="AA23" s="66" t="n">
        <x:f>X23/'공식·설정'!$B$8</x:f>
        <x:v>0.015411376953125</x:v>
      </x:c>
      <x:c r="AB23" s="67" t="str">
        <x:f>IF(AND(I23=0,L23=0,Q23=0,T23=0,Y23=0),"PASS","FAIL")</x:f>
        <x:v>PASS</x:v>
      </x:c>
    </x:row>
    <x:row r="24" ht="18" customHeight="1">
      <x:c r="A24" s="14" t="n">
        <x:v>127</x:v>
      </x:c>
      <x:c r="B24" s="14" t="n">
        <x:v>19</x:v>
      </x:c>
      <x:c r="C24" s="14" t="n">
        <x:v>126</x:v>
      </x:c>
      <x:c r="D24" s="14" t="n">
        <x:v>259</x:v>
      </x:c>
      <x:c r="E24" s="14" t="n">
        <x:v>140</x:v>
      </x:c>
      <x:c r="F24" s="14" t="n">
        <x:v>316</x:v>
      </x:c>
      <x:c r="G24" s="14" t="n">
        <x:v>263</x:v>
      </x:c>
      <x:c r="H24" s="14" t="n">
        <x:f>INT((F24-D24)*(A24-C24)/(E24-C24))+D24</x:f>
        <x:v>263</x:v>
      </x:c>
      <x:c r="I24" s="68" t="n">
        <x:f>H24-G24</x:f>
        <x:v>0</x:v>
      </x:c>
      <x:c r="J24" s="14" t="n">
        <x:v>1712</x:v>
      </x:c>
      <x:c r="K24" s="14" t="n">
        <x:f>INT(H24*'공식·설정'!$B$10/'공식·설정'!$B$15)</x:f>
        <x:v>1712</x:v>
      </x:c>
      <x:c r="L24" s="68" t="n">
        <x:f>K24-J24</x:f>
        <x:v>0</x:v>
      </x:c>
      <x:c r="M24" s="65" t="n">
        <x:f>J24/'공식·설정'!$B$7</x:f>
        <x:v>6.6875</x:v>
      </x:c>
      <x:c r="N24" s="65" t="n">
        <x:f>K24/'공식·설정'!$B$7</x:f>
        <x:v>6.6875</x:v>
      </x:c>
      <x:c r="O24" s="14" t="n">
        <x:v>1</x:v>
      </x:c>
      <x:c r="P24" s="14" t="n">
        <x:f>MIN(32767,MAX(0,INT((K24+INT('공식·설정'!$B$12/2))/'공식·설정'!$B$12)))</x:f>
        <x:v>1</x:v>
      </x:c>
      <x:c r="Q24" s="68" t="n">
        <x:f>P24-O24</x:f>
        <x:v>0</x:v>
      </x:c>
      <x:c r="R24" s="14" t="n">
        <x:v>11008</x:v>
      </x:c>
      <x:c r="S24" s="14" t="n">
        <x:f>P24*'공식·설정'!$B$12+'공식·설정'!$B$14</x:f>
        <x:v>11008</x:v>
      </x:c>
      <x:c r="T24" s="68" t="n">
        <x:f>S24-R24</x:f>
        <x:v>0</x:v>
      </x:c>
      <x:c r="U24" s="65" t="n">
        <x:f>R24/'공식·설정'!$B$7</x:f>
        <x:v>43</x:v>
      </x:c>
      <x:c r="V24" s="65" t="n">
        <x:f>S24/'공식·설정'!$B$7</x:f>
        <x:v>43</x:v>
      </x:c>
      <x:c r="W24" s="14" t="n">
        <x:v>995</x:v>
      </x:c>
      <x:c r="X24" s="14" t="n">
        <x:f>INT(ABS(K25-K24)*'공식·설정'!$B$8/K24)</x:f>
        <x:v>995</x:v>
      </x:c>
      <x:c r="Y24" s="68" t="n">
        <x:f>X24-W24</x:f>
        <x:v>0</x:v>
      </x:c>
      <x:c r="Z24" s="66" t="n">
        <x:f>W24/'공식·설정'!$B$8</x:f>
        <x:v>0.0151824951171875</x:v>
      </x:c>
      <x:c r="AA24" s="66" t="n">
        <x:f>X24/'공식·설정'!$B$8</x:f>
        <x:v>0.0151824951171875</x:v>
      </x:c>
      <x:c r="AB24" s="67" t="str">
        <x:f>IF(AND(I24=0,L24=0,Q24=0,T24=0,Y24=0),"PASS","FAIL")</x:f>
        <x:v>PASS</x:v>
      </x:c>
    </x:row>
    <x:row r="25" ht="18" customHeight="1">
      <x:c r="A25" s="14" t="n">
        <x:v>128</x:v>
      </x:c>
      <x:c r="B25" s="14" t="n">
        <x:v>20</x:v>
      </x:c>
      <x:c r="C25" s="14" t="n">
        <x:v>126</x:v>
      </x:c>
      <x:c r="D25" s="14" t="n">
        <x:v>259</x:v>
      </x:c>
      <x:c r="E25" s="14" t="n">
        <x:v>140</x:v>
      </x:c>
      <x:c r="F25" s="14" t="n">
        <x:v>316</x:v>
      </x:c>
      <x:c r="G25" s="14" t="n">
        <x:v>267</x:v>
      </x:c>
      <x:c r="H25" s="14" t="n">
        <x:f>INT((F25-D25)*(A25-C25)/(E25-C25))+D25</x:f>
        <x:v>267</x:v>
      </x:c>
      <x:c r="I25" s="68" t="n">
        <x:f>H25-G25</x:f>
        <x:v>0</x:v>
      </x:c>
      <x:c r="J25" s="14" t="n">
        <x:v>1738</x:v>
      </x:c>
      <x:c r="K25" s="14" t="n">
        <x:f>INT(H25*'공식·설정'!$B$10/'공식·설정'!$B$15)</x:f>
        <x:v>1738</x:v>
      </x:c>
      <x:c r="L25" s="68" t="n">
        <x:f>K25-J25</x:f>
        <x:v>0</x:v>
      </x:c>
      <x:c r="M25" s="65" t="n">
        <x:f>J25/'공식·설정'!$B$7</x:f>
        <x:v>6.7890625</x:v>
      </x:c>
      <x:c r="N25" s="65" t="n">
        <x:f>K25/'공식·설정'!$B$7</x:f>
        <x:v>6.7890625</x:v>
      </x:c>
      <x:c r="O25" s="14" t="n">
        <x:v>1</x:v>
      </x:c>
      <x:c r="P25" s="14" t="n">
        <x:f>MIN(32767,MAX(0,INT((K25+INT('공식·설정'!$B$12/2))/'공식·설정'!$B$12)))</x:f>
        <x:v>1</x:v>
      </x:c>
      <x:c r="Q25" s="68" t="n">
        <x:f>P25-O25</x:f>
        <x:v>0</x:v>
      </x:c>
      <x:c r="R25" s="14" t="n">
        <x:v>11008</x:v>
      </x:c>
      <x:c r="S25" s="14" t="n">
        <x:f>P25*'공식·설정'!$B$12+'공식·설정'!$B$14</x:f>
        <x:v>11008</x:v>
      </x:c>
      <x:c r="T25" s="68" t="n">
        <x:f>S25-R25</x:f>
        <x:v>0</x:v>
      </x:c>
      <x:c r="U25" s="65" t="n">
        <x:f>R25/'공식·설정'!$B$7</x:f>
        <x:v>43</x:v>
      </x:c>
      <x:c r="V25" s="65" t="n">
        <x:f>S25/'공식·설정'!$B$7</x:f>
        <x:v>43</x:v>
      </x:c>
      <x:c r="W25" s="14" t="n">
        <x:v>980</x:v>
      </x:c>
      <x:c r="X25" s="14" t="n">
        <x:f>INT(ABS(K26-K25)*'공식·설정'!$B$8/K25)</x:f>
        <x:v>980</x:v>
      </x:c>
      <x:c r="Y25" s="68" t="n">
        <x:f>X25-W25</x:f>
        <x:v>0</x:v>
      </x:c>
      <x:c r="Z25" s="66" t="n">
        <x:f>W25/'공식·설정'!$B$8</x:f>
        <x:v>0.01495361328125</x:v>
      </x:c>
      <x:c r="AA25" s="66" t="n">
        <x:f>X25/'공식·설정'!$B$8</x:f>
        <x:v>0.01495361328125</x:v>
      </x:c>
      <x:c r="AB25" s="67" t="str">
        <x:f>IF(AND(I25=0,L25=0,Q25=0,T25=0,Y25=0),"PASS","FAIL")</x:f>
        <x:v>PASS</x:v>
      </x:c>
    </x:row>
    <x:row r="26" ht="18" customHeight="1">
      <x:c r="A26" s="14" t="n">
        <x:v>129</x:v>
      </x:c>
      <x:c r="B26" s="14" t="n">
        <x:v>21</x:v>
      </x:c>
      <x:c r="C26" s="14" t="n">
        <x:v>126</x:v>
      </x:c>
      <x:c r="D26" s="14" t="n">
        <x:v>259</x:v>
      </x:c>
      <x:c r="E26" s="14" t="n">
        <x:v>140</x:v>
      </x:c>
      <x:c r="F26" s="14" t="n">
        <x:v>316</x:v>
      </x:c>
      <x:c r="G26" s="14" t="n">
        <x:v>271</x:v>
      </x:c>
      <x:c r="H26" s="14" t="n">
        <x:f>INT((F26-D26)*(A26-C26)/(E26-C26))+D26</x:f>
        <x:v>271</x:v>
      </x:c>
      <x:c r="I26" s="68" t="n">
        <x:f>H26-G26</x:f>
        <x:v>0</x:v>
      </x:c>
      <x:c r="J26" s="14" t="n">
        <x:v>1764</x:v>
      </x:c>
      <x:c r="K26" s="14" t="n">
        <x:f>INT(H26*'공식·설정'!$B$10/'공식·설정'!$B$15)</x:f>
        <x:v>1764</x:v>
      </x:c>
      <x:c r="L26" s="68" t="n">
        <x:f>K26-J26</x:f>
        <x:v>0</x:v>
      </x:c>
      <x:c r="M26" s="65" t="n">
        <x:f>J26/'공식·설정'!$B$7</x:f>
        <x:v>6.890625</x:v>
      </x:c>
      <x:c r="N26" s="65" t="n">
        <x:f>K26/'공식·설정'!$B$7</x:f>
        <x:v>6.890625</x:v>
      </x:c>
      <x:c r="O26" s="14" t="n">
        <x:v>1</x:v>
      </x:c>
      <x:c r="P26" s="14" t="n">
        <x:f>MIN(32767,MAX(0,INT((K26+INT('공식·설정'!$B$12/2))/'공식·설정'!$B$12)))</x:f>
        <x:v>1</x:v>
      </x:c>
      <x:c r="Q26" s="68" t="n">
        <x:f>P26-O26</x:f>
        <x:v>0</x:v>
      </x:c>
      <x:c r="R26" s="14" t="n">
        <x:v>11008</x:v>
      </x:c>
      <x:c r="S26" s="14" t="n">
        <x:f>P26*'공식·설정'!$B$12+'공식·설정'!$B$14</x:f>
        <x:v>11008</x:v>
      </x:c>
      <x:c r="T26" s="68" t="n">
        <x:f>S26-R26</x:f>
        <x:v>0</x:v>
      </x:c>
      <x:c r="U26" s="65" t="n">
        <x:f>R26/'공식·설정'!$B$7</x:f>
        <x:v>43</x:v>
      </x:c>
      <x:c r="V26" s="65" t="n">
        <x:f>S26/'공식·설정'!$B$7</x:f>
        <x:v>43</x:v>
      </x:c>
      <x:c r="W26" s="14" t="n">
        <x:v>965</x:v>
      </x:c>
      <x:c r="X26" s="14" t="n">
        <x:f>INT(ABS(K27-K26)*'공식·설정'!$B$8/K26)</x:f>
        <x:v>965</x:v>
      </x:c>
      <x:c r="Y26" s="68" t="n">
        <x:f>X26-W26</x:f>
        <x:v>0</x:v>
      </x:c>
      <x:c r="Z26" s="66" t="n">
        <x:f>W26/'공식·설정'!$B$8</x:f>
        <x:v>0.0147247314453125</x:v>
      </x:c>
      <x:c r="AA26" s="66" t="n">
        <x:f>X26/'공식·설정'!$B$8</x:f>
        <x:v>0.0147247314453125</x:v>
      </x:c>
      <x:c r="AB26" s="67" t="str">
        <x:f>IF(AND(I26=0,L26=0,Q26=0,T26=0,Y26=0),"PASS","FAIL")</x:f>
        <x:v>PASS</x:v>
      </x:c>
    </x:row>
    <x:row r="27" ht="18" customHeight="1">
      <x:c r="A27" s="14" t="n">
        <x:v>130</x:v>
      </x:c>
      <x:c r="B27" s="14" t="n">
        <x:v>22</x:v>
      </x:c>
      <x:c r="C27" s="14" t="n">
        <x:v>126</x:v>
      </x:c>
      <x:c r="D27" s="14" t="n">
        <x:v>259</x:v>
      </x:c>
      <x:c r="E27" s="14" t="n">
        <x:v>140</x:v>
      </x:c>
      <x:c r="F27" s="14" t="n">
        <x:v>316</x:v>
      </x:c>
      <x:c r="G27" s="14" t="n">
        <x:v>275</x:v>
      </x:c>
      <x:c r="H27" s="14" t="n">
        <x:f>INT((F27-D27)*(A27-C27)/(E27-C27))+D27</x:f>
        <x:v>275</x:v>
      </x:c>
      <x:c r="I27" s="68" t="n">
        <x:f>H27-G27</x:f>
        <x:v>0</x:v>
      </x:c>
      <x:c r="J27" s="14" t="n">
        <x:v>1790</x:v>
      </x:c>
      <x:c r="K27" s="14" t="n">
        <x:f>INT(H27*'공식·설정'!$B$10/'공식·설정'!$B$15)</x:f>
        <x:v>1790</x:v>
      </x:c>
      <x:c r="L27" s="68" t="n">
        <x:f>K27-J27</x:f>
        <x:v>0</x:v>
      </x:c>
      <x:c r="M27" s="65" t="n">
        <x:f>J27/'공식·설정'!$B$7</x:f>
        <x:v>6.9921875</x:v>
      </x:c>
      <x:c r="N27" s="65" t="n">
        <x:f>K27/'공식·설정'!$B$7</x:f>
        <x:v>6.9921875</x:v>
      </x:c>
      <x:c r="O27" s="14" t="n">
        <x:v>1</x:v>
      </x:c>
      <x:c r="P27" s="14" t="n">
        <x:f>MIN(32767,MAX(0,INT((K27+INT('공식·설정'!$B$12/2))/'공식·설정'!$B$12)))</x:f>
        <x:v>1</x:v>
      </x:c>
      <x:c r="Q27" s="68" t="n">
        <x:f>P27-O27</x:f>
        <x:v>0</x:v>
      </x:c>
      <x:c r="R27" s="14" t="n">
        <x:v>11008</x:v>
      </x:c>
      <x:c r="S27" s="14" t="n">
        <x:f>P27*'공식·설정'!$B$12+'공식·설정'!$B$14</x:f>
        <x:v>11008</x:v>
      </x:c>
      <x:c r="T27" s="68" t="n">
        <x:f>S27-R27</x:f>
        <x:v>0</x:v>
      </x:c>
      <x:c r="U27" s="65" t="n">
        <x:f>R27/'공식·설정'!$B$7</x:f>
        <x:v>43</x:v>
      </x:c>
      <x:c r="V27" s="65" t="n">
        <x:f>S27/'공식·설정'!$B$7</x:f>
        <x:v>43</x:v>
      </x:c>
      <x:c r="W27" s="14" t="n">
        <x:v>951</x:v>
      </x:c>
      <x:c r="X27" s="14" t="n">
        <x:f>INT(ABS(K28-K27)*'공식·설정'!$B$8/K27)</x:f>
        <x:v>951</x:v>
      </x:c>
      <x:c r="Y27" s="68" t="n">
        <x:f>X27-W27</x:f>
        <x:v>0</x:v>
      </x:c>
      <x:c r="Z27" s="66" t="n">
        <x:f>W27/'공식·설정'!$B$8</x:f>
        <x:v>0.0145111083984375</x:v>
      </x:c>
      <x:c r="AA27" s="66" t="n">
        <x:f>X27/'공식·설정'!$B$8</x:f>
        <x:v>0.0145111083984375</x:v>
      </x:c>
      <x:c r="AB27" s="67" t="str">
        <x:f>IF(AND(I27=0,L27=0,Q27=0,T27=0,Y27=0),"PASS","FAIL")</x:f>
        <x:v>PASS</x:v>
      </x:c>
    </x:row>
    <x:row r="28" ht="18" customHeight="1">
      <x:c r="A28" s="14" t="n">
        <x:v>131</x:v>
      </x:c>
      <x:c r="B28" s="14" t="n">
        <x:v>23</x:v>
      </x:c>
      <x:c r="C28" s="14" t="n">
        <x:v>126</x:v>
      </x:c>
      <x:c r="D28" s="14" t="n">
        <x:v>259</x:v>
      </x:c>
      <x:c r="E28" s="14" t="n">
        <x:v>140</x:v>
      </x:c>
      <x:c r="F28" s="14" t="n">
        <x:v>316</x:v>
      </x:c>
      <x:c r="G28" s="14" t="n">
        <x:v>279</x:v>
      </x:c>
      <x:c r="H28" s="14" t="n">
        <x:f>INT((F28-D28)*(A28-C28)/(E28-C28))+D28</x:f>
        <x:v>279</x:v>
      </x:c>
      <x:c r="I28" s="68" t="n">
        <x:f>H28-G28</x:f>
        <x:v>0</x:v>
      </x:c>
      <x:c r="J28" s="14" t="n">
        <x:v>1816</x:v>
      </x:c>
      <x:c r="K28" s="14" t="n">
        <x:f>INT(H28*'공식·설정'!$B$10/'공식·설정'!$B$15)</x:f>
        <x:v>1816</x:v>
      </x:c>
      <x:c r="L28" s="68" t="n">
        <x:f>K28-J28</x:f>
        <x:v>0</x:v>
      </x:c>
      <x:c r="M28" s="65" t="n">
        <x:f>J28/'공식·설정'!$B$7</x:f>
        <x:v>7.09375</x:v>
      </x:c>
      <x:c r="N28" s="65" t="n">
        <x:f>K28/'공식·설정'!$B$7</x:f>
        <x:v>7.09375</x:v>
      </x:c>
      <x:c r="O28" s="14" t="n">
        <x:v>1</x:v>
      </x:c>
      <x:c r="P28" s="14" t="n">
        <x:f>MIN(32767,MAX(0,INT((K28+INT('공식·설정'!$B$12/2))/'공식·설정'!$B$12)))</x:f>
        <x:v>1</x:v>
      </x:c>
      <x:c r="Q28" s="68" t="n">
        <x:f>P28-O28</x:f>
        <x:v>0</x:v>
      </x:c>
      <x:c r="R28" s="14" t="n">
        <x:v>11008</x:v>
      </x:c>
      <x:c r="S28" s="14" t="n">
        <x:f>P28*'공식·설정'!$B$12+'공식·설정'!$B$14</x:f>
        <x:v>11008</x:v>
      </x:c>
      <x:c r="T28" s="68" t="n">
        <x:f>S28-R28</x:f>
        <x:v>0</x:v>
      </x:c>
      <x:c r="U28" s="65" t="n">
        <x:f>R28/'공식·설정'!$B$7</x:f>
        <x:v>43</x:v>
      </x:c>
      <x:c r="V28" s="65" t="n">
        <x:f>S28/'공식·설정'!$B$7</x:f>
        <x:v>43</x:v>
      </x:c>
      <x:c r="W28" s="14" t="n">
        <x:v>938</x:v>
      </x:c>
      <x:c r="X28" s="14" t="n">
        <x:f>INT(ABS(K29-K28)*'공식·설정'!$B$8/K28)</x:f>
        <x:v>938</x:v>
      </x:c>
      <x:c r="Y28" s="68" t="n">
        <x:f>X28-W28</x:f>
        <x:v>0</x:v>
      </x:c>
      <x:c r="Z28" s="66" t="n">
        <x:f>W28/'공식·설정'!$B$8</x:f>
        <x:v>0.014312744140625</x:v>
      </x:c>
      <x:c r="AA28" s="66" t="n">
        <x:f>X28/'공식·설정'!$B$8</x:f>
        <x:v>0.014312744140625</x:v>
      </x:c>
      <x:c r="AB28" s="67" t="str">
        <x:f>IF(AND(I28=0,L28=0,Q28=0,T28=0,Y28=0),"PASS","FAIL")</x:f>
        <x:v>PASS</x:v>
      </x:c>
    </x:row>
    <x:row r="29" ht="18" customHeight="1">
      <x:c r="A29" s="14" t="n">
        <x:v>132</x:v>
      </x:c>
      <x:c r="B29" s="14" t="n">
        <x:v>24</x:v>
      </x:c>
      <x:c r="C29" s="14" t="n">
        <x:v>126</x:v>
      </x:c>
      <x:c r="D29" s="14" t="n">
        <x:v>259</x:v>
      </x:c>
      <x:c r="E29" s="14" t="n">
        <x:v>140</x:v>
      </x:c>
      <x:c r="F29" s="14" t="n">
        <x:v>316</x:v>
      </x:c>
      <x:c r="G29" s="14" t="n">
        <x:v>283</x:v>
      </x:c>
      <x:c r="H29" s="14" t="n">
        <x:f>INT((F29-D29)*(A29-C29)/(E29-C29))+D29</x:f>
        <x:v>283</x:v>
      </x:c>
      <x:c r="I29" s="68" t="n">
        <x:f>H29-G29</x:f>
        <x:v>0</x:v>
      </x:c>
      <x:c r="J29" s="14" t="n">
        <x:v>1842</x:v>
      </x:c>
      <x:c r="K29" s="14" t="n">
        <x:f>INT(H29*'공식·설정'!$B$10/'공식·설정'!$B$15)</x:f>
        <x:v>1842</x:v>
      </x:c>
      <x:c r="L29" s="68" t="n">
        <x:f>K29-J29</x:f>
        <x:v>0</x:v>
      </x:c>
      <x:c r="M29" s="65" t="n">
        <x:f>J29/'공식·설정'!$B$7</x:f>
        <x:v>7.1953125</x:v>
      </x:c>
      <x:c r="N29" s="65" t="n">
        <x:f>K29/'공식·설정'!$B$7</x:f>
        <x:v>7.1953125</x:v>
      </x:c>
      <x:c r="O29" s="14" t="n">
        <x:v>1</x:v>
      </x:c>
      <x:c r="P29" s="14" t="n">
        <x:f>MIN(32767,MAX(0,INT((K29+INT('공식·설정'!$B$12/2))/'공식·설정'!$B$12)))</x:f>
        <x:v>1</x:v>
      </x:c>
      <x:c r="Q29" s="68" t="n">
        <x:f>P29-O29</x:f>
        <x:v>0</x:v>
      </x:c>
      <x:c r="R29" s="14" t="n">
        <x:v>11008</x:v>
      </x:c>
      <x:c r="S29" s="14" t="n">
        <x:f>P29*'공식·설정'!$B$12+'공식·설정'!$B$14</x:f>
        <x:v>11008</x:v>
      </x:c>
      <x:c r="T29" s="68" t="n">
        <x:f>S29-R29</x:f>
        <x:v>0</x:v>
      </x:c>
      <x:c r="U29" s="65" t="n">
        <x:f>R29/'공식·설정'!$B$7</x:f>
        <x:v>43</x:v>
      </x:c>
      <x:c r="V29" s="65" t="n">
        <x:f>S29/'공식·설정'!$B$7</x:f>
        <x:v>43</x:v>
      </x:c>
      <x:c r="W29" s="14" t="n">
        <x:v>925</x:v>
      </x:c>
      <x:c r="X29" s="14" t="n">
        <x:f>INT(ABS(K30-K29)*'공식·설정'!$B$8/K29)</x:f>
        <x:v>925</x:v>
      </x:c>
      <x:c r="Y29" s="68" t="n">
        <x:f>X29-W29</x:f>
        <x:v>0</x:v>
      </x:c>
      <x:c r="Z29" s="66" t="n">
        <x:f>W29/'공식·설정'!$B$8</x:f>
        <x:v>0.0141143798828125</x:v>
      </x:c>
      <x:c r="AA29" s="66" t="n">
        <x:f>X29/'공식·설정'!$B$8</x:f>
        <x:v>0.0141143798828125</x:v>
      </x:c>
      <x:c r="AB29" s="67" t="str">
        <x:f>IF(AND(I29=0,L29=0,Q29=0,T29=0,Y29=0),"PASS","FAIL")</x:f>
        <x:v>PASS</x:v>
      </x:c>
    </x:row>
    <x:row r="30" ht="18" customHeight="1">
      <x:c r="A30" s="14" t="n">
        <x:v>133</x:v>
      </x:c>
      <x:c r="B30" s="14" t="n">
        <x:v>25</x:v>
      </x:c>
      <x:c r="C30" s="14" t="n">
        <x:v>126</x:v>
      </x:c>
      <x:c r="D30" s="14" t="n">
        <x:v>259</x:v>
      </x:c>
      <x:c r="E30" s="14" t="n">
        <x:v>140</x:v>
      </x:c>
      <x:c r="F30" s="14" t="n">
        <x:v>316</x:v>
      </x:c>
      <x:c r="G30" s="14" t="n">
        <x:v>287</x:v>
      </x:c>
      <x:c r="H30" s="14" t="n">
        <x:f>INT((F30-D30)*(A30-C30)/(E30-C30))+D30</x:f>
        <x:v>287</x:v>
      </x:c>
      <x:c r="I30" s="68" t="n">
        <x:f>H30-G30</x:f>
        <x:v>0</x:v>
      </x:c>
      <x:c r="J30" s="14" t="n">
        <x:v>1868</x:v>
      </x:c>
      <x:c r="K30" s="14" t="n">
        <x:f>INT(H30*'공식·설정'!$B$10/'공식·설정'!$B$15)</x:f>
        <x:v>1868</x:v>
      </x:c>
      <x:c r="L30" s="68" t="n">
        <x:f>K30-J30</x:f>
        <x:v>0</x:v>
      </x:c>
      <x:c r="M30" s="65" t="n">
        <x:f>J30/'공식·설정'!$B$7</x:f>
        <x:v>7.296875</x:v>
      </x:c>
      <x:c r="N30" s="65" t="n">
        <x:f>K30/'공식·설정'!$B$7</x:f>
        <x:v>7.296875</x:v>
      </x:c>
      <x:c r="O30" s="14" t="n">
        <x:v>1</x:v>
      </x:c>
      <x:c r="P30" s="14" t="n">
        <x:f>MIN(32767,MAX(0,INT((K30+INT('공식·설정'!$B$12/2))/'공식·설정'!$B$12)))</x:f>
        <x:v>1</x:v>
      </x:c>
      <x:c r="Q30" s="68" t="n">
        <x:f>P30-O30</x:f>
        <x:v>0</x:v>
      </x:c>
      <x:c r="R30" s="14" t="n">
        <x:v>11008</x:v>
      </x:c>
      <x:c r="S30" s="14" t="n">
        <x:f>P30*'공식·설정'!$B$12+'공식·설정'!$B$14</x:f>
        <x:v>11008</x:v>
      </x:c>
      <x:c r="T30" s="68" t="n">
        <x:f>S30-R30</x:f>
        <x:v>0</x:v>
      </x:c>
      <x:c r="U30" s="65" t="n">
        <x:f>R30/'공식·설정'!$B$7</x:f>
        <x:v>43</x:v>
      </x:c>
      <x:c r="V30" s="65" t="n">
        <x:f>S30/'공식·설정'!$B$7</x:f>
        <x:v>43</x:v>
      </x:c>
      <x:c r="W30" s="14" t="n">
        <x:v>912</x:v>
      </x:c>
      <x:c r="X30" s="14" t="n">
        <x:f>INT(ABS(K31-K30)*'공식·설정'!$B$8/K30)</x:f>
        <x:v>912</x:v>
      </x:c>
      <x:c r="Y30" s="68" t="n">
        <x:f>X30-W30</x:f>
        <x:v>0</x:v>
      </x:c>
      <x:c r="Z30" s="66" t="n">
        <x:f>W30/'공식·설정'!$B$8</x:f>
        <x:v>0.013916015625</x:v>
      </x:c>
      <x:c r="AA30" s="66" t="n">
        <x:f>X30/'공식·설정'!$B$8</x:f>
        <x:v>0.013916015625</x:v>
      </x:c>
      <x:c r="AB30" s="67" t="str">
        <x:f>IF(AND(I30=0,L30=0,Q30=0,T30=0,Y30=0),"PASS","FAIL")</x:f>
        <x:v>PASS</x:v>
      </x:c>
    </x:row>
    <x:row r="31" ht="18" customHeight="1">
      <x:c r="A31" s="14" t="n">
        <x:v>134</x:v>
      </x:c>
      <x:c r="B31" s="14" t="n">
        <x:v>26</x:v>
      </x:c>
      <x:c r="C31" s="14" t="n">
        <x:v>126</x:v>
      </x:c>
      <x:c r="D31" s="14" t="n">
        <x:v>259</x:v>
      </x:c>
      <x:c r="E31" s="14" t="n">
        <x:v>140</x:v>
      </x:c>
      <x:c r="F31" s="14" t="n">
        <x:v>316</x:v>
      </x:c>
      <x:c r="G31" s="14" t="n">
        <x:v>291</x:v>
      </x:c>
      <x:c r="H31" s="14" t="n">
        <x:f>INT((F31-D31)*(A31-C31)/(E31-C31))+D31</x:f>
        <x:v>291</x:v>
      </x:c>
      <x:c r="I31" s="68" t="n">
        <x:f>H31-G31</x:f>
        <x:v>0</x:v>
      </x:c>
      <x:c r="J31" s="14" t="n">
        <x:v>1894</x:v>
      </x:c>
      <x:c r="K31" s="14" t="n">
        <x:f>INT(H31*'공식·설정'!$B$10/'공식·설정'!$B$15)</x:f>
        <x:v>1894</x:v>
      </x:c>
      <x:c r="L31" s="68" t="n">
        <x:f>K31-J31</x:f>
        <x:v>0</x:v>
      </x:c>
      <x:c r="M31" s="65" t="n">
        <x:f>J31/'공식·설정'!$B$7</x:f>
        <x:v>7.3984375</x:v>
      </x:c>
      <x:c r="N31" s="65" t="n">
        <x:f>K31/'공식·설정'!$B$7</x:f>
        <x:v>7.3984375</x:v>
      </x:c>
      <x:c r="O31" s="14" t="n">
        <x:v>1</x:v>
      </x:c>
      <x:c r="P31" s="14" t="n">
        <x:f>MIN(32767,MAX(0,INT((K31+INT('공식·설정'!$B$12/2))/'공식·설정'!$B$12)))</x:f>
        <x:v>1</x:v>
      </x:c>
      <x:c r="Q31" s="68" t="n">
        <x:f>P31-O31</x:f>
        <x:v>0</x:v>
      </x:c>
      <x:c r="R31" s="14" t="n">
        <x:v>11008</x:v>
      </x:c>
      <x:c r="S31" s="14" t="n">
        <x:f>P31*'공식·설정'!$B$12+'공식·설정'!$B$14</x:f>
        <x:v>11008</x:v>
      </x:c>
      <x:c r="T31" s="68" t="n">
        <x:f>S31-R31</x:f>
        <x:v>0</x:v>
      </x:c>
      <x:c r="U31" s="65" t="n">
        <x:f>R31/'공식·설정'!$B$7</x:f>
        <x:v>43</x:v>
      </x:c>
      <x:c r="V31" s="65" t="n">
        <x:f>S31/'공식·설정'!$B$7</x:f>
        <x:v>43</x:v>
      </x:c>
      <x:c r="W31" s="14" t="n">
        <x:v>899</x:v>
      </x:c>
      <x:c r="X31" s="14" t="n">
        <x:f>INT(ABS(K32-K31)*'공식·설정'!$B$8/K31)</x:f>
        <x:v>899</x:v>
      </x:c>
      <x:c r="Y31" s="68" t="n">
        <x:f>X31-W31</x:f>
        <x:v>0</x:v>
      </x:c>
      <x:c r="Z31" s="66" t="n">
        <x:f>W31/'공식·설정'!$B$8</x:f>
        <x:v>0.0137176513671875</x:v>
      </x:c>
      <x:c r="AA31" s="66" t="n">
        <x:f>X31/'공식·설정'!$B$8</x:f>
        <x:v>0.0137176513671875</x:v>
      </x:c>
      <x:c r="AB31" s="67" t="str">
        <x:f>IF(AND(I31=0,L31=0,Q31=0,T31=0,Y31=0),"PASS","FAIL")</x:f>
        <x:v>PASS</x:v>
      </x:c>
    </x:row>
    <x:row r="32" ht="18" customHeight="1">
      <x:c r="A32" s="14" t="n">
        <x:v>135</x:v>
      </x:c>
      <x:c r="B32" s="14" t="n">
        <x:v>27</x:v>
      </x:c>
      <x:c r="C32" s="14" t="n">
        <x:v>126</x:v>
      </x:c>
      <x:c r="D32" s="14" t="n">
        <x:v>259</x:v>
      </x:c>
      <x:c r="E32" s="14" t="n">
        <x:v>140</x:v>
      </x:c>
      <x:c r="F32" s="14" t="n">
        <x:v>316</x:v>
      </x:c>
      <x:c r="G32" s="14" t="n">
        <x:v>295</x:v>
      </x:c>
      <x:c r="H32" s="14" t="n">
        <x:f>INT((F32-D32)*(A32-C32)/(E32-C32))+D32</x:f>
        <x:v>295</x:v>
      </x:c>
      <x:c r="I32" s="68" t="n">
        <x:f>H32-G32</x:f>
        <x:v>0</x:v>
      </x:c>
      <x:c r="J32" s="14" t="n">
        <x:v>1920</x:v>
      </x:c>
      <x:c r="K32" s="14" t="n">
        <x:f>INT(H32*'공식·설정'!$B$10/'공식·설정'!$B$15)</x:f>
        <x:v>1920</x:v>
      </x:c>
      <x:c r="L32" s="68" t="n">
        <x:f>K32-J32</x:f>
        <x:v>0</x:v>
      </x:c>
      <x:c r="M32" s="65" t="n">
        <x:f>J32/'공식·설정'!$B$7</x:f>
        <x:v>7.5</x:v>
      </x:c>
      <x:c r="N32" s="65" t="n">
        <x:f>K32/'공식·설정'!$B$7</x:f>
        <x:v>7.5</x:v>
      </x:c>
      <x:c r="O32" s="14" t="n">
        <x:v>1</x:v>
      </x:c>
      <x:c r="P32" s="14" t="n">
        <x:f>MIN(32767,MAX(0,INT((K32+INT('공식·설정'!$B$12/2))/'공식·설정'!$B$12)))</x:f>
        <x:v>1</x:v>
      </x:c>
      <x:c r="Q32" s="68" t="n">
        <x:f>P32-O32</x:f>
        <x:v>0</x:v>
      </x:c>
      <x:c r="R32" s="14" t="n">
        <x:v>11008</x:v>
      </x:c>
      <x:c r="S32" s="14" t="n">
        <x:f>P32*'공식·설정'!$B$12+'공식·설정'!$B$14</x:f>
        <x:v>11008</x:v>
      </x:c>
      <x:c r="T32" s="68" t="n">
        <x:f>S32-R32</x:f>
        <x:v>0</x:v>
      </x:c>
      <x:c r="U32" s="65" t="n">
        <x:f>R32/'공식·설정'!$B$7</x:f>
        <x:v>43</x:v>
      </x:c>
      <x:c r="V32" s="65" t="n">
        <x:f>S32/'공식·설정'!$B$7</x:f>
        <x:v>43</x:v>
      </x:c>
      <x:c r="W32" s="14" t="n">
        <x:v>887</x:v>
      </x:c>
      <x:c r="X32" s="14" t="n">
        <x:f>INT(ABS(K33-K32)*'공식·설정'!$B$8/K32)</x:f>
        <x:v>887</x:v>
      </x:c>
      <x:c r="Y32" s="68" t="n">
        <x:f>X32-W32</x:f>
        <x:v>0</x:v>
      </x:c>
      <x:c r="Z32" s="66" t="n">
        <x:f>W32/'공식·설정'!$B$8</x:f>
        <x:v>0.0135345458984375</x:v>
      </x:c>
      <x:c r="AA32" s="66" t="n">
        <x:f>X32/'공식·설정'!$B$8</x:f>
        <x:v>0.0135345458984375</x:v>
      </x:c>
      <x:c r="AB32" s="67" t="str">
        <x:f>IF(AND(I32=0,L32=0,Q32=0,T32=0,Y32=0),"PASS","FAIL")</x:f>
        <x:v>PASS</x:v>
      </x:c>
    </x:row>
    <x:row r="33" ht="18" customHeight="1">
      <x:c r="A33" s="14" t="n">
        <x:v>136</x:v>
      </x:c>
      <x:c r="B33" s="14" t="n">
        <x:v>28</x:v>
      </x:c>
      <x:c r="C33" s="14" t="n">
        <x:v>126</x:v>
      </x:c>
      <x:c r="D33" s="14" t="n">
        <x:v>259</x:v>
      </x:c>
      <x:c r="E33" s="14" t="n">
        <x:v>140</x:v>
      </x:c>
      <x:c r="F33" s="14" t="n">
        <x:v>316</x:v>
      </x:c>
      <x:c r="G33" s="14" t="n">
        <x:v>299</x:v>
      </x:c>
      <x:c r="H33" s="14" t="n">
        <x:f>INT((F33-D33)*(A33-C33)/(E33-C33))+D33</x:f>
        <x:v>299</x:v>
      </x:c>
      <x:c r="I33" s="68" t="n">
        <x:f>H33-G33</x:f>
        <x:v>0</x:v>
      </x:c>
      <x:c r="J33" s="14" t="n">
        <x:v>1946</x:v>
      </x:c>
      <x:c r="K33" s="14" t="n">
        <x:f>INT(H33*'공식·설정'!$B$10/'공식·설정'!$B$15)</x:f>
        <x:v>1946</x:v>
      </x:c>
      <x:c r="L33" s="68" t="n">
        <x:f>K33-J33</x:f>
        <x:v>0</x:v>
      </x:c>
      <x:c r="M33" s="65" t="n">
        <x:f>J33/'공식·설정'!$B$7</x:f>
        <x:v>7.6015625</x:v>
      </x:c>
      <x:c r="N33" s="65" t="n">
        <x:f>K33/'공식·설정'!$B$7</x:f>
        <x:v>7.6015625</x:v>
      </x:c>
      <x:c r="O33" s="14" t="n">
        <x:v>1</x:v>
      </x:c>
      <x:c r="P33" s="14" t="n">
        <x:f>MIN(32767,MAX(0,INT((K33+INT('공식·설정'!$B$12/2))/'공식·설정'!$B$12)))</x:f>
        <x:v>1</x:v>
      </x:c>
      <x:c r="Q33" s="68" t="n">
        <x:f>P33-O33</x:f>
        <x:v>0</x:v>
      </x:c>
      <x:c r="R33" s="14" t="n">
        <x:v>11008</x:v>
      </x:c>
      <x:c r="S33" s="14" t="n">
        <x:f>P33*'공식·설정'!$B$12+'공식·설정'!$B$14</x:f>
        <x:v>11008</x:v>
      </x:c>
      <x:c r="T33" s="68" t="n">
        <x:f>S33-R33</x:f>
        <x:v>0</x:v>
      </x:c>
      <x:c r="U33" s="65" t="n">
        <x:f>R33/'공식·설정'!$B$7</x:f>
        <x:v>43</x:v>
      </x:c>
      <x:c r="V33" s="65" t="n">
        <x:f>S33/'공식·설정'!$B$7</x:f>
        <x:v>43</x:v>
      </x:c>
      <x:c r="W33" s="14" t="n">
        <x:v>875</x:v>
      </x:c>
      <x:c r="X33" s="14" t="n">
        <x:f>INT(ABS(K34-K33)*'공식·설정'!$B$8/K33)</x:f>
        <x:v>875</x:v>
      </x:c>
      <x:c r="Y33" s="68" t="n">
        <x:f>X33-W33</x:f>
        <x:v>0</x:v>
      </x:c>
      <x:c r="Z33" s="66" t="n">
        <x:f>W33/'공식·설정'!$B$8</x:f>
        <x:v>0.0133514404296875</x:v>
      </x:c>
      <x:c r="AA33" s="66" t="n">
        <x:f>X33/'공식·설정'!$B$8</x:f>
        <x:v>0.0133514404296875</x:v>
      </x:c>
      <x:c r="AB33" s="67" t="str">
        <x:f>IF(AND(I33=0,L33=0,Q33=0,T33=0,Y33=0),"PASS","FAIL")</x:f>
        <x:v>PASS</x:v>
      </x:c>
    </x:row>
    <x:row r="34" ht="18" customHeight="1">
      <x:c r="A34" s="14" t="n">
        <x:v>137</x:v>
      </x:c>
      <x:c r="B34" s="14" t="n">
        <x:v>29</x:v>
      </x:c>
      <x:c r="C34" s="14" t="n">
        <x:v>126</x:v>
      </x:c>
      <x:c r="D34" s="14" t="n">
        <x:v>259</x:v>
      </x:c>
      <x:c r="E34" s="14" t="n">
        <x:v>140</x:v>
      </x:c>
      <x:c r="F34" s="14" t="n">
        <x:v>316</x:v>
      </x:c>
      <x:c r="G34" s="14" t="n">
        <x:v>303</x:v>
      </x:c>
      <x:c r="H34" s="14" t="n">
        <x:f>INT((F34-D34)*(A34-C34)/(E34-C34))+D34</x:f>
        <x:v>303</x:v>
      </x:c>
      <x:c r="I34" s="68" t="n">
        <x:f>H34-G34</x:f>
        <x:v>0</x:v>
      </x:c>
      <x:c r="J34" s="14" t="n">
        <x:v>1972</x:v>
      </x:c>
      <x:c r="K34" s="14" t="n">
        <x:f>INT(H34*'공식·설정'!$B$10/'공식·설정'!$B$15)</x:f>
        <x:v>1972</x:v>
      </x:c>
      <x:c r="L34" s="68" t="n">
        <x:f>K34-J34</x:f>
        <x:v>0</x:v>
      </x:c>
      <x:c r="M34" s="65" t="n">
        <x:f>J34/'공식·설정'!$B$7</x:f>
        <x:v>7.703125</x:v>
      </x:c>
      <x:c r="N34" s="65" t="n">
        <x:f>K34/'공식·설정'!$B$7</x:f>
        <x:v>7.703125</x:v>
      </x:c>
      <x:c r="O34" s="14" t="n">
        <x:v>1</x:v>
      </x:c>
      <x:c r="P34" s="14" t="n">
        <x:f>MIN(32767,MAX(0,INT((K34+INT('공식·설정'!$B$12/2))/'공식·설정'!$B$12)))</x:f>
        <x:v>1</x:v>
      </x:c>
      <x:c r="Q34" s="68" t="n">
        <x:f>P34-O34</x:f>
        <x:v>0</x:v>
      </x:c>
      <x:c r="R34" s="14" t="n">
        <x:v>11008</x:v>
      </x:c>
      <x:c r="S34" s="14" t="n">
        <x:f>P34*'공식·설정'!$B$12+'공식·설정'!$B$14</x:f>
        <x:v>11008</x:v>
      </x:c>
      <x:c r="T34" s="68" t="n">
        <x:f>S34-R34</x:f>
        <x:v>0</x:v>
      </x:c>
      <x:c r="U34" s="65" t="n">
        <x:f>R34/'공식·설정'!$B$7</x:f>
        <x:v>43</x:v>
      </x:c>
      <x:c r="V34" s="65" t="n">
        <x:f>S34/'공식·설정'!$B$7</x:f>
        <x:v>43</x:v>
      </x:c>
      <x:c r="W34" s="14" t="n">
        <x:v>864</x:v>
      </x:c>
      <x:c r="X34" s="14" t="n">
        <x:f>INT(ABS(K35-K34)*'공식·설정'!$B$8/K34)</x:f>
        <x:v>864</x:v>
      </x:c>
      <x:c r="Y34" s="68" t="n">
        <x:f>X34-W34</x:f>
        <x:v>0</x:v>
      </x:c>
      <x:c r="Z34" s="66" t="n">
        <x:f>W34/'공식·설정'!$B$8</x:f>
        <x:v>0.01318359375</x:v>
      </x:c>
      <x:c r="AA34" s="66" t="n">
        <x:f>X34/'공식·설정'!$B$8</x:f>
        <x:v>0.01318359375</x:v>
      </x:c>
      <x:c r="AB34" s="67" t="str">
        <x:f>IF(AND(I34=0,L34=0,Q34=0,T34=0,Y34=0),"PASS","FAIL")</x:f>
        <x:v>PASS</x:v>
      </x:c>
    </x:row>
    <x:row r="35" ht="18" customHeight="1">
      <x:c r="A35" s="14" t="n">
        <x:v>138</x:v>
      </x:c>
      <x:c r="B35" s="14" t="n">
        <x:v>30</x:v>
      </x:c>
      <x:c r="C35" s="14" t="n">
        <x:v>126</x:v>
      </x:c>
      <x:c r="D35" s="14" t="n">
        <x:v>259</x:v>
      </x:c>
      <x:c r="E35" s="14" t="n">
        <x:v>140</x:v>
      </x:c>
      <x:c r="F35" s="14" t="n">
        <x:v>316</x:v>
      </x:c>
      <x:c r="G35" s="14" t="n">
        <x:v>307</x:v>
      </x:c>
      <x:c r="H35" s="14" t="n">
        <x:f>INT((F35-D35)*(A35-C35)/(E35-C35))+D35</x:f>
        <x:v>307</x:v>
      </x:c>
      <x:c r="I35" s="68" t="n">
        <x:f>H35-G35</x:f>
        <x:v>0</x:v>
      </x:c>
      <x:c r="J35" s="14" t="n">
        <x:v>1998</x:v>
      </x:c>
      <x:c r="K35" s="14" t="n">
        <x:f>INT(H35*'공식·설정'!$B$10/'공식·설정'!$B$15)</x:f>
        <x:v>1998</x:v>
      </x:c>
      <x:c r="L35" s="68" t="n">
        <x:f>K35-J35</x:f>
        <x:v>0</x:v>
      </x:c>
      <x:c r="M35" s="65" t="n">
        <x:f>J35/'공식·설정'!$B$7</x:f>
        <x:v>7.8046875</x:v>
      </x:c>
      <x:c r="N35" s="65" t="n">
        <x:f>K35/'공식·설정'!$B$7</x:f>
        <x:v>7.8046875</x:v>
      </x:c>
      <x:c r="O35" s="14" t="n">
        <x:v>1</x:v>
      </x:c>
      <x:c r="P35" s="14" t="n">
        <x:f>MIN(32767,MAX(0,INT((K35+INT('공식·설정'!$B$12/2))/'공식·설정'!$B$12)))</x:f>
        <x:v>1</x:v>
      </x:c>
      <x:c r="Q35" s="68" t="n">
        <x:f>P35-O35</x:f>
        <x:v>0</x:v>
      </x:c>
      <x:c r="R35" s="14" t="n">
        <x:v>11008</x:v>
      </x:c>
      <x:c r="S35" s="14" t="n">
        <x:f>P35*'공식·설정'!$B$12+'공식·설정'!$B$14</x:f>
        <x:v>11008</x:v>
      </x:c>
      <x:c r="T35" s="68" t="n">
        <x:f>S35-R35</x:f>
        <x:v>0</x:v>
      </x:c>
      <x:c r="U35" s="65" t="n">
        <x:f>R35/'공식·설정'!$B$7</x:f>
        <x:v>43</x:v>
      </x:c>
      <x:c r="V35" s="65" t="n">
        <x:f>S35/'공식·설정'!$B$7</x:f>
        <x:v>43</x:v>
      </x:c>
      <x:c r="W35" s="14" t="n">
        <x:v>852</x:v>
      </x:c>
      <x:c r="X35" s="14" t="n">
        <x:f>INT(ABS(K36-K35)*'공식·설정'!$B$8/K35)</x:f>
        <x:v>852</x:v>
      </x:c>
      <x:c r="Y35" s="68" t="n">
        <x:f>X35-W35</x:f>
        <x:v>0</x:v>
      </x:c>
      <x:c r="Z35" s="66" t="n">
        <x:f>W35/'공식·설정'!$B$8</x:f>
        <x:v>0.01300048828125</x:v>
      </x:c>
      <x:c r="AA35" s="66" t="n">
        <x:f>X35/'공식·설정'!$B$8</x:f>
        <x:v>0.01300048828125</x:v>
      </x:c>
      <x:c r="AB35" s="67" t="str">
        <x:f>IF(AND(I35=0,L35=0,Q35=0,T35=0,Y35=0),"PASS","FAIL")</x:f>
        <x:v>PASS</x:v>
      </x:c>
    </x:row>
    <x:row r="36" ht="18" customHeight="1">
      <x:c r="A36" s="14" t="n">
        <x:v>139</x:v>
      </x:c>
      <x:c r="B36" s="14" t="n">
        <x:v>31</x:v>
      </x:c>
      <x:c r="C36" s="14" t="n">
        <x:v>126</x:v>
      </x:c>
      <x:c r="D36" s="14" t="n">
        <x:v>259</x:v>
      </x:c>
      <x:c r="E36" s="14" t="n">
        <x:v>140</x:v>
      </x:c>
      <x:c r="F36" s="14" t="n">
        <x:v>316</x:v>
      </x:c>
      <x:c r="G36" s="14" t="n">
        <x:v>311</x:v>
      </x:c>
      <x:c r="H36" s="14" t="n">
        <x:f>INT((F36-D36)*(A36-C36)/(E36-C36))+D36</x:f>
        <x:v>311</x:v>
      </x:c>
      <x:c r="I36" s="68" t="n">
        <x:f>H36-G36</x:f>
        <x:v>0</x:v>
      </x:c>
      <x:c r="J36" s="14" t="n">
        <x:v>2024</x:v>
      </x:c>
      <x:c r="K36" s="14" t="n">
        <x:f>INT(H36*'공식·설정'!$B$10/'공식·설정'!$B$15)</x:f>
        <x:v>2024</x:v>
      </x:c>
      <x:c r="L36" s="68" t="n">
        <x:f>K36-J36</x:f>
        <x:v>0</x:v>
      </x:c>
      <x:c r="M36" s="65" t="n">
        <x:f>J36/'공식·설정'!$B$7</x:f>
        <x:v>7.90625</x:v>
      </x:c>
      <x:c r="N36" s="65" t="n">
        <x:f>K36/'공식·설정'!$B$7</x:f>
        <x:v>7.90625</x:v>
      </x:c>
      <x:c r="O36" s="14" t="n">
        <x:v>1</x:v>
      </x:c>
      <x:c r="P36" s="14" t="n">
        <x:f>MIN(32767,MAX(0,INT((K36+INT('공식·설정'!$B$12/2))/'공식·설정'!$B$12)))</x:f>
        <x:v>1</x:v>
      </x:c>
      <x:c r="Q36" s="68" t="n">
        <x:f>P36-O36</x:f>
        <x:v>0</x:v>
      </x:c>
      <x:c r="R36" s="14" t="n">
        <x:v>11008</x:v>
      </x:c>
      <x:c r="S36" s="14" t="n">
        <x:f>P36*'공식·설정'!$B$12+'공식·설정'!$B$14</x:f>
        <x:v>11008</x:v>
      </x:c>
      <x:c r="T36" s="68" t="n">
        <x:f>S36-R36</x:f>
        <x:v>0</x:v>
      </x:c>
      <x:c r="U36" s="65" t="n">
        <x:f>R36/'공식·설정'!$B$7</x:f>
        <x:v>43</x:v>
      </x:c>
      <x:c r="V36" s="65" t="n">
        <x:f>S36/'공식·설정'!$B$7</x:f>
        <x:v>43</x:v>
      </x:c>
      <x:c r="W36" s="14" t="n">
        <x:v>1068</x:v>
      </x:c>
      <x:c r="X36" s="14" t="n">
        <x:f>INT(ABS(K37-K36)*'공식·설정'!$B$8/K36)</x:f>
        <x:v>1068</x:v>
      </x:c>
      <x:c r="Y36" s="68" t="n">
        <x:f>X36-W36</x:f>
        <x:v>0</x:v>
      </x:c>
      <x:c r="Z36" s="66" t="n">
        <x:f>W36/'공식·설정'!$B$8</x:f>
        <x:v>0.01629638671875</x:v>
      </x:c>
      <x:c r="AA36" s="66" t="n">
        <x:f>X36/'공식·설정'!$B$8</x:f>
        <x:v>0.01629638671875</x:v>
      </x:c>
      <x:c r="AB36" s="67" t="str">
        <x:f>IF(AND(I36=0,L36=0,Q36=0,T36=0,Y36=0),"PASS","FAIL")</x:f>
        <x:v>PASS</x:v>
      </x:c>
    </x:row>
    <x:row r="37" ht="18" customHeight="1">
      <x:c r="A37" s="14" t="n">
        <x:v>140</x:v>
      </x:c>
      <x:c r="B37" s="14" t="n">
        <x:v>32</x:v>
      </x:c>
      <x:c r="C37" s="14" t="n">
        <x:v>140</x:v>
      </x:c>
      <x:c r="D37" s="14" t="n">
        <x:v>316</x:v>
      </x:c>
      <x:c r="E37" s="14" t="n">
        <x:v>154</x:v>
      </x:c>
      <x:c r="F37" s="14" t="n">
        <x:v>383</x:v>
      </x:c>
      <x:c r="G37" s="14" t="n">
        <x:v>316</x:v>
      </x:c>
      <x:c r="H37" s="14" t="n">
        <x:f>INT((F37-D37)*(A37-C37)/(E37-C37))+D37</x:f>
        <x:v>316</x:v>
      </x:c>
      <x:c r="I37" s="68" t="n">
        <x:f>H37-G37</x:f>
        <x:v>0</x:v>
      </x:c>
      <x:c r="J37" s="14" t="n">
        <x:v>2057</x:v>
      </x:c>
      <x:c r="K37" s="14" t="n">
        <x:f>INT(H37*'공식·설정'!$B$10/'공식·설정'!$B$15)</x:f>
        <x:v>2057</x:v>
      </x:c>
      <x:c r="L37" s="68" t="n">
        <x:f>K37-J37</x:f>
        <x:v>0</x:v>
      </x:c>
      <x:c r="M37" s="65" t="n">
        <x:f>J37/'공식·설정'!$B$7</x:f>
        <x:v>8.03515625</x:v>
      </x:c>
      <x:c r="N37" s="65" t="n">
        <x:f>K37/'공식·설정'!$B$7</x:f>
        <x:v>8.03515625</x:v>
      </x:c>
      <x:c r="O37" s="14" t="n">
        <x:v>1</x:v>
      </x:c>
      <x:c r="P37" s="14" t="n">
        <x:f>MIN(32767,MAX(0,INT((K37+INT('공식·설정'!$B$12/2))/'공식·설정'!$B$12)))</x:f>
        <x:v>1</x:v>
      </x:c>
      <x:c r="Q37" s="68" t="n">
        <x:f>P37-O37</x:f>
        <x:v>0</x:v>
      </x:c>
      <x:c r="R37" s="14" t="n">
        <x:v>11008</x:v>
      </x:c>
      <x:c r="S37" s="14" t="n">
        <x:f>P37*'공식·설정'!$B$12+'공식·설정'!$B$14</x:f>
        <x:v>11008</x:v>
      </x:c>
      <x:c r="T37" s="68" t="n">
        <x:f>S37-R37</x:f>
        <x:v>0</x:v>
      </x:c>
      <x:c r="U37" s="65" t="n">
        <x:f>R37/'공식·설정'!$B$7</x:f>
        <x:v>43</x:v>
      </x:c>
      <x:c r="V37" s="65" t="n">
        <x:f>S37/'공식·설정'!$B$7</x:f>
        <x:v>43</x:v>
      </x:c>
      <x:c r="W37" s="14" t="n">
        <x:v>828</x:v>
      </x:c>
      <x:c r="X37" s="14" t="n">
        <x:f>INT(ABS(K38-K37)*'공식·설정'!$B$8/K37)</x:f>
        <x:v>828</x:v>
      </x:c>
      <x:c r="Y37" s="68" t="n">
        <x:f>X37-W37</x:f>
        <x:v>0</x:v>
      </x:c>
      <x:c r="Z37" s="66" t="n">
        <x:f>W37/'공식·설정'!$B$8</x:f>
        <x:v>0.01263427734375</x:v>
      </x:c>
      <x:c r="AA37" s="66" t="n">
        <x:f>X37/'공식·설정'!$B$8</x:f>
        <x:v>0.01263427734375</x:v>
      </x:c>
      <x:c r="AB37" s="67" t="str">
        <x:f>IF(AND(I37=0,L37=0,Q37=0,T37=0,Y37=0),"PASS","FAIL")</x:f>
        <x:v>PASS</x:v>
      </x:c>
    </x:row>
    <x:row r="38" ht="18" customHeight="1">
      <x:c r="A38" s="14" t="n">
        <x:v>141</x:v>
      </x:c>
      <x:c r="B38" s="14" t="n">
        <x:v>33</x:v>
      </x:c>
      <x:c r="C38" s="14" t="n">
        <x:v>140</x:v>
      </x:c>
      <x:c r="D38" s="14" t="n">
        <x:v>316</x:v>
      </x:c>
      <x:c r="E38" s="14" t="n">
        <x:v>154</x:v>
      </x:c>
      <x:c r="F38" s="14" t="n">
        <x:v>383</x:v>
      </x:c>
      <x:c r="G38" s="14" t="n">
        <x:v>320</x:v>
      </x:c>
      <x:c r="H38" s="14" t="n">
        <x:f>INT((F38-D38)*(A38-C38)/(E38-C38))+D38</x:f>
        <x:v>320</x:v>
      </x:c>
      <x:c r="I38" s="68" t="n">
        <x:f>H38-G38</x:f>
        <x:v>0</x:v>
      </x:c>
      <x:c r="J38" s="14" t="n">
        <x:v>2083</x:v>
      </x:c>
      <x:c r="K38" s="14" t="n">
        <x:f>INT(H38*'공식·설정'!$B$10/'공식·설정'!$B$15)</x:f>
        <x:v>2083</x:v>
      </x:c>
      <x:c r="L38" s="68" t="n">
        <x:f>K38-J38</x:f>
        <x:v>0</x:v>
      </x:c>
      <x:c r="M38" s="65" t="n">
        <x:f>J38/'공식·설정'!$B$7</x:f>
        <x:v>8.13671875</x:v>
      </x:c>
      <x:c r="N38" s="65" t="n">
        <x:f>K38/'공식·설정'!$B$7</x:f>
        <x:v>8.13671875</x:v>
      </x:c>
      <x:c r="O38" s="14" t="n">
        <x:v>1</x:v>
      </x:c>
      <x:c r="P38" s="14" t="n">
        <x:f>MIN(32767,MAX(0,INT((K38+INT('공식·설정'!$B$12/2))/'공식·설정'!$B$12)))</x:f>
        <x:v>1</x:v>
      </x:c>
      <x:c r="Q38" s="68" t="n">
        <x:f>P38-O38</x:f>
        <x:v>0</x:v>
      </x:c>
      <x:c r="R38" s="14" t="n">
        <x:v>11008</x:v>
      </x:c>
      <x:c r="S38" s="14" t="n">
        <x:f>P38*'공식·설정'!$B$12+'공식·설정'!$B$14</x:f>
        <x:v>11008</x:v>
      </x:c>
      <x:c r="T38" s="68" t="n">
        <x:f>S38-R38</x:f>
        <x:v>0</x:v>
      </x:c>
      <x:c r="U38" s="65" t="n">
        <x:f>R38/'공식·설정'!$B$7</x:f>
        <x:v>43</x:v>
      </x:c>
      <x:c r="V38" s="65" t="n">
        <x:f>S38/'공식·설정'!$B$7</x:f>
        <x:v>43</x:v>
      </x:c>
      <x:c r="W38" s="14" t="n">
        <x:v>1006</x:v>
      </x:c>
      <x:c r="X38" s="14" t="n">
        <x:f>INT(ABS(K39-K38)*'공식·설정'!$B$8/K38)</x:f>
        <x:v>1006</x:v>
      </x:c>
      <x:c r="Y38" s="68" t="n">
        <x:f>X38-W38</x:f>
        <x:v>0</x:v>
      </x:c>
      <x:c r="Z38" s="66" t="n">
        <x:f>W38/'공식·설정'!$B$8</x:f>
        <x:v>0.015350341796875</x:v>
      </x:c>
      <x:c r="AA38" s="66" t="n">
        <x:f>X38/'공식·설정'!$B$8</x:f>
        <x:v>0.015350341796875</x:v>
      </x:c>
      <x:c r="AB38" s="67" t="str">
        <x:f>IF(AND(I38=0,L38=0,Q38=0,T38=0,Y38=0),"PASS","FAIL")</x:f>
        <x:v>PASS</x:v>
      </x:c>
    </x:row>
    <x:row r="39" ht="18" customHeight="1">
      <x:c r="A39" s="14" t="n">
        <x:v>142</x:v>
      </x:c>
      <x:c r="B39" s="14" t="n">
        <x:v>34</x:v>
      </x:c>
      <x:c r="C39" s="14" t="n">
        <x:v>140</x:v>
      </x:c>
      <x:c r="D39" s="14" t="n">
        <x:v>316</x:v>
      </x:c>
      <x:c r="E39" s="14" t="n">
        <x:v>154</x:v>
      </x:c>
      <x:c r="F39" s="14" t="n">
        <x:v>383</x:v>
      </x:c>
      <x:c r="G39" s="14" t="n">
        <x:v>325</x:v>
      </x:c>
      <x:c r="H39" s="14" t="n">
        <x:f>INT((F39-D39)*(A39-C39)/(E39-C39))+D39</x:f>
        <x:v>325</x:v>
      </x:c>
      <x:c r="I39" s="68" t="n">
        <x:f>H39-G39</x:f>
        <x:v>0</x:v>
      </x:c>
      <x:c r="J39" s="14" t="n">
        <x:v>2115</x:v>
      </x:c>
      <x:c r="K39" s="14" t="n">
        <x:f>INT(H39*'공식·설정'!$B$10/'공식·설정'!$B$15)</x:f>
        <x:v>2115</x:v>
      </x:c>
      <x:c r="L39" s="68" t="n">
        <x:f>K39-J39</x:f>
        <x:v>0</x:v>
      </x:c>
      <x:c r="M39" s="65" t="n">
        <x:f>J39/'공식·설정'!$B$7</x:f>
        <x:v>8.26171875</x:v>
      </x:c>
      <x:c r="N39" s="65" t="n">
        <x:f>K39/'공식·설정'!$B$7</x:f>
        <x:v>8.26171875</x:v>
      </x:c>
      <x:c r="O39" s="14" t="n">
        <x:v>1</x:v>
      </x:c>
      <x:c r="P39" s="14" t="n">
        <x:f>MIN(32767,MAX(0,INT((K39+INT('공식·설정'!$B$12/2))/'공식·설정'!$B$12)))</x:f>
        <x:v>1</x:v>
      </x:c>
      <x:c r="Q39" s="68" t="n">
        <x:f>P39-O39</x:f>
        <x:v>0</x:v>
      </x:c>
      <x:c r="R39" s="14" t="n">
        <x:v>11008</x:v>
      </x:c>
      <x:c r="S39" s="14" t="n">
        <x:f>P39*'공식·설정'!$B$12+'공식·설정'!$B$14</x:f>
        <x:v>11008</x:v>
      </x:c>
      <x:c r="T39" s="68" t="n">
        <x:f>S39-R39</x:f>
        <x:v>0</x:v>
      </x:c>
      <x:c r="U39" s="65" t="n">
        <x:f>R39/'공식·설정'!$B$7</x:f>
        <x:v>43</x:v>
      </x:c>
      <x:c r="V39" s="65" t="n">
        <x:f>S39/'공식·설정'!$B$7</x:f>
        <x:v>43</x:v>
      </x:c>
      <x:c r="W39" s="14" t="n">
        <x:v>1022</x:v>
      </x:c>
      <x:c r="X39" s="14" t="n">
        <x:f>INT(ABS(K40-K39)*'공식·설정'!$B$8/K39)</x:f>
        <x:v>1022</x:v>
      </x:c>
      <x:c r="Y39" s="68" t="n">
        <x:f>X39-W39</x:f>
        <x:v>0</x:v>
      </x:c>
      <x:c r="Z39" s="66" t="n">
        <x:f>W39/'공식·설정'!$B$8</x:f>
        <x:v>0.015594482421875</x:v>
      </x:c>
      <x:c r="AA39" s="66" t="n">
        <x:f>X39/'공식·설정'!$B$8</x:f>
        <x:v>0.015594482421875</x:v>
      </x:c>
      <x:c r="AB39" s="67" t="str">
        <x:f>IF(AND(I39=0,L39=0,Q39=0,T39=0,Y39=0),"PASS","FAIL")</x:f>
        <x:v>PASS</x:v>
      </x:c>
    </x:row>
    <x:row r="40" ht="18" customHeight="1">
      <x:c r="A40" s="14" t="n">
        <x:v>143</x:v>
      </x:c>
      <x:c r="B40" s="14" t="n">
        <x:v>35</x:v>
      </x:c>
      <x:c r="C40" s="14" t="n">
        <x:v>140</x:v>
      </x:c>
      <x:c r="D40" s="14" t="n">
        <x:v>316</x:v>
      </x:c>
      <x:c r="E40" s="14" t="n">
        <x:v>154</x:v>
      </x:c>
      <x:c r="F40" s="14" t="n">
        <x:v>383</x:v>
      </x:c>
      <x:c r="G40" s="14" t="n">
        <x:v>330</x:v>
      </x:c>
      <x:c r="H40" s="14" t="n">
        <x:f>INT((F40-D40)*(A40-C40)/(E40-C40))+D40</x:f>
        <x:v>330</x:v>
      </x:c>
      <x:c r="I40" s="68" t="n">
        <x:f>H40-G40</x:f>
        <x:v>0</x:v>
      </x:c>
      <x:c r="J40" s="14" t="n">
        <x:v>2148</x:v>
      </x:c>
      <x:c r="K40" s="14" t="n">
        <x:f>INT(H40*'공식·설정'!$B$10/'공식·설정'!$B$15)</x:f>
        <x:v>2148</x:v>
      </x:c>
      <x:c r="L40" s="68" t="n">
        <x:f>K40-J40</x:f>
        <x:v>0</x:v>
      </x:c>
      <x:c r="M40" s="65" t="n">
        <x:f>J40/'공식·설정'!$B$7</x:f>
        <x:v>8.390625</x:v>
      </x:c>
      <x:c r="N40" s="65" t="n">
        <x:f>K40/'공식·설정'!$B$7</x:f>
        <x:v>8.390625</x:v>
      </x:c>
      <x:c r="O40" s="14" t="n">
        <x:v>1</x:v>
      </x:c>
      <x:c r="P40" s="14" t="n">
        <x:f>MIN(32767,MAX(0,INT((K40+INT('공식·설정'!$B$12/2))/'공식·설정'!$B$12)))</x:f>
        <x:v>1</x:v>
      </x:c>
      <x:c r="Q40" s="68" t="n">
        <x:f>P40-O40</x:f>
        <x:v>0</x:v>
      </x:c>
      <x:c r="R40" s="14" t="n">
        <x:v>11008</x:v>
      </x:c>
      <x:c r="S40" s="14" t="n">
        <x:f>P40*'공식·설정'!$B$12+'공식·설정'!$B$14</x:f>
        <x:v>11008</x:v>
      </x:c>
      <x:c r="T40" s="68" t="n">
        <x:f>S40-R40</x:f>
        <x:v>0</x:v>
      </x:c>
      <x:c r="U40" s="65" t="n">
        <x:f>R40/'공식·설정'!$B$7</x:f>
        <x:v>43</x:v>
      </x:c>
      <x:c r="V40" s="65" t="n">
        <x:f>S40/'공식·설정'!$B$7</x:f>
        <x:v>43</x:v>
      </x:c>
      <x:c r="W40" s="14" t="n">
        <x:v>976</x:v>
      </x:c>
      <x:c r="X40" s="14" t="n">
        <x:f>INT(ABS(K41-K40)*'공식·설정'!$B$8/K40)</x:f>
        <x:v>976</x:v>
      </x:c>
      <x:c r="Y40" s="68" t="n">
        <x:f>X40-W40</x:f>
        <x:v>0</x:v>
      </x:c>
      <x:c r="Z40" s="66" t="n">
        <x:f>W40/'공식·설정'!$B$8</x:f>
        <x:v>0.014892578125</x:v>
      </x:c>
      <x:c r="AA40" s="66" t="n">
        <x:f>X40/'공식·설정'!$B$8</x:f>
        <x:v>0.014892578125</x:v>
      </x:c>
      <x:c r="AB40" s="67" t="str">
        <x:f>IF(AND(I40=0,L40=0,Q40=0,T40=0,Y40=0),"PASS","FAIL")</x:f>
        <x:v>PASS</x:v>
      </x:c>
    </x:row>
    <x:row r="41" ht="18" customHeight="1">
      <x:c r="A41" s="14" t="n">
        <x:v>144</x:v>
      </x:c>
      <x:c r="B41" s="14" t="n">
        <x:v>36</x:v>
      </x:c>
      <x:c r="C41" s="14" t="n">
        <x:v>140</x:v>
      </x:c>
      <x:c r="D41" s="14" t="n">
        <x:v>316</x:v>
      </x:c>
      <x:c r="E41" s="14" t="n">
        <x:v>154</x:v>
      </x:c>
      <x:c r="F41" s="14" t="n">
        <x:v>383</x:v>
      </x:c>
      <x:c r="G41" s="14" t="n">
        <x:v>335</x:v>
      </x:c>
      <x:c r="H41" s="14" t="n">
        <x:f>INT((F41-D41)*(A41-C41)/(E41-C41))+D41</x:f>
        <x:v>335</x:v>
      </x:c>
      <x:c r="I41" s="68" t="n">
        <x:f>H41-G41</x:f>
        <x:v>0</x:v>
      </x:c>
      <x:c r="J41" s="14" t="n">
        <x:v>2180</x:v>
      </x:c>
      <x:c r="K41" s="14" t="n">
        <x:f>INT(H41*'공식·설정'!$B$10/'공식·설정'!$B$15)</x:f>
        <x:v>2180</x:v>
      </x:c>
      <x:c r="L41" s="68" t="n">
        <x:f>K41-J41</x:f>
        <x:v>0</x:v>
      </x:c>
      <x:c r="M41" s="65" t="n">
        <x:f>J41/'공식·설정'!$B$7</x:f>
        <x:v>8.515625</x:v>
      </x:c>
      <x:c r="N41" s="65" t="n">
        <x:f>K41/'공식·설정'!$B$7</x:f>
        <x:v>8.515625</x:v>
      </x:c>
      <x:c r="O41" s="14" t="n">
        <x:v>1</x:v>
      </x:c>
      <x:c r="P41" s="14" t="n">
        <x:f>MIN(32767,MAX(0,INT((K41+INT('공식·설정'!$B$12/2))/'공식·설정'!$B$12)))</x:f>
        <x:v>1</x:v>
      </x:c>
      <x:c r="Q41" s="68" t="n">
        <x:f>P41-O41</x:f>
        <x:v>0</x:v>
      </x:c>
      <x:c r="R41" s="14" t="n">
        <x:v>11008</x:v>
      </x:c>
      <x:c r="S41" s="14" t="n">
        <x:f>P41*'공식·설정'!$B$12+'공식·설정'!$B$14</x:f>
        <x:v>11008</x:v>
      </x:c>
      <x:c r="T41" s="68" t="n">
        <x:f>S41-R41</x:f>
        <x:v>0</x:v>
      </x:c>
      <x:c r="U41" s="65" t="n">
        <x:f>R41/'공식·설정'!$B$7</x:f>
        <x:v>43</x:v>
      </x:c>
      <x:c r="V41" s="65" t="n">
        <x:f>S41/'공식·설정'!$B$7</x:f>
        <x:v>43</x:v>
      </x:c>
      <x:c r="W41" s="14" t="n">
        <x:v>781</x:v>
      </x:c>
      <x:c r="X41" s="14" t="n">
        <x:f>INT(ABS(K42-K41)*'공식·설정'!$B$8/K41)</x:f>
        <x:v>781</x:v>
      </x:c>
      <x:c r="Y41" s="68" t="n">
        <x:f>X41-W41</x:f>
        <x:v>0</x:v>
      </x:c>
      <x:c r="Z41" s="66" t="n">
        <x:f>W41/'공식·설정'!$B$8</x:f>
        <x:v>0.0119171142578125</x:v>
      </x:c>
      <x:c r="AA41" s="66" t="n">
        <x:f>X41/'공식·설정'!$B$8</x:f>
        <x:v>0.0119171142578125</x:v>
      </x:c>
      <x:c r="AB41" s="67" t="str">
        <x:f>IF(AND(I41=0,L41=0,Q41=0,T41=0,Y41=0),"PASS","FAIL")</x:f>
        <x:v>PASS</x:v>
      </x:c>
    </x:row>
    <x:row r="42" ht="18" customHeight="1">
      <x:c r="A42" s="14" t="n">
        <x:v>145</x:v>
      </x:c>
      <x:c r="B42" s="14" t="n">
        <x:v>37</x:v>
      </x:c>
      <x:c r="C42" s="14" t="n">
        <x:v>140</x:v>
      </x:c>
      <x:c r="D42" s="14" t="n">
        <x:v>316</x:v>
      </x:c>
      <x:c r="E42" s="14" t="n">
        <x:v>154</x:v>
      </x:c>
      <x:c r="F42" s="14" t="n">
        <x:v>383</x:v>
      </x:c>
      <x:c r="G42" s="14" t="n">
        <x:v>339</x:v>
      </x:c>
      <x:c r="H42" s="14" t="n">
        <x:f>INT((F42-D42)*(A42-C42)/(E42-C42))+D42</x:f>
        <x:v>339</x:v>
      </x:c>
      <x:c r="I42" s="68" t="n">
        <x:f>H42-G42</x:f>
        <x:v>0</x:v>
      </x:c>
      <x:c r="J42" s="14" t="n">
        <x:v>2206</x:v>
      </x:c>
      <x:c r="K42" s="14" t="n">
        <x:f>INT(H42*'공식·설정'!$B$10/'공식·설정'!$B$15)</x:f>
        <x:v>2206</x:v>
      </x:c>
      <x:c r="L42" s="68" t="n">
        <x:f>K42-J42</x:f>
        <x:v>0</x:v>
      </x:c>
      <x:c r="M42" s="65" t="n">
        <x:f>J42/'공식·설정'!$B$7</x:f>
        <x:v>8.6171875</x:v>
      </x:c>
      <x:c r="N42" s="65" t="n">
        <x:f>K42/'공식·설정'!$B$7</x:f>
        <x:v>8.6171875</x:v>
      </x:c>
      <x:c r="O42" s="14" t="n">
        <x:v>1</x:v>
      </x:c>
      <x:c r="P42" s="14" t="n">
        <x:f>MIN(32767,MAX(0,INT((K42+INT('공식·설정'!$B$12/2))/'공식·설정'!$B$12)))</x:f>
        <x:v>1</x:v>
      </x:c>
      <x:c r="Q42" s="68" t="n">
        <x:f>P42-O42</x:f>
        <x:v>0</x:v>
      </x:c>
      <x:c r="R42" s="14" t="n">
        <x:v>11008</x:v>
      </x:c>
      <x:c r="S42" s="14" t="n">
        <x:f>P42*'공식·설정'!$B$12+'공식·설정'!$B$14</x:f>
        <x:v>11008</x:v>
      </x:c>
      <x:c r="T42" s="68" t="n">
        <x:f>S42-R42</x:f>
        <x:v>0</x:v>
      </x:c>
      <x:c r="U42" s="65" t="n">
        <x:f>R42/'공식·설정'!$B$7</x:f>
        <x:v>43</x:v>
      </x:c>
      <x:c r="V42" s="65" t="n">
        <x:f>S42/'공식·설정'!$B$7</x:f>
        <x:v>43</x:v>
      </x:c>
      <x:c r="W42" s="14" t="n">
        <x:v>980</x:v>
      </x:c>
      <x:c r="X42" s="14" t="n">
        <x:f>INT(ABS(K43-K42)*'공식·설정'!$B$8/K42)</x:f>
        <x:v>980</x:v>
      </x:c>
      <x:c r="Y42" s="68" t="n">
        <x:f>X42-W42</x:f>
        <x:v>0</x:v>
      </x:c>
      <x:c r="Z42" s="66" t="n">
        <x:f>W42/'공식·설정'!$B$8</x:f>
        <x:v>0.01495361328125</x:v>
      </x:c>
      <x:c r="AA42" s="66" t="n">
        <x:f>X42/'공식·설정'!$B$8</x:f>
        <x:v>0.01495361328125</x:v>
      </x:c>
      <x:c r="AB42" s="67" t="str">
        <x:f>IF(AND(I42=0,L42=0,Q42=0,T42=0,Y42=0),"PASS","FAIL")</x:f>
        <x:v>PASS</x:v>
      </x:c>
    </x:row>
    <x:row r="43" ht="18" customHeight="1">
      <x:c r="A43" s="14" t="n">
        <x:v>146</x:v>
      </x:c>
      <x:c r="B43" s="14" t="n">
        <x:v>38</x:v>
      </x:c>
      <x:c r="C43" s="14" t="n">
        <x:v>140</x:v>
      </x:c>
      <x:c r="D43" s="14" t="n">
        <x:v>316</x:v>
      </x:c>
      <x:c r="E43" s="14" t="n">
        <x:v>154</x:v>
      </x:c>
      <x:c r="F43" s="14" t="n">
        <x:v>383</x:v>
      </x:c>
      <x:c r="G43" s="14" t="n">
        <x:v>344</x:v>
      </x:c>
      <x:c r="H43" s="14" t="n">
        <x:f>INT((F43-D43)*(A43-C43)/(E43-C43))+D43</x:f>
        <x:v>344</x:v>
      </x:c>
      <x:c r="I43" s="68" t="n">
        <x:f>H43-G43</x:f>
        <x:v>0</x:v>
      </x:c>
      <x:c r="J43" s="14" t="n">
        <x:v>2239</x:v>
      </x:c>
      <x:c r="K43" s="14" t="n">
        <x:f>INT(H43*'공식·설정'!$B$10/'공식·설정'!$B$15)</x:f>
        <x:v>2239</x:v>
      </x:c>
      <x:c r="L43" s="68" t="n">
        <x:f>K43-J43</x:f>
        <x:v>0</x:v>
      </x:c>
      <x:c r="M43" s="65" t="n">
        <x:f>J43/'공식·설정'!$B$7</x:f>
        <x:v>8.74609375</x:v>
      </x:c>
      <x:c r="N43" s="65" t="n">
        <x:f>K43/'공식·설정'!$B$7</x:f>
        <x:v>8.74609375</x:v>
      </x:c>
      <x:c r="O43" s="14" t="n">
        <x:v>1</x:v>
      </x:c>
      <x:c r="P43" s="14" t="n">
        <x:f>MIN(32767,MAX(0,INT((K43+INT('공식·설정'!$B$12/2))/'공식·설정'!$B$12)))</x:f>
        <x:v>1</x:v>
      </x:c>
      <x:c r="Q43" s="68" t="n">
        <x:f>P43-O43</x:f>
        <x:v>0</x:v>
      </x:c>
      <x:c r="R43" s="14" t="n">
        <x:v>11008</x:v>
      </x:c>
      <x:c r="S43" s="14" t="n">
        <x:f>P43*'공식·설정'!$B$12+'공식·설정'!$B$14</x:f>
        <x:v>11008</x:v>
      </x:c>
      <x:c r="T43" s="68" t="n">
        <x:f>S43-R43</x:f>
        <x:v>0</x:v>
      </x:c>
      <x:c r="U43" s="65" t="n">
        <x:f>R43/'공식·설정'!$B$7</x:f>
        <x:v>43</x:v>
      </x:c>
      <x:c r="V43" s="65" t="n">
        <x:f>S43/'공식·설정'!$B$7</x:f>
        <x:v>43</x:v>
      </x:c>
      <x:c r="W43" s="14" t="n">
        <x:v>965</x:v>
      </x:c>
      <x:c r="X43" s="14" t="n">
        <x:f>INT(ABS(K44-K43)*'공식·설정'!$B$8/K43)</x:f>
        <x:v>965</x:v>
      </x:c>
      <x:c r="Y43" s="68" t="n">
        <x:f>X43-W43</x:f>
        <x:v>0</x:v>
      </x:c>
      <x:c r="Z43" s="66" t="n">
        <x:f>W43/'공식·설정'!$B$8</x:f>
        <x:v>0.0147247314453125</x:v>
      </x:c>
      <x:c r="AA43" s="66" t="n">
        <x:f>X43/'공식·설정'!$B$8</x:f>
        <x:v>0.0147247314453125</x:v>
      </x:c>
      <x:c r="AB43" s="67" t="str">
        <x:f>IF(AND(I43=0,L43=0,Q43=0,T43=0,Y43=0),"PASS","FAIL")</x:f>
        <x:v>PASS</x:v>
      </x:c>
    </x:row>
    <x:row r="44" ht="18" customHeight="1">
      <x:c r="A44" s="14" t="n">
        <x:v>147</x:v>
      </x:c>
      <x:c r="B44" s="14" t="n">
        <x:v>39</x:v>
      </x:c>
      <x:c r="C44" s="14" t="n">
        <x:v>140</x:v>
      </x:c>
      <x:c r="D44" s="14" t="n">
        <x:v>316</x:v>
      </x:c>
      <x:c r="E44" s="14" t="n">
        <x:v>154</x:v>
      </x:c>
      <x:c r="F44" s="14" t="n">
        <x:v>383</x:v>
      </x:c>
      <x:c r="G44" s="14" t="n">
        <x:v>349</x:v>
      </x:c>
      <x:c r="H44" s="14" t="n">
        <x:f>INT((F44-D44)*(A44-C44)/(E44-C44))+D44</x:f>
        <x:v>349</x:v>
      </x:c>
      <x:c r="I44" s="68" t="n">
        <x:f>H44-G44</x:f>
        <x:v>0</x:v>
      </x:c>
      <x:c r="J44" s="14" t="n">
        <x:v>2272</x:v>
      </x:c>
      <x:c r="K44" s="14" t="n">
        <x:f>INT(H44*'공식·설정'!$B$10/'공식·설정'!$B$15)</x:f>
        <x:v>2272</x:v>
      </x:c>
      <x:c r="L44" s="68" t="n">
        <x:f>K44-J44</x:f>
        <x:v>0</x:v>
      </x:c>
      <x:c r="M44" s="65" t="n">
        <x:f>J44/'공식·설정'!$B$7</x:f>
        <x:v>8.875</x:v>
      </x:c>
      <x:c r="N44" s="65" t="n">
        <x:f>K44/'공식·설정'!$B$7</x:f>
        <x:v>8.875</x:v>
      </x:c>
      <x:c r="O44" s="14" t="n">
        <x:v>1</x:v>
      </x:c>
      <x:c r="P44" s="14" t="n">
        <x:f>MIN(32767,MAX(0,INT((K44+INT('공식·설정'!$B$12/2))/'공식·설정'!$B$12)))</x:f>
        <x:v>1</x:v>
      </x:c>
      <x:c r="Q44" s="68" t="n">
        <x:f>P44-O44</x:f>
        <x:v>0</x:v>
      </x:c>
      <x:c r="R44" s="14" t="n">
        <x:v>11008</x:v>
      </x:c>
      <x:c r="S44" s="14" t="n">
        <x:f>P44*'공식·설정'!$B$12+'공식·설정'!$B$14</x:f>
        <x:v>11008</x:v>
      </x:c>
      <x:c r="T44" s="68" t="n">
        <x:f>S44-R44</x:f>
        <x:v>0</x:v>
      </x:c>
      <x:c r="U44" s="65" t="n">
        <x:f>R44/'공식·설정'!$B$7</x:f>
        <x:v>43</x:v>
      </x:c>
      <x:c r="V44" s="65" t="n">
        <x:f>S44/'공식·설정'!$B$7</x:f>
        <x:v>43</x:v>
      </x:c>
      <x:c r="W44" s="14" t="n">
        <x:v>923</x:v>
      </x:c>
      <x:c r="X44" s="14" t="n">
        <x:f>INT(ABS(K45-K44)*'공식·설정'!$B$8/K44)</x:f>
        <x:v>923</x:v>
      </x:c>
      <x:c r="Y44" s="68" t="n">
        <x:f>X44-W44</x:f>
        <x:v>0</x:v>
      </x:c>
      <x:c r="Z44" s="66" t="n">
        <x:f>W44/'공식·설정'!$B$8</x:f>
        <x:v>0.0140838623046875</x:v>
      </x:c>
      <x:c r="AA44" s="66" t="n">
        <x:f>X44/'공식·설정'!$B$8</x:f>
        <x:v>0.0140838623046875</x:v>
      </x:c>
      <x:c r="AB44" s="67" t="str">
        <x:f>IF(AND(I44=0,L44=0,Q44=0,T44=0,Y44=0),"PASS","FAIL")</x:f>
        <x:v>PASS</x:v>
      </x:c>
    </x:row>
    <x:row r="45" ht="18" customHeight="1">
      <x:c r="A45" s="14" t="n">
        <x:v>148</x:v>
      </x:c>
      <x:c r="B45" s="14" t="n">
        <x:v>40</x:v>
      </x:c>
      <x:c r="C45" s="14" t="n">
        <x:v>140</x:v>
      </x:c>
      <x:c r="D45" s="14" t="n">
        <x:v>316</x:v>
      </x:c>
      <x:c r="E45" s="14" t="n">
        <x:v>154</x:v>
      </x:c>
      <x:c r="F45" s="14" t="n">
        <x:v>383</x:v>
      </x:c>
      <x:c r="G45" s="14" t="n">
        <x:v>354</x:v>
      </x:c>
      <x:c r="H45" s="14" t="n">
        <x:f>INT((F45-D45)*(A45-C45)/(E45-C45))+D45</x:f>
        <x:v>354</x:v>
      </x:c>
      <x:c r="I45" s="68" t="n">
        <x:f>H45-G45</x:f>
        <x:v>0</x:v>
      </x:c>
      <x:c r="J45" s="14" t="n">
        <x:v>2304</x:v>
      </x:c>
      <x:c r="K45" s="14" t="n">
        <x:f>INT(H45*'공식·설정'!$B$10/'공식·설정'!$B$15)</x:f>
        <x:v>2304</x:v>
      </x:c>
      <x:c r="L45" s="68" t="n">
        <x:f>K45-J45</x:f>
        <x:v>0</x:v>
      </x:c>
      <x:c r="M45" s="65" t="n">
        <x:f>J45/'공식·설정'!$B$7</x:f>
        <x:v>9</x:v>
      </x:c>
      <x:c r="N45" s="65" t="n">
        <x:f>K45/'공식·설정'!$B$7</x:f>
        <x:v>9</x:v>
      </x:c>
      <x:c r="O45" s="14" t="n">
        <x:v>1</x:v>
      </x:c>
      <x:c r="P45" s="14" t="n">
        <x:f>MIN(32767,MAX(0,INT((K45+INT('공식·설정'!$B$12/2))/'공식·설정'!$B$12)))</x:f>
        <x:v>1</x:v>
      </x:c>
      <x:c r="Q45" s="68" t="n">
        <x:f>P45-O45</x:f>
        <x:v>0</x:v>
      </x:c>
      <x:c r="R45" s="14" t="n">
        <x:v>11008</x:v>
      </x:c>
      <x:c r="S45" s="14" t="n">
        <x:f>P45*'공식·설정'!$B$12+'공식·설정'!$B$14</x:f>
        <x:v>11008</x:v>
      </x:c>
      <x:c r="T45" s="68" t="n">
        <x:f>S45-R45</x:f>
        <x:v>0</x:v>
      </x:c>
      <x:c r="U45" s="65" t="n">
        <x:f>R45/'공식·설정'!$B$7</x:f>
        <x:v>43</x:v>
      </x:c>
      <x:c r="V45" s="65" t="n">
        <x:f>S45/'공식·설정'!$B$7</x:f>
        <x:v>43</x:v>
      </x:c>
      <x:c r="W45" s="14" t="n">
        <x:v>938</x:v>
      </x:c>
      <x:c r="X45" s="14" t="n">
        <x:f>INT(ABS(K46-K45)*'공식·설정'!$B$8/K45)</x:f>
        <x:v>938</x:v>
      </x:c>
      <x:c r="Y45" s="68" t="n">
        <x:f>X45-W45</x:f>
        <x:v>0</x:v>
      </x:c>
      <x:c r="Z45" s="66" t="n">
        <x:f>W45/'공식·설정'!$B$8</x:f>
        <x:v>0.014312744140625</x:v>
      </x:c>
      <x:c r="AA45" s="66" t="n">
        <x:f>X45/'공식·설정'!$B$8</x:f>
        <x:v>0.014312744140625</x:v>
      </x:c>
      <x:c r="AB45" s="67" t="str">
        <x:f>IF(AND(I45=0,L45=0,Q45=0,T45=0,Y45=0),"PASS","FAIL")</x:f>
        <x:v>PASS</x:v>
      </x:c>
    </x:row>
    <x:row r="46" ht="18" customHeight="1">
      <x:c r="A46" s="14" t="n">
        <x:v>149</x:v>
      </x:c>
      <x:c r="B46" s="14" t="n">
        <x:v>41</x:v>
      </x:c>
      <x:c r="C46" s="14" t="n">
        <x:v>140</x:v>
      </x:c>
      <x:c r="D46" s="14" t="n">
        <x:v>316</x:v>
      </x:c>
      <x:c r="E46" s="14" t="n">
        <x:v>154</x:v>
      </x:c>
      <x:c r="F46" s="14" t="n">
        <x:v>383</x:v>
      </x:c>
      <x:c r="G46" s="14" t="n">
        <x:v>359</x:v>
      </x:c>
      <x:c r="H46" s="14" t="n">
        <x:f>INT((F46-D46)*(A46-C46)/(E46-C46))+D46</x:f>
        <x:v>359</x:v>
      </x:c>
      <x:c r="I46" s="68" t="n">
        <x:f>H46-G46</x:f>
        <x:v>0</x:v>
      </x:c>
      <x:c r="J46" s="14" t="n">
        <x:v>2337</x:v>
      </x:c>
      <x:c r="K46" s="14" t="n">
        <x:f>INT(H46*'공식·설정'!$B$10/'공식·설정'!$B$15)</x:f>
        <x:v>2337</x:v>
      </x:c>
      <x:c r="L46" s="68" t="n">
        <x:f>K46-J46</x:f>
        <x:v>0</x:v>
      </x:c>
      <x:c r="M46" s="65" t="n">
        <x:f>J46/'공식·설정'!$B$7</x:f>
        <x:v>9.12890625</x:v>
      </x:c>
      <x:c r="N46" s="65" t="n">
        <x:f>K46/'공식·설정'!$B$7</x:f>
        <x:v>9.12890625</x:v>
      </x:c>
      <x:c r="O46" s="14" t="n">
        <x:v>1</x:v>
      </x:c>
      <x:c r="P46" s="14" t="n">
        <x:f>MIN(32767,MAX(0,INT((K46+INT('공식·설정'!$B$12/2))/'공식·설정'!$B$12)))</x:f>
        <x:v>1</x:v>
      </x:c>
      <x:c r="Q46" s="68" t="n">
        <x:f>P46-O46</x:f>
        <x:v>0</x:v>
      </x:c>
      <x:c r="R46" s="14" t="n">
        <x:v>11008</x:v>
      </x:c>
      <x:c r="S46" s="14" t="n">
        <x:f>P46*'공식·설정'!$B$12+'공식·설정'!$B$14</x:f>
        <x:v>11008</x:v>
      </x:c>
      <x:c r="T46" s="68" t="n">
        <x:f>S46-R46</x:f>
        <x:v>0</x:v>
      </x:c>
      <x:c r="U46" s="65" t="n">
        <x:f>R46/'공식·설정'!$B$7</x:f>
        <x:v>43</x:v>
      </x:c>
      <x:c r="V46" s="65" t="n">
        <x:f>S46/'공식·설정'!$B$7</x:f>
        <x:v>43</x:v>
      </x:c>
      <x:c r="W46" s="14" t="n">
        <x:v>729</x:v>
      </x:c>
      <x:c r="X46" s="14" t="n">
        <x:f>INT(ABS(K47-K46)*'공식·설정'!$B$8/K46)</x:f>
        <x:v>729</x:v>
      </x:c>
      <x:c r="Y46" s="68" t="n">
        <x:f>X46-W46</x:f>
        <x:v>0</x:v>
      </x:c>
      <x:c r="Z46" s="66" t="n">
        <x:f>W46/'공식·설정'!$B$8</x:f>
        <x:v>0.0111236572265625</x:v>
      </x:c>
      <x:c r="AA46" s="66" t="n">
        <x:f>X46/'공식·설정'!$B$8</x:f>
        <x:v>0.0111236572265625</x:v>
      </x:c>
      <x:c r="AB46" s="67" t="str">
        <x:f>IF(AND(I46=0,L46=0,Q46=0,T46=0,Y46=0),"PASS","FAIL")</x:f>
        <x:v>PASS</x:v>
      </x:c>
    </x:row>
    <x:row r="47" ht="18" customHeight="1">
      <x:c r="A47" s="14" t="n">
        <x:v>150</x:v>
      </x:c>
      <x:c r="B47" s="14" t="n">
        <x:v>42</x:v>
      </x:c>
      <x:c r="C47" s="14" t="n">
        <x:v>140</x:v>
      </x:c>
      <x:c r="D47" s="14" t="n">
        <x:v>316</x:v>
      </x:c>
      <x:c r="E47" s="14" t="n">
        <x:v>154</x:v>
      </x:c>
      <x:c r="F47" s="14" t="n">
        <x:v>383</x:v>
      </x:c>
      <x:c r="G47" s="14" t="n">
        <x:v>363</x:v>
      </x:c>
      <x:c r="H47" s="14" t="n">
        <x:f>INT((F47-D47)*(A47-C47)/(E47-C47))+D47</x:f>
        <x:v>363</x:v>
      </x:c>
      <x:c r="I47" s="68" t="n">
        <x:f>H47-G47</x:f>
        <x:v>0</x:v>
      </x:c>
      <x:c r="J47" s="14" t="n">
        <x:v>2363</x:v>
      </x:c>
      <x:c r="K47" s="14" t="n">
        <x:f>INT(H47*'공식·설정'!$B$10/'공식·설정'!$B$15)</x:f>
        <x:v>2363</x:v>
      </x:c>
      <x:c r="L47" s="68" t="n">
        <x:f>K47-J47</x:f>
        <x:v>0</x:v>
      </x:c>
      <x:c r="M47" s="65" t="n">
        <x:f>J47/'공식·설정'!$B$7</x:f>
        <x:v>9.23046875</x:v>
      </x:c>
      <x:c r="N47" s="65" t="n">
        <x:f>K47/'공식·설정'!$B$7</x:f>
        <x:v>9.23046875</x:v>
      </x:c>
      <x:c r="O47" s="14" t="n">
        <x:v>1</x:v>
      </x:c>
      <x:c r="P47" s="14" t="n">
        <x:f>MIN(32767,MAX(0,INT((K47+INT('공식·설정'!$B$12/2))/'공식·설정'!$B$12)))</x:f>
        <x:v>1</x:v>
      </x:c>
      <x:c r="Q47" s="68" t="n">
        <x:f>P47-O47</x:f>
        <x:v>0</x:v>
      </x:c>
      <x:c r="R47" s="14" t="n">
        <x:v>11008</x:v>
      </x:c>
      <x:c r="S47" s="14" t="n">
        <x:f>P47*'공식·설정'!$B$12+'공식·설정'!$B$14</x:f>
        <x:v>11008</x:v>
      </x:c>
      <x:c r="T47" s="68" t="n">
        <x:f>S47-R47</x:f>
        <x:v>0</x:v>
      </x:c>
      <x:c r="U47" s="65" t="n">
        <x:f>R47/'공식·설정'!$B$7</x:f>
        <x:v>43</x:v>
      </x:c>
      <x:c r="V47" s="65" t="n">
        <x:f>S47/'공식·설정'!$B$7</x:f>
        <x:v>43</x:v>
      </x:c>
      <x:c r="W47" s="14" t="n">
        <x:v>887</x:v>
      </x:c>
      <x:c r="X47" s="14" t="n">
        <x:f>INT(ABS(K48-K47)*'공식·설정'!$B$8/K47)</x:f>
        <x:v>887</x:v>
      </x:c>
      <x:c r="Y47" s="68" t="n">
        <x:f>X47-W47</x:f>
        <x:v>0</x:v>
      </x:c>
      <x:c r="Z47" s="66" t="n">
        <x:f>W47/'공식·설정'!$B$8</x:f>
        <x:v>0.0135345458984375</x:v>
      </x:c>
      <x:c r="AA47" s="66" t="n">
        <x:f>X47/'공식·설정'!$B$8</x:f>
        <x:v>0.0135345458984375</x:v>
      </x:c>
      <x:c r="AB47" s="67" t="str">
        <x:f>IF(AND(I47=0,L47=0,Q47=0,T47=0,Y47=0),"PASS","FAIL")</x:f>
        <x:v>PASS</x:v>
      </x:c>
    </x:row>
    <x:row r="48" ht="18" customHeight="1">
      <x:c r="A48" s="14" t="n">
        <x:v>151</x:v>
      </x:c>
      <x:c r="B48" s="14" t="n">
        <x:v>43</x:v>
      </x:c>
      <x:c r="C48" s="14" t="n">
        <x:v>140</x:v>
      </x:c>
      <x:c r="D48" s="14" t="n">
        <x:v>316</x:v>
      </x:c>
      <x:c r="E48" s="14" t="n">
        <x:v>154</x:v>
      </x:c>
      <x:c r="F48" s="14" t="n">
        <x:v>383</x:v>
      </x:c>
      <x:c r="G48" s="14" t="n">
        <x:v>368</x:v>
      </x:c>
      <x:c r="H48" s="14" t="n">
        <x:f>INT((F48-D48)*(A48-C48)/(E48-C48))+D48</x:f>
        <x:v>368</x:v>
      </x:c>
      <x:c r="I48" s="68" t="n">
        <x:f>H48-G48</x:f>
        <x:v>0</x:v>
      </x:c>
      <x:c r="J48" s="14" t="n">
        <x:v>2395</x:v>
      </x:c>
      <x:c r="K48" s="14" t="n">
        <x:f>INT(H48*'공식·설정'!$B$10/'공식·설정'!$B$15)</x:f>
        <x:v>2395</x:v>
      </x:c>
      <x:c r="L48" s="68" t="n">
        <x:f>K48-J48</x:f>
        <x:v>0</x:v>
      </x:c>
      <x:c r="M48" s="65" t="n">
        <x:f>J48/'공식·설정'!$B$7</x:f>
        <x:v>9.35546875</x:v>
      </x:c>
      <x:c r="N48" s="65" t="n">
        <x:f>K48/'공식·설정'!$B$7</x:f>
        <x:v>9.35546875</x:v>
      </x:c>
      <x:c r="O48" s="14" t="n">
        <x:v>1</x:v>
      </x:c>
      <x:c r="P48" s="14" t="n">
        <x:f>MIN(32767,MAX(0,INT((K48+INT('공식·설정'!$B$12/2))/'공식·설정'!$B$12)))</x:f>
        <x:v>1</x:v>
      </x:c>
      <x:c r="Q48" s="68" t="n">
        <x:f>P48-O48</x:f>
        <x:v>0</x:v>
      </x:c>
      <x:c r="R48" s="14" t="n">
        <x:v>11008</x:v>
      </x:c>
      <x:c r="S48" s="14" t="n">
        <x:f>P48*'공식·설정'!$B$12+'공식·설정'!$B$14</x:f>
        <x:v>11008</x:v>
      </x:c>
      <x:c r="T48" s="68" t="n">
        <x:f>S48-R48</x:f>
        <x:v>0</x:v>
      </x:c>
      <x:c r="U48" s="65" t="n">
        <x:f>R48/'공식·설정'!$B$7</x:f>
        <x:v>43</x:v>
      </x:c>
      <x:c r="V48" s="65" t="n">
        <x:f>S48/'공식·설정'!$B$7</x:f>
        <x:v>43</x:v>
      </x:c>
      <x:c r="W48" s="14" t="n">
        <x:v>903</x:v>
      </x:c>
      <x:c r="X48" s="14" t="n">
        <x:f>INT(ABS(K49-K48)*'공식·설정'!$B$8/K48)</x:f>
        <x:v>903</x:v>
      </x:c>
      <x:c r="Y48" s="68" t="n">
        <x:f>X48-W48</x:f>
        <x:v>0</x:v>
      </x:c>
      <x:c r="Z48" s="66" t="n">
        <x:f>W48/'공식·설정'!$B$8</x:f>
        <x:v>0.0137786865234375</x:v>
      </x:c>
      <x:c r="AA48" s="66" t="n">
        <x:f>X48/'공식·설정'!$B$8</x:f>
        <x:v>0.0137786865234375</x:v>
      </x:c>
      <x:c r="AB48" s="67" t="str">
        <x:f>IF(AND(I48=0,L48=0,Q48=0,T48=0,Y48=0),"PASS","FAIL")</x:f>
        <x:v>PASS</x:v>
      </x:c>
    </x:row>
    <x:row r="49" ht="18" customHeight="1">
      <x:c r="A49" s="14" t="n">
        <x:v>152</x:v>
      </x:c>
      <x:c r="B49" s="14" t="n">
        <x:v>44</x:v>
      </x:c>
      <x:c r="C49" s="14" t="n">
        <x:v>140</x:v>
      </x:c>
      <x:c r="D49" s="14" t="n">
        <x:v>316</x:v>
      </x:c>
      <x:c r="E49" s="14" t="n">
        <x:v>154</x:v>
      </x:c>
      <x:c r="F49" s="14" t="n">
        <x:v>383</x:v>
      </x:c>
      <x:c r="G49" s="14" t="n">
        <x:v>373</x:v>
      </x:c>
      <x:c r="H49" s="14" t="n">
        <x:f>INT((F49-D49)*(A49-C49)/(E49-C49))+D49</x:f>
        <x:v>373</x:v>
      </x:c>
      <x:c r="I49" s="68" t="n">
        <x:f>H49-G49</x:f>
        <x:v>0</x:v>
      </x:c>
      <x:c r="J49" s="14" t="n">
        <x:v>2428</x:v>
      </x:c>
      <x:c r="K49" s="14" t="n">
        <x:f>INT(H49*'공식·설정'!$B$10/'공식·설정'!$B$15)</x:f>
        <x:v>2428</x:v>
      </x:c>
      <x:c r="L49" s="68" t="n">
        <x:f>K49-J49</x:f>
        <x:v>0</x:v>
      </x:c>
      <x:c r="M49" s="65" t="n">
        <x:f>J49/'공식·설정'!$B$7</x:f>
        <x:v>9.484375</x:v>
      </x:c>
      <x:c r="N49" s="65" t="n">
        <x:f>K49/'공식·설정'!$B$7</x:f>
        <x:v>9.484375</x:v>
      </x:c>
      <x:c r="O49" s="14" t="n">
        <x:v>1</x:v>
      </x:c>
      <x:c r="P49" s="14" t="n">
        <x:f>MIN(32767,MAX(0,INT((K49+INT('공식·설정'!$B$12/2))/'공식·설정'!$B$12)))</x:f>
        <x:v>1</x:v>
      </x:c>
      <x:c r="Q49" s="68" t="n">
        <x:f>P49-O49</x:f>
        <x:v>0</x:v>
      </x:c>
      <x:c r="R49" s="14" t="n">
        <x:v>11008</x:v>
      </x:c>
      <x:c r="S49" s="14" t="n">
        <x:f>P49*'공식·설정'!$B$12+'공식·설정'!$B$14</x:f>
        <x:v>11008</x:v>
      </x:c>
      <x:c r="T49" s="68" t="n">
        <x:f>S49-R49</x:f>
        <x:v>0</x:v>
      </x:c>
      <x:c r="U49" s="65" t="n">
        <x:f>R49/'공식·설정'!$B$7</x:f>
        <x:v>43</x:v>
      </x:c>
      <x:c r="V49" s="65" t="n">
        <x:f>S49/'공식·설정'!$B$7</x:f>
        <x:v>43</x:v>
      </x:c>
      <x:c r="W49" s="14" t="n">
        <x:v>863</x:v>
      </x:c>
      <x:c r="X49" s="14" t="n">
        <x:f>INT(ABS(K50-K49)*'공식·설정'!$B$8/K49)</x:f>
        <x:v>863</x:v>
      </x:c>
      <x:c r="Y49" s="68" t="n">
        <x:f>X49-W49</x:f>
        <x:v>0</x:v>
      </x:c>
      <x:c r="Z49" s="66" t="n">
        <x:f>W49/'공식·설정'!$B$8</x:f>
        <x:v>0.0131683349609375</x:v>
      </x:c>
      <x:c r="AA49" s="66" t="n">
        <x:f>X49/'공식·설정'!$B$8</x:f>
        <x:v>0.0131683349609375</x:v>
      </x:c>
      <x:c r="AB49" s="67" t="str">
        <x:f>IF(AND(I49=0,L49=0,Q49=0,T49=0,Y49=0),"PASS","FAIL")</x:f>
        <x:v>PASS</x:v>
      </x:c>
    </x:row>
    <x:row r="50" ht="18" customHeight="1">
      <x:c r="A50" s="14" t="n">
        <x:v>153</x:v>
      </x:c>
      <x:c r="B50" s="14" t="n">
        <x:v>45</x:v>
      </x:c>
      <x:c r="C50" s="14" t="n">
        <x:v>140</x:v>
      </x:c>
      <x:c r="D50" s="14" t="n">
        <x:v>316</x:v>
      </x:c>
      <x:c r="E50" s="14" t="n">
        <x:v>154</x:v>
      </x:c>
      <x:c r="F50" s="14" t="n">
        <x:v>383</x:v>
      </x:c>
      <x:c r="G50" s="14" t="n">
        <x:v>378</x:v>
      </x:c>
      <x:c r="H50" s="14" t="n">
        <x:f>INT((F50-D50)*(A50-C50)/(E50-C50))+D50</x:f>
        <x:v>378</x:v>
      </x:c>
      <x:c r="I50" s="68" t="n">
        <x:f>H50-G50</x:f>
        <x:v>0</x:v>
      </x:c>
      <x:c r="J50" s="14" t="n">
        <x:v>2460</x:v>
      </x:c>
      <x:c r="K50" s="14" t="n">
        <x:f>INT(H50*'공식·설정'!$B$10/'공식·설정'!$B$15)</x:f>
        <x:v>2460</x:v>
      </x:c>
      <x:c r="L50" s="68" t="n">
        <x:f>K50-J50</x:f>
        <x:v>0</x:v>
      </x:c>
      <x:c r="M50" s="65" t="n">
        <x:f>J50/'공식·설정'!$B$7</x:f>
        <x:v>9.609375</x:v>
      </x:c>
      <x:c r="N50" s="65" t="n">
        <x:f>K50/'공식·설정'!$B$7</x:f>
        <x:v>9.609375</x:v>
      </x:c>
      <x:c r="O50" s="14" t="n">
        <x:v>1</x:v>
      </x:c>
      <x:c r="P50" s="14" t="n">
        <x:f>MIN(32767,MAX(0,INT((K50+INT('공식·설정'!$B$12/2))/'공식·설정'!$B$12)))</x:f>
        <x:v>1</x:v>
      </x:c>
      <x:c r="Q50" s="68" t="n">
        <x:f>P50-O50</x:f>
        <x:v>0</x:v>
      </x:c>
      <x:c r="R50" s="14" t="n">
        <x:v>11008</x:v>
      </x:c>
      <x:c r="S50" s="14" t="n">
        <x:f>P50*'공식·설정'!$B$12+'공식·설정'!$B$14</x:f>
        <x:v>11008</x:v>
      </x:c>
      <x:c r="T50" s="68" t="n">
        <x:f>S50-R50</x:f>
        <x:v>0</x:v>
      </x:c>
      <x:c r="U50" s="65" t="n">
        <x:f>R50/'공식·설정'!$B$7</x:f>
        <x:v>43</x:v>
      </x:c>
      <x:c r="V50" s="65" t="n">
        <x:f>S50/'공식·설정'!$B$7</x:f>
        <x:v>43</x:v>
      </x:c>
      <x:c r="W50" s="14" t="n">
        <x:v>879</x:v>
      </x:c>
      <x:c r="X50" s="14" t="n">
        <x:f>INT(ABS(K51-K50)*'공식·설정'!$B$8/K50)</x:f>
        <x:v>879</x:v>
      </x:c>
      <x:c r="Y50" s="68" t="n">
        <x:f>X50-W50</x:f>
        <x:v>0</x:v>
      </x:c>
      <x:c r="Z50" s="66" t="n">
        <x:f>W50/'공식·설정'!$B$8</x:f>
        <x:v>0.0134124755859375</x:v>
      </x:c>
      <x:c r="AA50" s="66" t="n">
        <x:f>X50/'공식·설정'!$B$8</x:f>
        <x:v>0.0134124755859375</x:v>
      </x:c>
      <x:c r="AB50" s="67" t="str">
        <x:f>IF(AND(I50=0,L50=0,Q50=0,T50=0,Y50=0),"PASS","FAIL")</x:f>
        <x:v>PASS</x:v>
      </x:c>
    </x:row>
    <x:row r="51" ht="18" customHeight="1">
      <x:c r="A51" s="14" t="n">
        <x:v>154</x:v>
      </x:c>
      <x:c r="B51" s="14" t="n">
        <x:v>46</x:v>
      </x:c>
      <x:c r="C51" s="14" t="n">
        <x:v>154</x:v>
      </x:c>
      <x:c r="D51" s="14" t="n">
        <x:v>383</x:v>
      </x:c>
      <x:c r="E51" s="14" t="n">
        <x:v>168</x:v>
      </x:c>
      <x:c r="F51" s="14" t="n">
        <x:v>460</x:v>
      </x:c>
      <x:c r="G51" s="14" t="n">
        <x:v>383</x:v>
      </x:c>
      <x:c r="H51" s="14" t="n">
        <x:f>INT((F51-D51)*(A51-C51)/(E51-C51))+D51</x:f>
        <x:v>383</x:v>
      </x:c>
      <x:c r="I51" s="68" t="n">
        <x:f>H51-G51</x:f>
        <x:v>0</x:v>
      </x:c>
      <x:c r="J51" s="14" t="n">
        <x:v>2493</x:v>
      </x:c>
      <x:c r="K51" s="14" t="n">
        <x:f>INT(H51*'공식·설정'!$B$10/'공식·설정'!$B$15)</x:f>
        <x:v>2493</x:v>
      </x:c>
      <x:c r="L51" s="68" t="n">
        <x:f>K51-J51</x:f>
        <x:v>0</x:v>
      </x:c>
      <x:c r="M51" s="65" t="n">
        <x:f>J51/'공식·설정'!$B$7</x:f>
        <x:v>9.73828125</x:v>
      </x:c>
      <x:c r="N51" s="65" t="n">
        <x:f>K51/'공식·설정'!$B$7</x:f>
        <x:v>9.73828125</x:v>
      </x:c>
      <x:c r="O51" s="14" t="n">
        <x:v>1</x:v>
      </x:c>
      <x:c r="P51" s="14" t="n">
        <x:f>MIN(32767,MAX(0,INT((K51+INT('공식·설정'!$B$12/2))/'공식·설정'!$B$12)))</x:f>
        <x:v>1</x:v>
      </x:c>
      <x:c r="Q51" s="68" t="n">
        <x:f>P51-O51</x:f>
        <x:v>0</x:v>
      </x:c>
      <x:c r="R51" s="14" t="n">
        <x:v>11008</x:v>
      </x:c>
      <x:c r="S51" s="14" t="n">
        <x:f>P51*'공식·설정'!$B$12+'공식·설정'!$B$14</x:f>
        <x:v>11008</x:v>
      </x:c>
      <x:c r="T51" s="68" t="n">
        <x:f>S51-R51</x:f>
        <x:v>0</x:v>
      </x:c>
      <x:c r="U51" s="65" t="n">
        <x:f>R51/'공식·설정'!$B$7</x:f>
        <x:v>43</x:v>
      </x:c>
      <x:c r="V51" s="65" t="n">
        <x:f>S51/'공식·설정'!$B$7</x:f>
        <x:v>43</x:v>
      </x:c>
      <x:c r="W51" s="14" t="n">
        <x:v>841</x:v>
      </x:c>
      <x:c r="X51" s="14" t="n">
        <x:f>INT(ABS(K52-K51)*'공식·설정'!$B$8/K51)</x:f>
        <x:v>841</x:v>
      </x:c>
      <x:c r="Y51" s="68" t="n">
        <x:f>X51-W51</x:f>
        <x:v>0</x:v>
      </x:c>
      <x:c r="Z51" s="66" t="n">
        <x:f>W51/'공식·설정'!$B$8</x:f>
        <x:v>0.0128326416015625</x:v>
      </x:c>
      <x:c r="AA51" s="66" t="n">
        <x:f>X51/'공식·설정'!$B$8</x:f>
        <x:v>0.0128326416015625</x:v>
      </x:c>
      <x:c r="AB51" s="67" t="str">
        <x:f>IF(AND(I51=0,L51=0,Q51=0,T51=0,Y51=0),"PASS","FAIL")</x:f>
        <x:v>PASS</x:v>
      </x:c>
    </x:row>
    <x:row r="52" ht="18" customHeight="1">
      <x:c r="A52" s="14" t="n">
        <x:v>155</x:v>
      </x:c>
      <x:c r="B52" s="14" t="n">
        <x:v>47</x:v>
      </x:c>
      <x:c r="C52" s="14" t="n">
        <x:v>154</x:v>
      </x:c>
      <x:c r="D52" s="14" t="n">
        <x:v>383</x:v>
      </x:c>
      <x:c r="E52" s="14" t="n">
        <x:v>168</x:v>
      </x:c>
      <x:c r="F52" s="14" t="n">
        <x:v>460</x:v>
      </x:c>
      <x:c r="G52" s="14" t="n">
        <x:v>388</x:v>
      </x:c>
      <x:c r="H52" s="14" t="n">
        <x:f>INT((F52-D52)*(A52-C52)/(E52-C52))+D52</x:f>
        <x:v>388</x:v>
      </x:c>
      <x:c r="I52" s="68" t="n">
        <x:f>H52-G52</x:f>
        <x:v>0</x:v>
      </x:c>
      <x:c r="J52" s="14" t="n">
        <x:v>2525</x:v>
      </x:c>
      <x:c r="K52" s="14" t="n">
        <x:f>INT(H52*'공식·설정'!$B$10/'공식·설정'!$B$15)</x:f>
        <x:v>2525</x:v>
      </x:c>
      <x:c r="L52" s="68" t="n">
        <x:f>K52-J52</x:f>
        <x:v>0</x:v>
      </x:c>
      <x:c r="M52" s="65" t="n">
        <x:f>J52/'공식·설정'!$B$7</x:f>
        <x:v>9.86328125</x:v>
      </x:c>
      <x:c r="N52" s="65" t="n">
        <x:f>K52/'공식·설정'!$B$7</x:f>
        <x:v>9.86328125</x:v>
      </x:c>
      <x:c r="O52" s="14" t="n">
        <x:v>1</x:v>
      </x:c>
      <x:c r="P52" s="14" t="n">
        <x:f>MIN(32767,MAX(0,INT((K52+INT('공식·설정'!$B$12/2))/'공식·설정'!$B$12)))</x:f>
        <x:v>1</x:v>
      </x:c>
      <x:c r="Q52" s="68" t="n">
        <x:f>P52-O52</x:f>
        <x:v>0</x:v>
      </x:c>
      <x:c r="R52" s="14" t="n">
        <x:v>11008</x:v>
      </x:c>
      <x:c r="S52" s="14" t="n">
        <x:f>P52*'공식·설정'!$B$12+'공식·설정'!$B$14</x:f>
        <x:v>11008</x:v>
      </x:c>
      <x:c r="T52" s="68" t="n">
        <x:f>S52-R52</x:f>
        <x:v>0</x:v>
      </x:c>
      <x:c r="U52" s="65" t="n">
        <x:f>R52/'공식·설정'!$B$7</x:f>
        <x:v>43</x:v>
      </x:c>
      <x:c r="V52" s="65" t="n">
        <x:f>S52/'공식·설정'!$B$7</x:f>
        <x:v>43</x:v>
      </x:c>
      <x:c r="W52" s="14" t="n">
        <x:v>1038</x:v>
      </x:c>
      <x:c r="X52" s="14" t="n">
        <x:f>INT(ABS(K53-K52)*'공식·설정'!$B$8/K52)</x:f>
        <x:v>1038</x:v>
      </x:c>
      <x:c r="Y52" s="68" t="n">
        <x:f>X52-W52</x:f>
        <x:v>0</x:v>
      </x:c>
      <x:c r="Z52" s="66" t="n">
        <x:f>W52/'공식·설정'!$B$8</x:f>
        <x:v>0.015838623046875</x:v>
      </x:c>
      <x:c r="AA52" s="66" t="n">
        <x:f>X52/'공식·설정'!$B$8</x:f>
        <x:v>0.015838623046875</x:v>
      </x:c>
      <x:c r="AB52" s="67" t="str">
        <x:f>IF(AND(I52=0,L52=0,Q52=0,T52=0,Y52=0),"PASS","FAIL")</x:f>
        <x:v>PASS</x:v>
      </x:c>
    </x:row>
    <x:row r="53" ht="18" customHeight="1">
      <x:c r="A53" s="14" t="n">
        <x:v>156</x:v>
      </x:c>
      <x:c r="B53" s="14" t="n">
        <x:v>48</x:v>
      </x:c>
      <x:c r="C53" s="14" t="n">
        <x:v>154</x:v>
      </x:c>
      <x:c r="D53" s="14" t="n">
        <x:v>383</x:v>
      </x:c>
      <x:c r="E53" s="14" t="n">
        <x:v>168</x:v>
      </x:c>
      <x:c r="F53" s="14" t="n">
        <x:v>460</x:v>
      </x:c>
      <x:c r="G53" s="14" t="n">
        <x:v>394</x:v>
      </x:c>
      <x:c r="H53" s="14" t="n">
        <x:f>INT((F53-D53)*(A53-C53)/(E53-C53))+D53</x:f>
        <x:v>394</x:v>
      </x:c>
      <x:c r="I53" s="68" t="n">
        <x:f>H53-G53</x:f>
        <x:v>0</x:v>
      </x:c>
      <x:c r="J53" s="14" t="n">
        <x:v>2565</x:v>
      </x:c>
      <x:c r="K53" s="14" t="n">
        <x:f>INT(H53*'공식·설정'!$B$10/'공식·설정'!$B$15)</x:f>
        <x:v>2565</x:v>
      </x:c>
      <x:c r="L53" s="68" t="n">
        <x:f>K53-J53</x:f>
        <x:v>0</x:v>
      </x:c>
      <x:c r="M53" s="65" t="n">
        <x:f>J53/'공식·설정'!$B$7</x:f>
        <x:v>10.01953125</x:v>
      </x:c>
      <x:c r="N53" s="65" t="n">
        <x:f>K53/'공식·설정'!$B$7</x:f>
        <x:v>10.01953125</x:v>
      </x:c>
      <x:c r="O53" s="14" t="n">
        <x:v>1</x:v>
      </x:c>
      <x:c r="P53" s="14" t="n">
        <x:f>MIN(32767,MAX(0,INT((K53+INT('공식·설정'!$B$12/2))/'공식·설정'!$B$12)))</x:f>
        <x:v>1</x:v>
      </x:c>
      <x:c r="Q53" s="68" t="n">
        <x:f>P53-O53</x:f>
        <x:v>0</x:v>
      </x:c>
      <x:c r="R53" s="14" t="n">
        <x:v>11008</x:v>
      </x:c>
      <x:c r="S53" s="14" t="n">
        <x:f>P53*'공식·설정'!$B$12+'공식·설정'!$B$14</x:f>
        <x:v>11008</x:v>
      </x:c>
      <x:c r="T53" s="68" t="n">
        <x:f>S53-R53</x:f>
        <x:v>0</x:v>
      </x:c>
      <x:c r="U53" s="65" t="n">
        <x:f>R53/'공식·설정'!$B$7</x:f>
        <x:v>43</x:v>
      </x:c>
      <x:c r="V53" s="65" t="n">
        <x:f>S53/'공식·설정'!$B$7</x:f>
        <x:v>43</x:v>
      </x:c>
      <x:c r="W53" s="14" t="n">
        <x:v>817</x:v>
      </x:c>
      <x:c r="X53" s="14" t="n">
        <x:f>INT(ABS(K54-K53)*'공식·설정'!$B$8/K53)</x:f>
        <x:v>817</x:v>
      </x:c>
      <x:c r="Y53" s="68" t="n">
        <x:f>X53-W53</x:f>
        <x:v>0</x:v>
      </x:c>
      <x:c r="Z53" s="66" t="n">
        <x:f>W53/'공식·설정'!$B$8</x:f>
        <x:v>0.0124664306640625</x:v>
      </x:c>
      <x:c r="AA53" s="66" t="n">
        <x:f>X53/'공식·설정'!$B$8</x:f>
        <x:v>0.0124664306640625</x:v>
      </x:c>
      <x:c r="AB53" s="67" t="str">
        <x:f>IF(AND(I53=0,L53=0,Q53=0,T53=0,Y53=0),"PASS","FAIL")</x:f>
        <x:v>PASS</x:v>
      </x:c>
    </x:row>
    <x:row r="54" ht="18" customHeight="1">
      <x:c r="A54" s="14" t="n">
        <x:v>157</x:v>
      </x:c>
      <x:c r="B54" s="14" t="n">
        <x:v>49</x:v>
      </x:c>
      <x:c r="C54" s="14" t="n">
        <x:v>154</x:v>
      </x:c>
      <x:c r="D54" s="14" t="n">
        <x:v>383</x:v>
      </x:c>
      <x:c r="E54" s="14" t="n">
        <x:v>168</x:v>
      </x:c>
      <x:c r="F54" s="14" t="n">
        <x:v>460</x:v>
      </x:c>
      <x:c r="G54" s="14" t="n">
        <x:v>399</x:v>
      </x:c>
      <x:c r="H54" s="14" t="n">
        <x:f>INT((F54-D54)*(A54-C54)/(E54-C54))+D54</x:f>
        <x:v>399</x:v>
      </x:c>
      <x:c r="I54" s="68" t="n">
        <x:f>H54-G54</x:f>
        <x:v>0</x:v>
      </x:c>
      <x:c r="J54" s="14" t="n">
        <x:v>2597</x:v>
      </x:c>
      <x:c r="K54" s="14" t="n">
        <x:f>INT(H54*'공식·설정'!$B$10/'공식·설정'!$B$15)</x:f>
        <x:v>2597</x:v>
      </x:c>
      <x:c r="L54" s="68" t="n">
        <x:f>K54-J54</x:f>
        <x:v>0</x:v>
      </x:c>
      <x:c r="M54" s="65" t="n">
        <x:f>J54/'공식·설정'!$B$7</x:f>
        <x:v>10.14453125</x:v>
      </x:c>
      <x:c r="N54" s="65" t="n">
        <x:f>K54/'공식·설정'!$B$7</x:f>
        <x:v>10.14453125</x:v>
      </x:c>
      <x:c r="O54" s="14" t="n">
        <x:v>1</x:v>
      </x:c>
      <x:c r="P54" s="14" t="n">
        <x:f>MIN(32767,MAX(0,INT((K54+INT('공식·설정'!$B$12/2))/'공식·설정'!$B$12)))</x:f>
        <x:v>1</x:v>
      </x:c>
      <x:c r="Q54" s="68" t="n">
        <x:f>P54-O54</x:f>
        <x:v>0</x:v>
      </x:c>
      <x:c r="R54" s="14" t="n">
        <x:v>11008</x:v>
      </x:c>
      <x:c r="S54" s="14" t="n">
        <x:f>P54*'공식·설정'!$B$12+'공식·설정'!$B$14</x:f>
        <x:v>11008</x:v>
      </x:c>
      <x:c r="T54" s="68" t="n">
        <x:f>S54-R54</x:f>
        <x:v>0</x:v>
      </x:c>
      <x:c r="U54" s="65" t="n">
        <x:f>R54/'공식·설정'!$B$7</x:f>
        <x:v>43</x:v>
      </x:c>
      <x:c r="V54" s="65" t="n">
        <x:f>S54/'공식·설정'!$B$7</x:f>
        <x:v>43</x:v>
      </x:c>
      <x:c r="W54" s="14" t="n">
        <x:v>984</x:v>
      </x:c>
      <x:c r="X54" s="14" t="n">
        <x:f>INT(ABS(K55-K54)*'공식·설정'!$B$8/K54)</x:f>
        <x:v>984</x:v>
      </x:c>
      <x:c r="Y54" s="68" t="n">
        <x:f>X54-W54</x:f>
        <x:v>0</x:v>
      </x:c>
      <x:c r="Z54" s="66" t="n">
        <x:f>W54/'공식·설정'!$B$8</x:f>
        <x:v>0.0150146484375</x:v>
      </x:c>
      <x:c r="AA54" s="66" t="n">
        <x:f>X54/'공식·설정'!$B$8</x:f>
        <x:v>0.0150146484375</x:v>
      </x:c>
      <x:c r="AB54" s="67" t="str">
        <x:f>IF(AND(I54=0,L54=0,Q54=0,T54=0,Y54=0),"PASS","FAIL")</x:f>
        <x:v>PASS</x:v>
      </x:c>
    </x:row>
    <x:row r="55" ht="18" customHeight="1">
      <x:c r="A55" s="14" t="n">
        <x:v>158</x:v>
      </x:c>
      <x:c r="B55" s="14" t="n">
        <x:v>50</x:v>
      </x:c>
      <x:c r="C55" s="14" t="n">
        <x:v>154</x:v>
      </x:c>
      <x:c r="D55" s="14" t="n">
        <x:v>383</x:v>
      </x:c>
      <x:c r="E55" s="14" t="n">
        <x:v>168</x:v>
      </x:c>
      <x:c r="F55" s="14" t="n">
        <x:v>460</x:v>
      </x:c>
      <x:c r="G55" s="14" t="n">
        <x:v>405</x:v>
      </x:c>
      <x:c r="H55" s="14" t="n">
        <x:f>INT((F55-D55)*(A55-C55)/(E55-C55))+D55</x:f>
        <x:v>405</x:v>
      </x:c>
      <x:c r="I55" s="68" t="n">
        <x:f>H55-G55</x:f>
        <x:v>0</x:v>
      </x:c>
      <x:c r="J55" s="14" t="n">
        <x:v>2636</x:v>
      </x:c>
      <x:c r="K55" s="14" t="n">
        <x:f>INT(H55*'공식·설정'!$B$10/'공식·설정'!$B$15)</x:f>
        <x:v>2636</x:v>
      </x:c>
      <x:c r="L55" s="68" t="n">
        <x:f>K55-J55</x:f>
        <x:v>0</x:v>
      </x:c>
      <x:c r="M55" s="65" t="n">
        <x:f>J55/'공식·설정'!$B$7</x:f>
        <x:v>10.296875</x:v>
      </x:c>
      <x:c r="N55" s="65" t="n">
        <x:f>K55/'공식·설정'!$B$7</x:f>
        <x:v>10.296875</x:v>
      </x:c>
      <x:c r="O55" s="14" t="n">
        <x:v>1</x:v>
      </x:c>
      <x:c r="P55" s="14" t="n">
        <x:f>MIN(32767,MAX(0,INT((K55+INT('공식·설정'!$B$12/2))/'공식·설정'!$B$12)))</x:f>
        <x:v>1</x:v>
      </x:c>
      <x:c r="Q55" s="68" t="n">
        <x:f>P55-O55</x:f>
        <x:v>0</x:v>
      </x:c>
      <x:c r="R55" s="14" t="n">
        <x:v>11008</x:v>
      </x:c>
      <x:c r="S55" s="14" t="n">
        <x:f>P55*'공식·설정'!$B$12+'공식·설정'!$B$14</x:f>
        <x:v>11008</x:v>
      </x:c>
      <x:c r="T55" s="68" t="n">
        <x:f>S55-R55</x:f>
        <x:v>0</x:v>
      </x:c>
      <x:c r="U55" s="65" t="n">
        <x:f>R55/'공식·설정'!$B$7</x:f>
        <x:v>43</x:v>
      </x:c>
      <x:c r="V55" s="65" t="n">
        <x:f>S55/'공식·설정'!$B$7</x:f>
        <x:v>43</x:v>
      </x:c>
      <x:c r="W55" s="14" t="n">
        <x:v>820</x:v>
      </x:c>
      <x:c r="X55" s="14" t="n">
        <x:f>INT(ABS(K56-K55)*'공식·설정'!$B$8/K55)</x:f>
        <x:v>820</x:v>
      </x:c>
      <x:c r="Y55" s="68" t="n">
        <x:f>X55-W55</x:f>
        <x:v>0</x:v>
      </x:c>
      <x:c r="Z55" s="66" t="n">
        <x:f>W55/'공식·설정'!$B$8</x:f>
        <x:v>0.01251220703125</x:v>
      </x:c>
      <x:c r="AA55" s="66" t="n">
        <x:f>X55/'공식·설정'!$B$8</x:f>
        <x:v>0.01251220703125</x:v>
      </x:c>
      <x:c r="AB55" s="67" t="str">
        <x:f>IF(AND(I55=0,L55=0,Q55=0,T55=0,Y55=0),"PASS","FAIL")</x:f>
        <x:v>PASS</x:v>
      </x:c>
    </x:row>
    <x:row r="56" ht="18" customHeight="1">
      <x:c r="A56" s="14" t="n">
        <x:v>159</x:v>
      </x:c>
      <x:c r="B56" s="14" t="n">
        <x:v>51</x:v>
      </x:c>
      <x:c r="C56" s="14" t="n">
        <x:v>154</x:v>
      </x:c>
      <x:c r="D56" s="14" t="n">
        <x:v>383</x:v>
      </x:c>
      <x:c r="E56" s="14" t="n">
        <x:v>168</x:v>
      </x:c>
      <x:c r="F56" s="14" t="n">
        <x:v>460</x:v>
      </x:c>
      <x:c r="G56" s="14" t="n">
        <x:v>410</x:v>
      </x:c>
      <x:c r="H56" s="14" t="n">
        <x:f>INT((F56-D56)*(A56-C56)/(E56-C56))+D56</x:f>
        <x:v>410</x:v>
      </x:c>
      <x:c r="I56" s="68" t="n">
        <x:f>H56-G56</x:f>
        <x:v>0</x:v>
      </x:c>
      <x:c r="J56" s="14" t="n">
        <x:v>2669</x:v>
      </x:c>
      <x:c r="K56" s="14" t="n">
        <x:f>INT(H56*'공식·설정'!$B$10/'공식·설정'!$B$15)</x:f>
        <x:v>2669</x:v>
      </x:c>
      <x:c r="L56" s="68" t="n">
        <x:f>K56-J56</x:f>
        <x:v>0</x:v>
      </x:c>
      <x:c r="M56" s="65" t="n">
        <x:f>J56/'공식·설정'!$B$7</x:f>
        <x:v>10.42578125</x:v>
      </x:c>
      <x:c r="N56" s="65" t="n">
        <x:f>K56/'공식·설정'!$B$7</x:f>
        <x:v>10.42578125</x:v>
      </x:c>
      <x:c r="O56" s="14" t="n">
        <x:v>1</x:v>
      </x:c>
      <x:c r="P56" s="14" t="n">
        <x:f>MIN(32767,MAX(0,INT((K56+INT('공식·설정'!$B$12/2))/'공식·설정'!$B$12)))</x:f>
        <x:v>1</x:v>
      </x:c>
      <x:c r="Q56" s="68" t="n">
        <x:f>P56-O56</x:f>
        <x:v>0</x:v>
      </x:c>
      <x:c r="R56" s="14" t="n">
        <x:v>11008</x:v>
      </x:c>
      <x:c r="S56" s="14" t="n">
        <x:f>P56*'공식·설정'!$B$12+'공식·설정'!$B$14</x:f>
        <x:v>11008</x:v>
      </x:c>
      <x:c r="T56" s="68" t="n">
        <x:f>S56-R56</x:f>
        <x:v>0</x:v>
      </x:c>
      <x:c r="U56" s="65" t="n">
        <x:f>R56/'공식·설정'!$B$7</x:f>
        <x:v>43</x:v>
      </x:c>
      <x:c r="V56" s="65" t="n">
        <x:f>S56/'공식·설정'!$B$7</x:f>
        <x:v>43</x:v>
      </x:c>
      <x:c r="W56" s="14" t="n">
        <x:v>957</x:v>
      </x:c>
      <x:c r="X56" s="14" t="n">
        <x:f>INT(ABS(K57-K56)*'공식·설정'!$B$8/K56)</x:f>
        <x:v>957</x:v>
      </x:c>
      <x:c r="Y56" s="68" t="n">
        <x:f>X56-W56</x:f>
        <x:v>0</x:v>
      </x:c>
      <x:c r="Z56" s="66" t="n">
        <x:f>W56/'공식·설정'!$B$8</x:f>
        <x:v>0.0146026611328125</x:v>
      </x:c>
      <x:c r="AA56" s="66" t="n">
        <x:f>X56/'공식·설정'!$B$8</x:f>
        <x:v>0.0146026611328125</x:v>
      </x:c>
      <x:c r="AB56" s="67" t="str">
        <x:f>IF(AND(I56=0,L56=0,Q56=0,T56=0,Y56=0),"PASS","FAIL")</x:f>
        <x:v>PASS</x:v>
      </x:c>
    </x:row>
    <x:row r="57" ht="18" customHeight="1">
      <x:c r="A57" s="14" t="n">
        <x:v>160</x:v>
      </x:c>
      <x:c r="B57" s="14" t="n">
        <x:v>52</x:v>
      </x:c>
      <x:c r="C57" s="14" t="n">
        <x:v>154</x:v>
      </x:c>
      <x:c r="D57" s="14" t="n">
        <x:v>383</x:v>
      </x:c>
      <x:c r="E57" s="14" t="n">
        <x:v>168</x:v>
      </x:c>
      <x:c r="F57" s="14" t="n">
        <x:v>460</x:v>
      </x:c>
      <x:c r="G57" s="14" t="n">
        <x:v>416</x:v>
      </x:c>
      <x:c r="H57" s="14" t="n">
        <x:f>INT((F57-D57)*(A57-C57)/(E57-C57))+D57</x:f>
        <x:v>416</x:v>
      </x:c>
      <x:c r="I57" s="68" t="n">
        <x:f>H57-G57</x:f>
        <x:v>0</x:v>
      </x:c>
      <x:c r="J57" s="14" t="n">
        <x:v>2708</x:v>
      </x:c>
      <x:c r="K57" s="14" t="n">
        <x:f>INT(H57*'공식·설정'!$B$10/'공식·설정'!$B$15)</x:f>
        <x:v>2708</x:v>
      </x:c>
      <x:c r="L57" s="68" t="n">
        <x:f>K57-J57</x:f>
        <x:v>0</x:v>
      </x:c>
      <x:c r="M57" s="65" t="n">
        <x:f>J57/'공식·설정'!$B$7</x:f>
        <x:v>10.578125</x:v>
      </x:c>
      <x:c r="N57" s="65" t="n">
        <x:f>K57/'공식·설정'!$B$7</x:f>
        <x:v>10.578125</x:v>
      </x:c>
      <x:c r="O57" s="14" t="n">
        <x:v>1</x:v>
      </x:c>
      <x:c r="P57" s="14" t="n">
        <x:f>MIN(32767,MAX(0,INT((K57+INT('공식·설정'!$B$12/2))/'공식·설정'!$B$12)))</x:f>
        <x:v>1</x:v>
      </x:c>
      <x:c r="Q57" s="68" t="n">
        <x:f>P57-O57</x:f>
        <x:v>0</x:v>
      </x:c>
      <x:c r="R57" s="14" t="n">
        <x:v>11008</x:v>
      </x:c>
      <x:c r="S57" s="14" t="n">
        <x:f>P57*'공식·설정'!$B$12+'공식·설정'!$B$14</x:f>
        <x:v>11008</x:v>
      </x:c>
      <x:c r="T57" s="68" t="n">
        <x:f>S57-R57</x:f>
        <x:v>0</x:v>
      </x:c>
      <x:c r="U57" s="65" t="n">
        <x:f>R57/'공식·설정'!$B$7</x:f>
        <x:v>43</x:v>
      </x:c>
      <x:c r="V57" s="65" t="n">
        <x:f>S57/'공식·설정'!$B$7</x:f>
        <x:v>43</x:v>
      </x:c>
      <x:c r="W57" s="14" t="n">
        <x:v>774</x:v>
      </x:c>
      <x:c r="X57" s="14" t="n">
        <x:f>INT(ABS(K58-K57)*'공식·설정'!$B$8/K57)</x:f>
        <x:v>774</x:v>
      </x:c>
      <x:c r="Y57" s="68" t="n">
        <x:f>X57-W57</x:f>
        <x:v>0</x:v>
      </x:c>
      <x:c r="Z57" s="66" t="n">
        <x:f>W57/'공식·설정'!$B$8</x:f>
        <x:v>0.011810302734375</x:v>
      </x:c>
      <x:c r="AA57" s="66" t="n">
        <x:f>X57/'공식·설정'!$B$8</x:f>
        <x:v>0.011810302734375</x:v>
      </x:c>
      <x:c r="AB57" s="67" t="str">
        <x:f>IF(AND(I57=0,L57=0,Q57=0,T57=0,Y57=0),"PASS","FAIL")</x:f>
        <x:v>PASS</x:v>
      </x:c>
    </x:row>
    <x:row r="58" ht="18" customHeight="1">
      <x:c r="A58" s="14" t="n">
        <x:v>161</x:v>
      </x:c>
      <x:c r="B58" s="14" t="n">
        <x:v>53</x:v>
      </x:c>
      <x:c r="C58" s="14" t="n">
        <x:v>154</x:v>
      </x:c>
      <x:c r="D58" s="14" t="n">
        <x:v>383</x:v>
      </x:c>
      <x:c r="E58" s="14" t="n">
        <x:v>168</x:v>
      </x:c>
      <x:c r="F58" s="14" t="n">
        <x:v>460</x:v>
      </x:c>
      <x:c r="G58" s="14" t="n">
        <x:v>421</x:v>
      </x:c>
      <x:c r="H58" s="14" t="n">
        <x:f>INT((F58-D58)*(A58-C58)/(E58-C58))+D58</x:f>
        <x:v>421</x:v>
      </x:c>
      <x:c r="I58" s="68" t="n">
        <x:f>H58-G58</x:f>
        <x:v>0</x:v>
      </x:c>
      <x:c r="J58" s="14" t="n">
        <x:v>2740</x:v>
      </x:c>
      <x:c r="K58" s="14" t="n">
        <x:f>INT(H58*'공식·설정'!$B$10/'공식·설정'!$B$15)</x:f>
        <x:v>2740</x:v>
      </x:c>
      <x:c r="L58" s="68" t="n">
        <x:f>K58-J58</x:f>
        <x:v>0</x:v>
      </x:c>
      <x:c r="M58" s="65" t="n">
        <x:f>J58/'공식·설정'!$B$7</x:f>
        <x:v>10.703125</x:v>
      </x:c>
      <x:c r="N58" s="65" t="n">
        <x:f>K58/'공식·설정'!$B$7</x:f>
        <x:v>10.703125</x:v>
      </x:c>
      <x:c r="O58" s="14" t="n">
        <x:v>1</x:v>
      </x:c>
      <x:c r="P58" s="14" t="n">
        <x:f>MIN(32767,MAX(0,INT((K58+INT('공식·설정'!$B$12/2))/'공식·설정'!$B$12)))</x:f>
        <x:v>1</x:v>
      </x:c>
      <x:c r="Q58" s="68" t="n">
        <x:f>P58-O58</x:f>
        <x:v>0</x:v>
      </x:c>
      <x:c r="R58" s="14" t="n">
        <x:v>11008</x:v>
      </x:c>
      <x:c r="S58" s="14" t="n">
        <x:f>P58*'공식·설정'!$B$12+'공식·설정'!$B$14</x:f>
        <x:v>11008</x:v>
      </x:c>
      <x:c r="T58" s="68" t="n">
        <x:f>S58-R58</x:f>
        <x:v>0</x:v>
      </x:c>
      <x:c r="U58" s="65" t="n">
        <x:f>R58/'공식·설정'!$B$7</x:f>
        <x:v>43</x:v>
      </x:c>
      <x:c r="V58" s="65" t="n">
        <x:f>S58/'공식·설정'!$B$7</x:f>
        <x:v>43</x:v>
      </x:c>
      <x:c r="W58" s="14" t="n">
        <x:v>932</x:v>
      </x:c>
      <x:c r="X58" s="14" t="n">
        <x:f>INT(ABS(K59-K58)*'공식·설정'!$B$8/K58)</x:f>
        <x:v>932</x:v>
      </x:c>
      <x:c r="Y58" s="68" t="n">
        <x:f>X58-W58</x:f>
        <x:v>0</x:v>
      </x:c>
      <x:c r="Z58" s="66" t="n">
        <x:f>W58/'공식·설정'!$B$8</x:f>
        <x:v>0.01422119140625</x:v>
      </x:c>
      <x:c r="AA58" s="66" t="n">
        <x:f>X58/'공식·설정'!$B$8</x:f>
        <x:v>0.01422119140625</x:v>
      </x:c>
      <x:c r="AB58" s="67" t="str">
        <x:f>IF(AND(I58=0,L58=0,Q58=0,T58=0,Y58=0),"PASS","FAIL")</x:f>
        <x:v>PASS</x:v>
      </x:c>
    </x:row>
    <x:row r="59" ht="18" customHeight="1">
      <x:c r="A59" s="14" t="n">
        <x:v>162</x:v>
      </x:c>
      <x:c r="B59" s="14" t="n">
        <x:v>54</x:v>
      </x:c>
      <x:c r="C59" s="14" t="n">
        <x:v>154</x:v>
      </x:c>
      <x:c r="D59" s="14" t="n">
        <x:v>383</x:v>
      </x:c>
      <x:c r="E59" s="14" t="n">
        <x:v>168</x:v>
      </x:c>
      <x:c r="F59" s="14" t="n">
        <x:v>460</x:v>
      </x:c>
      <x:c r="G59" s="14" t="n">
        <x:v>427</x:v>
      </x:c>
      <x:c r="H59" s="14" t="n">
        <x:f>INT((F59-D59)*(A59-C59)/(E59-C59))+D59</x:f>
        <x:v>427</x:v>
      </x:c>
      <x:c r="I59" s="68" t="n">
        <x:f>H59-G59</x:f>
        <x:v>0</x:v>
      </x:c>
      <x:c r="J59" s="14" t="n">
        <x:v>2779</x:v>
      </x:c>
      <x:c r="K59" s="14" t="n">
        <x:f>INT(H59*'공식·설정'!$B$10/'공식·설정'!$B$15)</x:f>
        <x:v>2779</x:v>
      </x:c>
      <x:c r="L59" s="68" t="n">
        <x:f>K59-J59</x:f>
        <x:v>0</x:v>
      </x:c>
      <x:c r="M59" s="65" t="n">
        <x:f>J59/'공식·설정'!$B$7</x:f>
        <x:v>10.85546875</x:v>
      </x:c>
      <x:c r="N59" s="65" t="n">
        <x:f>K59/'공식·설정'!$B$7</x:f>
        <x:v>10.85546875</x:v>
      </x:c>
      <x:c r="O59" s="14" t="n">
        <x:v>1</x:v>
      </x:c>
      <x:c r="P59" s="14" t="n">
        <x:f>MIN(32767,MAX(0,INT((K59+INT('공식·설정'!$B$12/2))/'공식·설정'!$B$12)))</x:f>
        <x:v>1</x:v>
      </x:c>
      <x:c r="Q59" s="68" t="n">
        <x:f>P59-O59</x:f>
        <x:v>0</x:v>
      </x:c>
      <x:c r="R59" s="14" t="n">
        <x:v>11008</x:v>
      </x:c>
      <x:c r="S59" s="14" t="n">
        <x:f>P59*'공식·설정'!$B$12+'공식·설정'!$B$14</x:f>
        <x:v>11008</x:v>
      </x:c>
      <x:c r="T59" s="68" t="n">
        <x:f>S59-R59</x:f>
        <x:v>0</x:v>
      </x:c>
      <x:c r="U59" s="65" t="n">
        <x:f>R59/'공식·설정'!$B$7</x:f>
        <x:v>43</x:v>
      </x:c>
      <x:c r="V59" s="65" t="n">
        <x:f>S59/'공식·설정'!$B$7</x:f>
        <x:v>43</x:v>
      </x:c>
      <x:c r="W59" s="14" t="n">
        <x:v>778</x:v>
      </x:c>
      <x:c r="X59" s="14" t="n">
        <x:f>INT(ABS(K60-K59)*'공식·설정'!$B$8/K59)</x:f>
        <x:v>778</x:v>
      </x:c>
      <x:c r="Y59" s="68" t="n">
        <x:f>X59-W59</x:f>
        <x:v>0</x:v>
      </x:c>
      <x:c r="Z59" s="66" t="n">
        <x:f>W59/'공식·설정'!$B$8</x:f>
        <x:v>0.011871337890625</x:v>
      </x:c>
      <x:c r="AA59" s="66" t="n">
        <x:f>X59/'공식·설정'!$B$8</x:f>
        <x:v>0.011871337890625</x:v>
      </x:c>
      <x:c r="AB59" s="67" t="str">
        <x:f>IF(AND(I59=0,L59=0,Q59=0,T59=0,Y59=0),"PASS","FAIL")</x:f>
        <x:v>PASS</x:v>
      </x:c>
    </x:row>
    <x:row r="60" ht="18" customHeight="1">
      <x:c r="A60" s="14" t="n">
        <x:v>163</x:v>
      </x:c>
      <x:c r="B60" s="14" t="n">
        <x:v>55</x:v>
      </x:c>
      <x:c r="C60" s="14" t="n">
        <x:v>154</x:v>
      </x:c>
      <x:c r="D60" s="14" t="n">
        <x:v>383</x:v>
      </x:c>
      <x:c r="E60" s="14" t="n">
        <x:v>168</x:v>
      </x:c>
      <x:c r="F60" s="14" t="n">
        <x:v>460</x:v>
      </x:c>
      <x:c r="G60" s="14" t="n">
        <x:v>432</x:v>
      </x:c>
      <x:c r="H60" s="14" t="n">
        <x:f>INT((F60-D60)*(A60-C60)/(E60-C60))+D60</x:f>
        <x:v>432</x:v>
      </x:c>
      <x:c r="I60" s="68" t="n">
        <x:f>H60-G60</x:f>
        <x:v>0</x:v>
      </x:c>
      <x:c r="J60" s="14" t="n">
        <x:v>2812</x:v>
      </x:c>
      <x:c r="K60" s="14" t="n">
        <x:f>INT(H60*'공식·설정'!$B$10/'공식·설정'!$B$15)</x:f>
        <x:v>2812</x:v>
      </x:c>
      <x:c r="L60" s="68" t="n">
        <x:f>K60-J60</x:f>
        <x:v>0</x:v>
      </x:c>
      <x:c r="M60" s="65" t="n">
        <x:f>J60/'공식·설정'!$B$7</x:f>
        <x:v>10.984375</x:v>
      </x:c>
      <x:c r="N60" s="65" t="n">
        <x:f>K60/'공식·설정'!$B$7</x:f>
        <x:v>10.984375</x:v>
      </x:c>
      <x:c r="O60" s="14" t="n">
        <x:v>1</x:v>
      </x:c>
      <x:c r="P60" s="14" t="n">
        <x:f>MIN(32767,MAX(0,INT((K60+INT('공식·설정'!$B$12/2))/'공식·설정'!$B$12)))</x:f>
        <x:v>1</x:v>
      </x:c>
      <x:c r="Q60" s="68" t="n">
        <x:f>P60-O60</x:f>
        <x:v>0</x:v>
      </x:c>
      <x:c r="R60" s="14" t="n">
        <x:v>11008</x:v>
      </x:c>
      <x:c r="S60" s="14" t="n">
        <x:f>P60*'공식·설정'!$B$12+'공식·설정'!$B$14</x:f>
        <x:v>11008</x:v>
      </x:c>
      <x:c r="T60" s="68" t="n">
        <x:f>S60-R60</x:f>
        <x:v>0</x:v>
      </x:c>
      <x:c r="U60" s="65" t="n">
        <x:f>R60/'공식·설정'!$B$7</x:f>
        <x:v>43</x:v>
      </x:c>
      <x:c r="V60" s="65" t="n">
        <x:f>S60/'공식·설정'!$B$7</x:f>
        <x:v>43</x:v>
      </x:c>
      <x:c r="W60" s="14" t="n">
        <x:v>908</x:v>
      </x:c>
      <x:c r="X60" s="14" t="n">
        <x:f>INT(ABS(K61-K60)*'공식·설정'!$B$8/K60)</x:f>
        <x:v>908</x:v>
      </x:c>
      <x:c r="Y60" s="68" t="n">
        <x:f>X60-W60</x:f>
        <x:v>0</x:v>
      </x:c>
      <x:c r="Z60" s="66" t="n">
        <x:f>W60/'공식·설정'!$B$8</x:f>
        <x:v>0.01385498046875</x:v>
      </x:c>
      <x:c r="AA60" s="66" t="n">
        <x:f>X60/'공식·설정'!$B$8</x:f>
        <x:v>0.01385498046875</x:v>
      </x:c>
      <x:c r="AB60" s="67" t="str">
        <x:f>IF(AND(I60=0,L60=0,Q60=0,T60=0,Y60=0),"PASS","FAIL")</x:f>
        <x:v>PASS</x:v>
      </x:c>
    </x:row>
    <x:row r="61" ht="18" customHeight="1">
      <x:c r="A61" s="14" t="n">
        <x:v>164</x:v>
      </x:c>
      <x:c r="B61" s="14" t="n">
        <x:v>56</x:v>
      </x:c>
      <x:c r="C61" s="14" t="n">
        <x:v>154</x:v>
      </x:c>
      <x:c r="D61" s="14" t="n">
        <x:v>383</x:v>
      </x:c>
      <x:c r="E61" s="14" t="n">
        <x:v>168</x:v>
      </x:c>
      <x:c r="F61" s="14" t="n">
        <x:v>460</x:v>
      </x:c>
      <x:c r="G61" s="14" t="n">
        <x:v>438</x:v>
      </x:c>
      <x:c r="H61" s="14" t="n">
        <x:f>INT((F61-D61)*(A61-C61)/(E61-C61))+D61</x:f>
        <x:v>438</x:v>
      </x:c>
      <x:c r="I61" s="68" t="n">
        <x:f>H61-G61</x:f>
        <x:v>0</x:v>
      </x:c>
      <x:c r="J61" s="14" t="n">
        <x:v>2851</x:v>
      </x:c>
      <x:c r="K61" s="14" t="n">
        <x:f>INT(H61*'공식·설정'!$B$10/'공식·설정'!$B$15)</x:f>
        <x:v>2851</x:v>
      </x:c>
      <x:c r="L61" s="68" t="n">
        <x:f>K61-J61</x:f>
        <x:v>0</x:v>
      </x:c>
      <x:c r="M61" s="65" t="n">
        <x:f>J61/'공식·설정'!$B$7</x:f>
        <x:v>11.13671875</x:v>
      </x:c>
      <x:c r="N61" s="65" t="n">
        <x:f>K61/'공식·설정'!$B$7</x:f>
        <x:v>11.13671875</x:v>
      </x:c>
      <x:c r="O61" s="14" t="n">
        <x:v>1</x:v>
      </x:c>
      <x:c r="P61" s="14" t="n">
        <x:f>MIN(32767,MAX(0,INT((K61+INT('공식·설정'!$B$12/2))/'공식·설정'!$B$12)))</x:f>
        <x:v>1</x:v>
      </x:c>
      <x:c r="Q61" s="68" t="n">
        <x:f>P61-O61</x:f>
        <x:v>0</x:v>
      </x:c>
      <x:c r="R61" s="14" t="n">
        <x:v>11008</x:v>
      </x:c>
      <x:c r="S61" s="14" t="n">
        <x:f>P61*'공식·설정'!$B$12+'공식·설정'!$B$14</x:f>
        <x:v>11008</x:v>
      </x:c>
      <x:c r="T61" s="68" t="n">
        <x:f>S61-R61</x:f>
        <x:v>0</x:v>
      </x:c>
      <x:c r="U61" s="65" t="n">
        <x:f>R61/'공식·설정'!$B$7</x:f>
        <x:v>43</x:v>
      </x:c>
      <x:c r="V61" s="65" t="n">
        <x:f>S61/'공식·설정'!$B$7</x:f>
        <x:v>43</x:v>
      </x:c>
      <x:c r="W61" s="14" t="n">
        <x:v>758</x:v>
      </x:c>
      <x:c r="X61" s="14" t="n">
        <x:f>INT(ABS(K62-K61)*'공식·설정'!$B$8/K61)</x:f>
        <x:v>758</x:v>
      </x:c>
      <x:c r="Y61" s="68" t="n">
        <x:f>X61-W61</x:f>
        <x:v>0</x:v>
      </x:c>
      <x:c r="Z61" s="66" t="n">
        <x:f>W61/'공식·설정'!$B$8</x:f>
        <x:v>0.011566162109375</x:v>
      </x:c>
      <x:c r="AA61" s="66" t="n">
        <x:f>X61/'공식·설정'!$B$8</x:f>
        <x:v>0.011566162109375</x:v>
      </x:c>
      <x:c r="AB61" s="67" t="str">
        <x:f>IF(AND(I61=0,L61=0,Q61=0,T61=0,Y61=0),"PASS","FAIL")</x:f>
        <x:v>PASS</x:v>
      </x:c>
    </x:row>
    <x:row r="62" ht="18" customHeight="1">
      <x:c r="A62" s="14" t="n">
        <x:v>165</x:v>
      </x:c>
      <x:c r="B62" s="14" t="n">
        <x:v>57</x:v>
      </x:c>
      <x:c r="C62" s="14" t="n">
        <x:v>154</x:v>
      </x:c>
      <x:c r="D62" s="14" t="n">
        <x:v>383</x:v>
      </x:c>
      <x:c r="E62" s="14" t="n">
        <x:v>168</x:v>
      </x:c>
      <x:c r="F62" s="14" t="n">
        <x:v>460</x:v>
      </x:c>
      <x:c r="G62" s="14" t="n">
        <x:v>443</x:v>
      </x:c>
      <x:c r="H62" s="14" t="n">
        <x:f>INT((F62-D62)*(A62-C62)/(E62-C62))+D62</x:f>
        <x:v>443</x:v>
      </x:c>
      <x:c r="I62" s="68" t="n">
        <x:f>H62-G62</x:f>
        <x:v>0</x:v>
      </x:c>
      <x:c r="J62" s="14" t="n">
        <x:v>2884</x:v>
      </x:c>
      <x:c r="K62" s="14" t="n">
        <x:f>INT(H62*'공식·설정'!$B$10/'공식·설정'!$B$15)</x:f>
        <x:v>2884</x:v>
      </x:c>
      <x:c r="L62" s="68" t="n">
        <x:f>K62-J62</x:f>
        <x:v>0</x:v>
      </x:c>
      <x:c r="M62" s="65" t="n">
        <x:f>J62/'공식·설정'!$B$7</x:f>
        <x:v>11.265625</x:v>
      </x:c>
      <x:c r="N62" s="65" t="n">
        <x:f>K62/'공식·설정'!$B$7</x:f>
        <x:v>11.265625</x:v>
      </x:c>
      <x:c r="O62" s="14" t="n">
        <x:v>1</x:v>
      </x:c>
      <x:c r="P62" s="14" t="n">
        <x:f>MIN(32767,MAX(0,INT((K62+INT('공식·설정'!$B$12/2))/'공식·설정'!$B$12)))</x:f>
        <x:v>1</x:v>
      </x:c>
      <x:c r="Q62" s="68" t="n">
        <x:f>P62-O62</x:f>
        <x:v>0</x:v>
      </x:c>
      <x:c r="R62" s="14" t="n">
        <x:v>11008</x:v>
      </x:c>
      <x:c r="S62" s="14" t="n">
        <x:f>P62*'공식·설정'!$B$12+'공식·설정'!$B$14</x:f>
        <x:v>11008</x:v>
      </x:c>
      <x:c r="T62" s="68" t="n">
        <x:f>S62-R62</x:f>
        <x:v>0</x:v>
      </x:c>
      <x:c r="U62" s="65" t="n">
        <x:f>R62/'공식·설정'!$B$7</x:f>
        <x:v>43</x:v>
      </x:c>
      <x:c r="V62" s="65" t="n">
        <x:f>S62/'공식·설정'!$B$7</x:f>
        <x:v>43</x:v>
      </x:c>
      <x:c r="W62" s="14" t="n">
        <x:v>886</x:v>
      </x:c>
      <x:c r="X62" s="14" t="n">
        <x:f>INT(ABS(K63-K62)*'공식·설정'!$B$8/K62)</x:f>
        <x:v>886</x:v>
      </x:c>
      <x:c r="Y62" s="68" t="n">
        <x:f>X62-W62</x:f>
        <x:v>0</x:v>
      </x:c>
      <x:c r="Z62" s="66" t="n">
        <x:f>W62/'공식·설정'!$B$8</x:f>
        <x:v>0.013519287109375</x:v>
      </x:c>
      <x:c r="AA62" s="66" t="n">
        <x:f>X62/'공식·설정'!$B$8</x:f>
        <x:v>0.013519287109375</x:v>
      </x:c>
      <x:c r="AB62" s="67" t="str">
        <x:f>IF(AND(I62=0,L62=0,Q62=0,T62=0,Y62=0),"PASS","FAIL")</x:f>
        <x:v>PASS</x:v>
      </x:c>
    </x:row>
    <x:row r="63" ht="18" customHeight="1">
      <x:c r="A63" s="14" t="n">
        <x:v>166</x:v>
      </x:c>
      <x:c r="B63" s="14" t="n">
        <x:v>58</x:v>
      </x:c>
      <x:c r="C63" s="14" t="n">
        <x:v>154</x:v>
      </x:c>
      <x:c r="D63" s="14" t="n">
        <x:v>383</x:v>
      </x:c>
      <x:c r="E63" s="14" t="n">
        <x:v>168</x:v>
      </x:c>
      <x:c r="F63" s="14" t="n">
        <x:v>460</x:v>
      </x:c>
      <x:c r="G63" s="14" t="n">
        <x:v>449</x:v>
      </x:c>
      <x:c r="H63" s="14" t="n">
        <x:f>INT((F63-D63)*(A63-C63)/(E63-C63))+D63</x:f>
        <x:v>449</x:v>
      </x:c>
      <x:c r="I63" s="68" t="n">
        <x:f>H63-G63</x:f>
        <x:v>0</x:v>
      </x:c>
      <x:c r="J63" s="14" t="n">
        <x:v>2923</x:v>
      </x:c>
      <x:c r="K63" s="14" t="n">
        <x:f>INT(H63*'공식·설정'!$B$10/'공식·설정'!$B$15)</x:f>
        <x:v>2923</x:v>
      </x:c>
      <x:c r="L63" s="68" t="n">
        <x:f>K63-J63</x:f>
        <x:v>0</x:v>
      </x:c>
      <x:c r="M63" s="65" t="n">
        <x:f>J63/'공식·설정'!$B$7</x:f>
        <x:v>11.41796875</x:v>
      </x:c>
      <x:c r="N63" s="65" t="n">
        <x:f>K63/'공식·설정'!$B$7</x:f>
        <x:v>11.41796875</x:v>
      </x:c>
      <x:c r="O63" s="14" t="n">
        <x:v>1</x:v>
      </x:c>
      <x:c r="P63" s="14" t="n">
        <x:f>MIN(32767,MAX(0,INT((K63+INT('공식·설정'!$B$12/2))/'공식·설정'!$B$12)))</x:f>
        <x:v>1</x:v>
      </x:c>
      <x:c r="Q63" s="68" t="n">
        <x:f>P63-O63</x:f>
        <x:v>0</x:v>
      </x:c>
      <x:c r="R63" s="14" t="n">
        <x:v>11008</x:v>
      </x:c>
      <x:c r="S63" s="14" t="n">
        <x:f>P63*'공식·설정'!$B$12+'공식·설정'!$B$14</x:f>
        <x:v>11008</x:v>
      </x:c>
      <x:c r="T63" s="68" t="n">
        <x:f>S63-R63</x:f>
        <x:v>0</x:v>
      </x:c>
      <x:c r="U63" s="65" t="n">
        <x:f>R63/'공식·설정'!$B$7</x:f>
        <x:v>43</x:v>
      </x:c>
      <x:c r="V63" s="65" t="n">
        <x:f>S63/'공식·설정'!$B$7</x:f>
        <x:v>43</x:v>
      </x:c>
      <x:c r="W63" s="14" t="n">
        <x:v>717</x:v>
      </x:c>
      <x:c r="X63" s="14" t="n">
        <x:f>INT(ABS(K64-K63)*'공식·설정'!$B$8/K63)</x:f>
        <x:v>717</x:v>
      </x:c>
      <x:c r="Y63" s="68" t="n">
        <x:f>X63-W63</x:f>
        <x:v>0</x:v>
      </x:c>
      <x:c r="Z63" s="66" t="n">
        <x:f>W63/'공식·설정'!$B$8</x:f>
        <x:v>0.0109405517578125</x:v>
      </x:c>
      <x:c r="AA63" s="66" t="n">
        <x:f>X63/'공식·설정'!$B$8</x:f>
        <x:v>0.0109405517578125</x:v>
      </x:c>
      <x:c r="AB63" s="67" t="str">
        <x:f>IF(AND(I63=0,L63=0,Q63=0,T63=0,Y63=0),"PASS","FAIL")</x:f>
        <x:v>PASS</x:v>
      </x:c>
    </x:row>
    <x:row r="64" ht="18" customHeight="1">
      <x:c r="A64" s="14" t="n">
        <x:v>167</x:v>
      </x:c>
      <x:c r="B64" s="14" t="n">
        <x:v>59</x:v>
      </x:c>
      <x:c r="C64" s="14" t="n">
        <x:v>154</x:v>
      </x:c>
      <x:c r="D64" s="14" t="n">
        <x:v>383</x:v>
      </x:c>
      <x:c r="E64" s="14" t="n">
        <x:v>168</x:v>
      </x:c>
      <x:c r="F64" s="14" t="n">
        <x:v>460</x:v>
      </x:c>
      <x:c r="G64" s="14" t="n">
        <x:v>454</x:v>
      </x:c>
      <x:c r="H64" s="14" t="n">
        <x:f>INT((F64-D64)*(A64-C64)/(E64-C64))+D64</x:f>
        <x:v>454</x:v>
      </x:c>
      <x:c r="I64" s="68" t="n">
        <x:f>H64-G64</x:f>
        <x:v>0</x:v>
      </x:c>
      <x:c r="J64" s="14" t="n">
        <x:v>2955</x:v>
      </x:c>
      <x:c r="K64" s="14" t="n">
        <x:f>INT(H64*'공식·설정'!$B$10/'공식·설정'!$B$15)</x:f>
        <x:v>2955</x:v>
      </x:c>
      <x:c r="L64" s="68" t="n">
        <x:f>K64-J64</x:f>
        <x:v>0</x:v>
      </x:c>
      <x:c r="M64" s="65" t="n">
        <x:f>J64/'공식·설정'!$B$7</x:f>
        <x:v>11.54296875</x:v>
      </x:c>
      <x:c r="N64" s="65" t="n">
        <x:f>K64/'공식·설정'!$B$7</x:f>
        <x:v>11.54296875</x:v>
      </x:c>
      <x:c r="O64" s="14" t="n">
        <x:v>1</x:v>
      </x:c>
      <x:c r="P64" s="14" t="n">
        <x:f>MIN(32767,MAX(0,INT((K64+INT('공식·설정'!$B$12/2))/'공식·설정'!$B$12)))</x:f>
        <x:v>1</x:v>
      </x:c>
      <x:c r="Q64" s="68" t="n">
        <x:f>P64-O64</x:f>
        <x:v>0</x:v>
      </x:c>
      <x:c r="R64" s="14" t="n">
        <x:v>11008</x:v>
      </x:c>
      <x:c r="S64" s="14" t="n">
        <x:f>P64*'공식·설정'!$B$12+'공식·설정'!$B$14</x:f>
        <x:v>11008</x:v>
      </x:c>
      <x:c r="T64" s="68" t="n">
        <x:f>S64-R64</x:f>
        <x:v>0</x:v>
      </x:c>
      <x:c r="U64" s="65" t="n">
        <x:f>R64/'공식·설정'!$B$7</x:f>
        <x:v>43</x:v>
      </x:c>
      <x:c r="V64" s="65" t="n">
        <x:f>S64/'공식·설정'!$B$7</x:f>
        <x:v>43</x:v>
      </x:c>
      <x:c r="W64" s="14" t="n">
        <x:v>864</x:v>
      </x:c>
      <x:c r="X64" s="14" t="n">
        <x:f>INT(ABS(K65-K64)*'공식·설정'!$B$8/K64)</x:f>
        <x:v>864</x:v>
      </x:c>
      <x:c r="Y64" s="68" t="n">
        <x:f>X64-W64</x:f>
        <x:v>0</x:v>
      </x:c>
      <x:c r="Z64" s="66" t="n">
        <x:f>W64/'공식·설정'!$B$8</x:f>
        <x:v>0.01318359375</x:v>
      </x:c>
      <x:c r="AA64" s="66" t="n">
        <x:f>X64/'공식·설정'!$B$8</x:f>
        <x:v>0.01318359375</x:v>
      </x:c>
      <x:c r="AB64" s="67" t="str">
        <x:f>IF(AND(I64=0,L64=0,Q64=0,T64=0,Y64=0),"PASS","FAIL")</x:f>
        <x:v>PASS</x:v>
      </x:c>
    </x:row>
    <x:row r="65" ht="18" customHeight="1">
      <x:c r="A65" s="14" t="n">
        <x:v>168</x:v>
      </x:c>
      <x:c r="B65" s="14" t="n">
        <x:v>60</x:v>
      </x:c>
      <x:c r="C65" s="14" t="n">
        <x:v>168</x:v>
      </x:c>
      <x:c r="D65" s="14" t="n">
        <x:v>460</x:v>
      </x:c>
      <x:c r="E65" s="14" t="n">
        <x:v>182</x:v>
      </x:c>
      <x:c r="F65" s="14" t="n">
        <x:v>549</x:v>
      </x:c>
      <x:c r="G65" s="14" t="n">
        <x:v>460</x:v>
      </x:c>
      <x:c r="H65" s="14" t="n">
        <x:f>INT((F65-D65)*(A65-C65)/(E65-C65))+D65</x:f>
        <x:v>460</x:v>
      </x:c>
      <x:c r="I65" s="68" t="n">
        <x:f>H65-G65</x:f>
        <x:v>0</x:v>
      </x:c>
      <x:c r="J65" s="14" t="n">
        <x:v>2994</x:v>
      </x:c>
      <x:c r="K65" s="14" t="n">
        <x:f>INT(H65*'공식·설정'!$B$10/'공식·설정'!$B$15)</x:f>
        <x:v>2994</x:v>
      </x:c>
      <x:c r="L65" s="68" t="n">
        <x:f>K65-J65</x:f>
        <x:v>0</x:v>
      </x:c>
      <x:c r="M65" s="65" t="n">
        <x:f>J65/'공식·설정'!$B$7</x:f>
        <x:v>11.6953125</x:v>
      </x:c>
      <x:c r="N65" s="65" t="n">
        <x:f>K65/'공식·설정'!$B$7</x:f>
        <x:v>11.6953125</x:v>
      </x:c>
      <x:c r="O65" s="14" t="n">
        <x:v>1</x:v>
      </x:c>
      <x:c r="P65" s="14" t="n">
        <x:f>MIN(32767,MAX(0,INT((K65+INT('공식·설정'!$B$12/2))/'공식·설정'!$B$12)))</x:f>
        <x:v>1</x:v>
      </x:c>
      <x:c r="Q65" s="68" t="n">
        <x:f>P65-O65</x:f>
        <x:v>0</x:v>
      </x:c>
      <x:c r="R65" s="14" t="n">
        <x:v>11008</x:v>
      </x:c>
      <x:c r="S65" s="14" t="n">
        <x:f>P65*'공식·설정'!$B$12+'공식·설정'!$B$14</x:f>
        <x:v>11008</x:v>
      </x:c>
      <x:c r="T65" s="68" t="n">
        <x:f>S65-R65</x:f>
        <x:v>0</x:v>
      </x:c>
      <x:c r="U65" s="65" t="n">
        <x:f>R65/'공식·설정'!$B$7</x:f>
        <x:v>43</x:v>
      </x:c>
      <x:c r="V65" s="65" t="n">
        <x:f>S65/'공식·설정'!$B$7</x:f>
        <x:v>43</x:v>
      </x:c>
      <x:c r="W65" s="14" t="n">
        <x:v>853</x:v>
      </x:c>
      <x:c r="X65" s="14" t="n">
        <x:f>INT(ABS(K66-K65)*'공식·설정'!$B$8/K65)</x:f>
        <x:v>853</x:v>
      </x:c>
      <x:c r="Y65" s="68" t="n">
        <x:f>X65-W65</x:f>
        <x:v>0</x:v>
      </x:c>
      <x:c r="Z65" s="66" t="n">
        <x:f>W65/'공식·설정'!$B$8</x:f>
        <x:v>0.0130157470703125</x:v>
      </x:c>
      <x:c r="AA65" s="66" t="n">
        <x:f>X65/'공식·설정'!$B$8</x:f>
        <x:v>0.0130157470703125</x:v>
      </x:c>
      <x:c r="AB65" s="67" t="str">
        <x:f>IF(AND(I65=0,L65=0,Q65=0,T65=0,Y65=0),"PASS","FAIL")</x:f>
        <x:v>PASS</x:v>
      </x:c>
    </x:row>
    <x:row r="66" ht="18" customHeight="1">
      <x:c r="A66" s="14" t="n">
        <x:v>169</x:v>
      </x:c>
      <x:c r="B66" s="14" t="n">
        <x:v>61</x:v>
      </x:c>
      <x:c r="C66" s="14" t="n">
        <x:v>168</x:v>
      </x:c>
      <x:c r="D66" s="14" t="n">
        <x:v>460</x:v>
      </x:c>
      <x:c r="E66" s="14" t="n">
        <x:v>182</x:v>
      </x:c>
      <x:c r="F66" s="14" t="n">
        <x:v>549</x:v>
      </x:c>
      <x:c r="G66" s="14" t="n">
        <x:v>466</x:v>
      </x:c>
      <x:c r="H66" s="14" t="n">
        <x:f>INT((F66-D66)*(A66-C66)/(E66-C66))+D66</x:f>
        <x:v>466</x:v>
      </x:c>
      <x:c r="I66" s="68" t="n">
        <x:f>H66-G66</x:f>
        <x:v>0</x:v>
      </x:c>
      <x:c r="J66" s="14" t="n">
        <x:v>3033</x:v>
      </x:c>
      <x:c r="K66" s="14" t="n">
        <x:f>INT(H66*'공식·설정'!$B$10/'공식·설정'!$B$15)</x:f>
        <x:v>3033</x:v>
      </x:c>
      <x:c r="L66" s="68" t="n">
        <x:f>K66-J66</x:f>
        <x:v>0</x:v>
      </x:c>
      <x:c r="M66" s="65" t="n">
        <x:f>J66/'공식·설정'!$B$7</x:f>
        <x:v>11.84765625</x:v>
      </x:c>
      <x:c r="N66" s="65" t="n">
        <x:f>K66/'공식·설정'!$B$7</x:f>
        <x:v>11.84765625</x:v>
      </x:c>
      <x:c r="O66" s="14" t="n">
        <x:v>1</x:v>
      </x:c>
      <x:c r="P66" s="14" t="n">
        <x:f>MIN(32767,MAX(0,INT((K66+INT('공식·설정'!$B$12/2))/'공식·설정'!$B$12)))</x:f>
        <x:v>1</x:v>
      </x:c>
      <x:c r="Q66" s="68" t="n">
        <x:f>P66-O66</x:f>
        <x:v>0</x:v>
      </x:c>
      <x:c r="R66" s="14" t="n">
        <x:v>11008</x:v>
      </x:c>
      <x:c r="S66" s="14" t="n">
        <x:f>P66*'공식·설정'!$B$12+'공식·설정'!$B$14</x:f>
        <x:v>11008</x:v>
      </x:c>
      <x:c r="T66" s="68" t="n">
        <x:f>S66-R66</x:f>
        <x:v>0</x:v>
      </x:c>
      <x:c r="U66" s="65" t="n">
        <x:f>R66/'공식·설정'!$B$7</x:f>
        <x:v>43</x:v>
      </x:c>
      <x:c r="V66" s="65" t="n">
        <x:f>S66/'공식·설정'!$B$7</x:f>
        <x:v>43</x:v>
      </x:c>
      <x:c r="W66" s="14" t="n">
        <x:v>842</x:v>
      </x:c>
      <x:c r="X66" s="14" t="n">
        <x:f>INT(ABS(K67-K66)*'공식·설정'!$B$8/K66)</x:f>
        <x:v>842</x:v>
      </x:c>
      <x:c r="Y66" s="68" t="n">
        <x:f>X66-W66</x:f>
        <x:v>0</x:v>
      </x:c>
      <x:c r="Z66" s="66" t="n">
        <x:f>W66/'공식·설정'!$B$8</x:f>
        <x:v>0.012847900390625</x:v>
      </x:c>
      <x:c r="AA66" s="66" t="n">
        <x:f>X66/'공식·설정'!$B$8</x:f>
        <x:v>0.012847900390625</x:v>
      </x:c>
      <x:c r="AB66" s="67" t="str">
        <x:f>IF(AND(I66=0,L66=0,Q66=0,T66=0,Y66=0),"PASS","FAIL")</x:f>
        <x:v>PASS</x:v>
      </x:c>
    </x:row>
    <x:row r="67" ht="18" customHeight="1">
      <x:c r="A67" s="14" t="n">
        <x:v>170</x:v>
      </x:c>
      <x:c r="B67" s="14" t="n">
        <x:v>62</x:v>
      </x:c>
      <x:c r="C67" s="14" t="n">
        <x:v>168</x:v>
      </x:c>
      <x:c r="D67" s="14" t="n">
        <x:v>460</x:v>
      </x:c>
      <x:c r="E67" s="14" t="n">
        <x:v>182</x:v>
      </x:c>
      <x:c r="F67" s="14" t="n">
        <x:v>549</x:v>
      </x:c>
      <x:c r="G67" s="14" t="n">
        <x:v>472</x:v>
      </x:c>
      <x:c r="H67" s="14" t="n">
        <x:f>INT((F67-D67)*(A67-C67)/(E67-C67))+D67</x:f>
        <x:v>472</x:v>
      </x:c>
      <x:c r="I67" s="68" t="n">
        <x:f>H67-G67</x:f>
        <x:v>0</x:v>
      </x:c>
      <x:c r="J67" s="14" t="n">
        <x:v>3072</x:v>
      </x:c>
      <x:c r="K67" s="14" t="n">
        <x:f>INT(H67*'공식·설정'!$B$10/'공식·설정'!$B$15)</x:f>
        <x:v>3072</x:v>
      </x:c>
      <x:c r="L67" s="68" t="n">
        <x:f>K67-J67</x:f>
        <x:v>0</x:v>
      </x:c>
      <x:c r="M67" s="65" t="n">
        <x:f>J67/'공식·설정'!$B$7</x:f>
        <x:v>12</x:v>
      </x:c>
      <x:c r="N67" s="65" t="n">
        <x:f>K67/'공식·설정'!$B$7</x:f>
        <x:v>12</x:v>
      </x:c>
      <x:c r="O67" s="14" t="n">
        <x:v>1</x:v>
      </x:c>
      <x:c r="P67" s="14" t="n">
        <x:f>MIN(32767,MAX(0,INT((K67+INT('공식·설정'!$B$12/2))/'공식·설정'!$B$12)))</x:f>
        <x:v>1</x:v>
      </x:c>
      <x:c r="Q67" s="68" t="n">
        <x:f>P67-O67</x:f>
        <x:v>0</x:v>
      </x:c>
      <x:c r="R67" s="14" t="n">
        <x:v>11008</x:v>
      </x:c>
      <x:c r="S67" s="14" t="n">
        <x:f>P67*'공식·설정'!$B$12+'공식·설정'!$B$14</x:f>
        <x:v>11008</x:v>
      </x:c>
      <x:c r="T67" s="68" t="n">
        <x:f>S67-R67</x:f>
        <x:v>0</x:v>
      </x:c>
      <x:c r="U67" s="65" t="n">
        <x:f>R67/'공식·설정'!$B$7</x:f>
        <x:v>43</x:v>
      </x:c>
      <x:c r="V67" s="65" t="n">
        <x:f>S67/'공식·설정'!$B$7</x:f>
        <x:v>43</x:v>
      </x:c>
      <x:c r="W67" s="14" t="n">
        <x:v>981</x:v>
      </x:c>
      <x:c r="X67" s="14" t="n">
        <x:f>INT(ABS(K68-K67)*'공식·설정'!$B$8/K67)</x:f>
        <x:v>981</x:v>
      </x:c>
      <x:c r="Y67" s="68" t="n">
        <x:f>X67-W67</x:f>
        <x:v>0</x:v>
      </x:c>
      <x:c r="Z67" s="66" t="n">
        <x:f>W67/'공식·설정'!$B$8</x:f>
        <x:v>0.0149688720703125</x:v>
      </x:c>
      <x:c r="AA67" s="66" t="n">
        <x:f>X67/'공식·설정'!$B$8</x:f>
        <x:v>0.0149688720703125</x:v>
      </x:c>
      <x:c r="AB67" s="67" t="str">
        <x:f>IF(AND(I67=0,L67=0,Q67=0,T67=0,Y67=0),"PASS","FAIL")</x:f>
        <x:v>PASS</x:v>
      </x:c>
    </x:row>
    <x:row r="68" ht="18" customHeight="1">
      <x:c r="A68" s="14" t="n">
        <x:v>171</x:v>
      </x:c>
      <x:c r="B68" s="14" t="n">
        <x:v>63</x:v>
      </x:c>
      <x:c r="C68" s="14" t="n">
        <x:v>168</x:v>
      </x:c>
      <x:c r="D68" s="14" t="n">
        <x:v>460</x:v>
      </x:c>
      <x:c r="E68" s="14" t="n">
        <x:v>182</x:v>
      </x:c>
      <x:c r="F68" s="14" t="n">
        <x:v>549</x:v>
      </x:c>
      <x:c r="G68" s="14" t="n">
        <x:v>479</x:v>
      </x:c>
      <x:c r="H68" s="14" t="n">
        <x:f>INT((F68-D68)*(A68-C68)/(E68-C68))+D68</x:f>
        <x:v>479</x:v>
      </x:c>
      <x:c r="I68" s="68" t="n">
        <x:f>H68-G68</x:f>
        <x:v>0</x:v>
      </x:c>
      <x:c r="J68" s="14" t="n">
        <x:v>3118</x:v>
      </x:c>
      <x:c r="K68" s="14" t="n">
        <x:f>INT(H68*'공식·설정'!$B$10/'공식·설정'!$B$15)</x:f>
        <x:v>3118</x:v>
      </x:c>
      <x:c r="L68" s="68" t="n">
        <x:f>K68-J68</x:f>
        <x:v>0</x:v>
      </x:c>
      <x:c r="M68" s="65" t="n">
        <x:f>J68/'공식·설정'!$B$7</x:f>
        <x:v>12.1796875</x:v>
      </x:c>
      <x:c r="N68" s="65" t="n">
        <x:f>K68/'공식·설정'!$B$7</x:f>
        <x:v>12.1796875</x:v>
      </x:c>
      <x:c r="O68" s="14" t="n">
        <x:v>1</x:v>
      </x:c>
      <x:c r="P68" s="14" t="n">
        <x:f>MIN(32767,MAX(0,INT((K68+INT('공식·설정'!$B$12/2))/'공식·설정'!$B$12)))</x:f>
        <x:v>1</x:v>
      </x:c>
      <x:c r="Q68" s="68" t="n">
        <x:f>P68-O68</x:f>
        <x:v>0</x:v>
      </x:c>
      <x:c r="R68" s="14" t="n">
        <x:v>11008</x:v>
      </x:c>
      <x:c r="S68" s="14" t="n">
        <x:f>P68*'공식·설정'!$B$12+'공식·설정'!$B$14</x:f>
        <x:v>11008</x:v>
      </x:c>
      <x:c r="T68" s="68" t="n">
        <x:f>S68-R68</x:f>
        <x:v>0</x:v>
      </x:c>
      <x:c r="U68" s="65" t="n">
        <x:f>R68/'공식·설정'!$B$7</x:f>
        <x:v>43</x:v>
      </x:c>
      <x:c r="V68" s="65" t="n">
        <x:f>S68/'공식·설정'!$B$7</x:f>
        <x:v>43</x:v>
      </x:c>
      <x:c r="W68" s="14" t="n">
        <x:v>819</x:v>
      </x:c>
      <x:c r="X68" s="14" t="n">
        <x:f>INT(ABS(K69-K68)*'공식·설정'!$B$8/K68)</x:f>
        <x:v>819</x:v>
      </x:c>
      <x:c r="Y68" s="68" t="n">
        <x:f>X68-W68</x:f>
        <x:v>0</x:v>
      </x:c>
      <x:c r="Z68" s="66" t="n">
        <x:f>W68/'공식·설정'!$B$8</x:f>
        <x:v>0.0124969482421875</x:v>
      </x:c>
      <x:c r="AA68" s="66" t="n">
        <x:f>X68/'공식·설정'!$B$8</x:f>
        <x:v>0.0124969482421875</x:v>
      </x:c>
      <x:c r="AB68" s="67" t="str">
        <x:f>IF(AND(I68=0,L68=0,Q68=0,T68=0,Y68=0),"PASS","FAIL")</x:f>
        <x:v>PASS</x:v>
      </x:c>
    </x:row>
    <x:row r="69" ht="18" customHeight="1">
      <x:c r="A69" s="14" t="n">
        <x:v>172</x:v>
      </x:c>
      <x:c r="B69" s="14" t="n">
        <x:v>64</x:v>
      </x:c>
      <x:c r="C69" s="14" t="n">
        <x:v>168</x:v>
      </x:c>
      <x:c r="D69" s="14" t="n">
        <x:v>460</x:v>
      </x:c>
      <x:c r="E69" s="14" t="n">
        <x:v>182</x:v>
      </x:c>
      <x:c r="F69" s="14" t="n">
        <x:v>549</x:v>
      </x:c>
      <x:c r="G69" s="14" t="n">
        <x:v>485</x:v>
      </x:c>
      <x:c r="H69" s="14" t="n">
        <x:f>INT((F69-D69)*(A69-C69)/(E69-C69))+D69</x:f>
        <x:v>485</x:v>
      </x:c>
      <x:c r="I69" s="68" t="n">
        <x:f>H69-G69</x:f>
        <x:v>0</x:v>
      </x:c>
      <x:c r="J69" s="14" t="n">
        <x:v>3157</x:v>
      </x:c>
      <x:c r="K69" s="14" t="n">
        <x:f>INT(H69*'공식·설정'!$B$10/'공식·설정'!$B$15)</x:f>
        <x:v>3157</x:v>
      </x:c>
      <x:c r="L69" s="68" t="n">
        <x:f>K69-J69</x:f>
        <x:v>0</x:v>
      </x:c>
      <x:c r="M69" s="65" t="n">
        <x:f>J69/'공식·설정'!$B$7</x:f>
        <x:v>12.33203125</x:v>
      </x:c>
      <x:c r="N69" s="65" t="n">
        <x:f>K69/'공식·설정'!$B$7</x:f>
        <x:v>12.33203125</x:v>
      </x:c>
      <x:c r="O69" s="14" t="n">
        <x:v>1</x:v>
      </x:c>
      <x:c r="P69" s="14" t="n">
        <x:f>MIN(32767,MAX(0,INT((K69+INT('공식·설정'!$B$12/2))/'공식·설정'!$B$12)))</x:f>
        <x:v>1</x:v>
      </x:c>
      <x:c r="Q69" s="68" t="n">
        <x:f>P69-O69</x:f>
        <x:v>0</x:v>
      </x:c>
      <x:c r="R69" s="14" t="n">
        <x:v>11008</x:v>
      </x:c>
      <x:c r="S69" s="14" t="n">
        <x:f>P69*'공식·설정'!$B$12+'공식·설정'!$B$14</x:f>
        <x:v>11008</x:v>
      </x:c>
      <x:c r="T69" s="68" t="n">
        <x:f>S69-R69</x:f>
        <x:v>0</x:v>
      </x:c>
      <x:c r="U69" s="65" t="n">
        <x:f>R69/'공식·설정'!$B$7</x:f>
        <x:v>43</x:v>
      </x:c>
      <x:c r="V69" s="65" t="n">
        <x:f>S69/'공식·설정'!$B$7</x:f>
        <x:v>43</x:v>
      </x:c>
      <x:c r="W69" s="14" t="n">
        <x:v>809</x:v>
      </x:c>
      <x:c r="X69" s="14" t="n">
        <x:f>INT(ABS(K70-K69)*'공식·설정'!$B$8/K69)</x:f>
        <x:v>809</x:v>
      </x:c>
      <x:c r="Y69" s="68" t="n">
        <x:f>X69-W69</x:f>
        <x:v>0</x:v>
      </x:c>
      <x:c r="Z69" s="66" t="n">
        <x:f>W69/'공식·설정'!$B$8</x:f>
        <x:v>0.0123443603515625</x:v>
      </x:c>
      <x:c r="AA69" s="66" t="n">
        <x:f>X69/'공식·설정'!$B$8</x:f>
        <x:v>0.0123443603515625</x:v>
      </x:c>
      <x:c r="AB69" s="67" t="str">
        <x:f>IF(AND(I69=0,L69=0,Q69=0,T69=0,Y69=0),"PASS","FAIL")</x:f>
        <x:v>PASS</x:v>
      </x:c>
    </x:row>
    <x:row r="70" ht="18" customHeight="1">
      <x:c r="A70" s="14" t="n">
        <x:v>173</x:v>
      </x:c>
      <x:c r="B70" s="14" t="n">
        <x:v>65</x:v>
      </x:c>
      <x:c r="C70" s="14" t="n">
        <x:v>168</x:v>
      </x:c>
      <x:c r="D70" s="14" t="n">
        <x:v>460</x:v>
      </x:c>
      <x:c r="E70" s="14" t="n">
        <x:v>182</x:v>
      </x:c>
      <x:c r="F70" s="14" t="n">
        <x:v>549</x:v>
      </x:c>
      <x:c r="G70" s="14" t="n">
        <x:v>491</x:v>
      </x:c>
      <x:c r="H70" s="14" t="n">
        <x:f>INT((F70-D70)*(A70-C70)/(E70-C70))+D70</x:f>
        <x:v>491</x:v>
      </x:c>
      <x:c r="I70" s="68" t="n">
        <x:f>H70-G70</x:f>
        <x:v>0</x:v>
      </x:c>
      <x:c r="J70" s="14" t="n">
        <x:v>3196</x:v>
      </x:c>
      <x:c r="K70" s="14" t="n">
        <x:f>INT(H70*'공식·설정'!$B$10/'공식·설정'!$B$15)</x:f>
        <x:v>3196</x:v>
      </x:c>
      <x:c r="L70" s="68" t="n">
        <x:f>K70-J70</x:f>
        <x:v>0</x:v>
      </x:c>
      <x:c r="M70" s="65" t="n">
        <x:f>J70/'공식·설정'!$B$7</x:f>
        <x:v>12.484375</x:v>
      </x:c>
      <x:c r="N70" s="65" t="n">
        <x:f>K70/'공식·설정'!$B$7</x:f>
        <x:v>12.484375</x:v>
      </x:c>
      <x:c r="O70" s="14" t="n">
        <x:v>1</x:v>
      </x:c>
      <x:c r="P70" s="14" t="n">
        <x:f>MIN(32767,MAX(0,INT((K70+INT('공식·설정'!$B$12/2))/'공식·설정'!$B$12)))</x:f>
        <x:v>1</x:v>
      </x:c>
      <x:c r="Q70" s="68" t="n">
        <x:f>P70-O70</x:f>
        <x:v>0</x:v>
      </x:c>
      <x:c r="R70" s="14" t="n">
        <x:v>11008</x:v>
      </x:c>
      <x:c r="S70" s="14" t="n">
        <x:f>P70*'공식·설정'!$B$12+'공식·설정'!$B$14</x:f>
        <x:v>11008</x:v>
      </x:c>
      <x:c r="T70" s="68" t="n">
        <x:f>S70-R70</x:f>
        <x:v>0</x:v>
      </x:c>
      <x:c r="U70" s="65" t="n">
        <x:f>R70/'공식·설정'!$B$7</x:f>
        <x:v>43</x:v>
      </x:c>
      <x:c r="V70" s="65" t="n">
        <x:f>S70/'공식·설정'!$B$7</x:f>
        <x:v>43</x:v>
      </x:c>
      <x:c r="W70" s="14" t="n">
        <x:v>943</x:v>
      </x:c>
      <x:c r="X70" s="14" t="n">
        <x:f>INT(ABS(K71-K70)*'공식·설정'!$B$8/K70)</x:f>
        <x:v>943</x:v>
      </x:c>
      <x:c r="Y70" s="68" t="n">
        <x:f>X70-W70</x:f>
        <x:v>0</x:v>
      </x:c>
      <x:c r="Z70" s="66" t="n">
        <x:f>W70/'공식·설정'!$B$8</x:f>
        <x:v>0.0143890380859375</x:v>
      </x:c>
      <x:c r="AA70" s="66" t="n">
        <x:f>X70/'공식·설정'!$B$8</x:f>
        <x:v>0.0143890380859375</x:v>
      </x:c>
      <x:c r="AB70" s="67" t="str">
        <x:f>IF(AND(I70=0,L70=0,Q70=0,T70=0,Y70=0),"PASS","FAIL")</x:f>
        <x:v>PASS</x:v>
      </x:c>
    </x:row>
    <x:row r="71" ht="18" customHeight="1">
      <x:c r="A71" s="14" t="n">
        <x:v>174</x:v>
      </x:c>
      <x:c r="B71" s="14" t="n">
        <x:v>66</x:v>
      </x:c>
      <x:c r="C71" s="14" t="n">
        <x:v>168</x:v>
      </x:c>
      <x:c r="D71" s="14" t="n">
        <x:v>460</x:v>
      </x:c>
      <x:c r="E71" s="14" t="n">
        <x:v>182</x:v>
      </x:c>
      <x:c r="F71" s="14" t="n">
        <x:v>549</x:v>
      </x:c>
      <x:c r="G71" s="14" t="n">
        <x:v>498</x:v>
      </x:c>
      <x:c r="H71" s="14" t="n">
        <x:f>INT((F71-D71)*(A71-C71)/(E71-C71))+D71</x:f>
        <x:v>498</x:v>
      </x:c>
      <x:c r="I71" s="68" t="n">
        <x:f>H71-G71</x:f>
        <x:v>0</x:v>
      </x:c>
      <x:c r="J71" s="14" t="n">
        <x:v>3242</x:v>
      </x:c>
      <x:c r="K71" s="14" t="n">
        <x:f>INT(H71*'공식·설정'!$B$10/'공식·설정'!$B$15)</x:f>
        <x:v>3242</x:v>
      </x:c>
      <x:c r="L71" s="68" t="n">
        <x:f>K71-J71</x:f>
        <x:v>0</x:v>
      </x:c>
      <x:c r="M71" s="65" t="n">
        <x:f>J71/'공식·설정'!$B$7</x:f>
        <x:v>12.6640625</x:v>
      </x:c>
      <x:c r="N71" s="65" t="n">
        <x:f>K71/'공식·설정'!$B$7</x:f>
        <x:v>12.6640625</x:v>
      </x:c>
      <x:c r="O71" s="14" t="n">
        <x:v>1</x:v>
      </x:c>
      <x:c r="P71" s="14" t="n">
        <x:f>MIN(32767,MAX(0,INT((K71+INT('공식·설정'!$B$12/2))/'공식·설정'!$B$12)))</x:f>
        <x:v>1</x:v>
      </x:c>
      <x:c r="Q71" s="68" t="n">
        <x:f>P71-O71</x:f>
        <x:v>0</x:v>
      </x:c>
      <x:c r="R71" s="14" t="n">
        <x:v>11008</x:v>
      </x:c>
      <x:c r="S71" s="14" t="n">
        <x:f>P71*'공식·설정'!$B$12+'공식·설정'!$B$14</x:f>
        <x:v>11008</x:v>
      </x:c>
      <x:c r="T71" s="68" t="n">
        <x:f>S71-R71</x:f>
        <x:v>0</x:v>
      </x:c>
      <x:c r="U71" s="65" t="n">
        <x:f>R71/'공식·설정'!$B$7</x:f>
        <x:v>43</x:v>
      </x:c>
      <x:c r="V71" s="65" t="n">
        <x:f>S71/'공식·설정'!$B$7</x:f>
        <x:v>43</x:v>
      </x:c>
      <x:c r="W71" s="14" t="n">
        <x:v>788</x:v>
      </x:c>
      <x:c r="X71" s="14" t="n">
        <x:f>INT(ABS(K72-K71)*'공식·설정'!$B$8/K71)</x:f>
        <x:v>788</x:v>
      </x:c>
      <x:c r="Y71" s="68" t="n">
        <x:f>X71-W71</x:f>
        <x:v>0</x:v>
      </x:c>
      <x:c r="Z71" s="66" t="n">
        <x:f>W71/'공식·설정'!$B$8</x:f>
        <x:v>0.01202392578125</x:v>
      </x:c>
      <x:c r="AA71" s="66" t="n">
        <x:f>X71/'공식·설정'!$B$8</x:f>
        <x:v>0.01202392578125</x:v>
      </x:c>
      <x:c r="AB71" s="67" t="str">
        <x:f>IF(AND(I71=0,L71=0,Q71=0,T71=0,Y71=0),"PASS","FAIL")</x:f>
        <x:v>PASS</x:v>
      </x:c>
    </x:row>
    <x:row r="72" ht="18" customHeight="1">
      <x:c r="A72" s="14" t="n">
        <x:v>175</x:v>
      </x:c>
      <x:c r="B72" s="14" t="n">
        <x:v>67</x:v>
      </x:c>
      <x:c r="C72" s="14" t="n">
        <x:v>168</x:v>
      </x:c>
      <x:c r="D72" s="14" t="n">
        <x:v>460</x:v>
      </x:c>
      <x:c r="E72" s="14" t="n">
        <x:v>182</x:v>
      </x:c>
      <x:c r="F72" s="14" t="n">
        <x:v>549</x:v>
      </x:c>
      <x:c r="G72" s="14" t="n">
        <x:v>504</x:v>
      </x:c>
      <x:c r="H72" s="14" t="n">
        <x:f>INT((F72-D72)*(A72-C72)/(E72-C72))+D72</x:f>
        <x:v>504</x:v>
      </x:c>
      <x:c r="I72" s="68" t="n">
        <x:f>H72-G72</x:f>
        <x:v>0</x:v>
      </x:c>
      <x:c r="J72" s="14" t="n">
        <x:v>3281</x:v>
      </x:c>
      <x:c r="K72" s="14" t="n">
        <x:f>INT(H72*'공식·설정'!$B$10/'공식·설정'!$B$15)</x:f>
        <x:v>3281</x:v>
      </x:c>
      <x:c r="L72" s="68" t="n">
        <x:f>K72-J72</x:f>
        <x:v>0</x:v>
      </x:c>
      <x:c r="M72" s="65" t="n">
        <x:f>J72/'공식·설정'!$B$7</x:f>
        <x:v>12.81640625</x:v>
      </x:c>
      <x:c r="N72" s="65" t="n">
        <x:f>K72/'공식·설정'!$B$7</x:f>
        <x:v>12.81640625</x:v>
      </x:c>
      <x:c r="O72" s="14" t="n">
        <x:v>1</x:v>
      </x:c>
      <x:c r="P72" s="14" t="n">
        <x:f>MIN(32767,MAX(0,INT((K72+INT('공식·설정'!$B$12/2))/'공식·설정'!$B$12)))</x:f>
        <x:v>1</x:v>
      </x:c>
      <x:c r="Q72" s="68" t="n">
        <x:f>P72-O72</x:f>
        <x:v>0</x:v>
      </x:c>
      <x:c r="R72" s="14" t="n">
        <x:v>11008</x:v>
      </x:c>
      <x:c r="S72" s="14" t="n">
        <x:f>P72*'공식·설정'!$B$12+'공식·설정'!$B$14</x:f>
        <x:v>11008</x:v>
      </x:c>
      <x:c r="T72" s="68" t="n">
        <x:f>S72-R72</x:f>
        <x:v>0</x:v>
      </x:c>
      <x:c r="U72" s="65" t="n">
        <x:f>R72/'공식·설정'!$B$7</x:f>
        <x:v>43</x:v>
      </x:c>
      <x:c r="V72" s="65" t="n">
        <x:f>S72/'공식·설정'!$B$7</x:f>
        <x:v>43</x:v>
      </x:c>
      <x:c r="W72" s="14" t="n">
        <x:v>779</x:v>
      </x:c>
      <x:c r="X72" s="14" t="n">
        <x:f>INT(ABS(K73-K72)*'공식·설정'!$B$8/K72)</x:f>
        <x:v>779</x:v>
      </x:c>
      <x:c r="Y72" s="68" t="n">
        <x:f>X72-W72</x:f>
        <x:v>0</x:v>
      </x:c>
      <x:c r="Z72" s="66" t="n">
        <x:f>W72/'공식·설정'!$B$8</x:f>
        <x:v>0.0118865966796875</x:v>
      </x:c>
      <x:c r="AA72" s="66" t="n">
        <x:f>X72/'공식·설정'!$B$8</x:f>
        <x:v>0.0118865966796875</x:v>
      </x:c>
      <x:c r="AB72" s="67" t="str">
        <x:f>IF(AND(I72=0,L72=0,Q72=0,T72=0,Y72=0),"PASS","FAIL")</x:f>
        <x:v>PASS</x:v>
      </x:c>
    </x:row>
    <x:row r="73" ht="18" customHeight="1">
      <x:c r="A73" s="14" t="n">
        <x:v>176</x:v>
      </x:c>
      <x:c r="B73" s="14" t="n">
        <x:v>68</x:v>
      </x:c>
      <x:c r="C73" s="14" t="n">
        <x:v>168</x:v>
      </x:c>
      <x:c r="D73" s="14" t="n">
        <x:v>460</x:v>
      </x:c>
      <x:c r="E73" s="14" t="n">
        <x:v>182</x:v>
      </x:c>
      <x:c r="F73" s="14" t="n">
        <x:v>549</x:v>
      </x:c>
      <x:c r="G73" s="14" t="n">
        <x:v>510</x:v>
      </x:c>
      <x:c r="H73" s="14" t="n">
        <x:f>INT((F73-D73)*(A73-C73)/(E73-C73))+D73</x:f>
        <x:v>510</x:v>
      </x:c>
      <x:c r="I73" s="68" t="n">
        <x:f>H73-G73</x:f>
        <x:v>0</x:v>
      </x:c>
      <x:c r="J73" s="14" t="n">
        <x:v>3320</x:v>
      </x:c>
      <x:c r="K73" s="14" t="n">
        <x:f>INT(H73*'공식·설정'!$B$10/'공식·설정'!$B$15)</x:f>
        <x:v>3320</x:v>
      </x:c>
      <x:c r="L73" s="68" t="n">
        <x:f>K73-J73</x:f>
        <x:v>0</x:v>
      </x:c>
      <x:c r="M73" s="65" t="n">
        <x:f>J73/'공식·설정'!$B$7</x:f>
        <x:v>12.96875</x:v>
      </x:c>
      <x:c r="N73" s="65" t="n">
        <x:f>K73/'공식·설정'!$B$7</x:f>
        <x:v>12.96875</x:v>
      </x:c>
      <x:c r="O73" s="14" t="n">
        <x:v>1</x:v>
      </x:c>
      <x:c r="P73" s="14" t="n">
        <x:f>MIN(32767,MAX(0,INT((K73+INT('공식·설정'!$B$12/2))/'공식·설정'!$B$12)))</x:f>
        <x:v>1</x:v>
      </x:c>
      <x:c r="Q73" s="68" t="n">
        <x:f>P73-O73</x:f>
        <x:v>0</x:v>
      </x:c>
      <x:c r="R73" s="14" t="n">
        <x:v>11008</x:v>
      </x:c>
      <x:c r="S73" s="14" t="n">
        <x:f>P73*'공식·설정'!$B$12+'공식·설정'!$B$14</x:f>
        <x:v>11008</x:v>
      </x:c>
      <x:c r="T73" s="68" t="n">
        <x:f>S73-R73</x:f>
        <x:v>0</x:v>
      </x:c>
      <x:c r="U73" s="65" t="n">
        <x:f>R73/'공식·설정'!$B$7</x:f>
        <x:v>43</x:v>
      </x:c>
      <x:c r="V73" s="65" t="n">
        <x:f>S73/'공식·설정'!$B$7</x:f>
        <x:v>43</x:v>
      </x:c>
      <x:c r="W73" s="14" t="n">
        <x:v>888</x:v>
      </x:c>
      <x:c r="X73" s="14" t="n">
        <x:f>INT(ABS(K74-K73)*'공식·설정'!$B$8/K73)</x:f>
        <x:v>888</x:v>
      </x:c>
      <x:c r="Y73" s="68" t="n">
        <x:f>X73-W73</x:f>
        <x:v>0</x:v>
      </x:c>
      <x:c r="Z73" s="66" t="n">
        <x:f>W73/'공식·설정'!$B$8</x:f>
        <x:v>0.0135498046875</x:v>
      </x:c>
      <x:c r="AA73" s="66" t="n">
        <x:f>X73/'공식·설정'!$B$8</x:f>
        <x:v>0.0135498046875</x:v>
      </x:c>
      <x:c r="AB73" s="67" t="str">
        <x:f>IF(AND(I73=0,L73=0,Q73=0,T73=0,Y73=0),"PASS","FAIL")</x:f>
        <x:v>PASS</x:v>
      </x:c>
    </x:row>
    <x:row r="74" ht="18" customHeight="1">
      <x:c r="A74" s="14" t="n">
        <x:v>177</x:v>
      </x:c>
      <x:c r="B74" s="14" t="n">
        <x:v>69</x:v>
      </x:c>
      <x:c r="C74" s="14" t="n">
        <x:v>168</x:v>
      </x:c>
      <x:c r="D74" s="14" t="n">
        <x:v>460</x:v>
      </x:c>
      <x:c r="E74" s="14" t="n">
        <x:v>182</x:v>
      </x:c>
      <x:c r="F74" s="14" t="n">
        <x:v>549</x:v>
      </x:c>
      <x:c r="G74" s="14" t="n">
        <x:v>517</x:v>
      </x:c>
      <x:c r="H74" s="14" t="n">
        <x:f>INT((F74-D74)*(A74-C74)/(E74-C74))+D74</x:f>
        <x:v>517</x:v>
      </x:c>
      <x:c r="I74" s="68" t="n">
        <x:f>H74-G74</x:f>
        <x:v>0</x:v>
      </x:c>
      <x:c r="J74" s="14" t="n">
        <x:v>3365</x:v>
      </x:c>
      <x:c r="K74" s="14" t="n">
        <x:f>INT(H74*'공식·설정'!$B$10/'공식·설정'!$B$15)</x:f>
        <x:v>3365</x:v>
      </x:c>
      <x:c r="L74" s="68" t="n">
        <x:f>K74-J74</x:f>
        <x:v>0</x:v>
      </x:c>
      <x:c r="M74" s="65" t="n">
        <x:f>J74/'공식·설정'!$B$7</x:f>
        <x:v>13.14453125</x:v>
      </x:c>
      <x:c r="N74" s="65" t="n">
        <x:f>K74/'공식·설정'!$B$7</x:f>
        <x:v>13.14453125</x:v>
      </x:c>
      <x:c r="O74" s="14" t="n">
        <x:v>1</x:v>
      </x:c>
      <x:c r="P74" s="14" t="n">
        <x:f>MIN(32767,MAX(0,INT((K74+INT('공식·설정'!$B$12/2))/'공식·설정'!$B$12)))</x:f>
        <x:v>1</x:v>
      </x:c>
      <x:c r="Q74" s="68" t="n">
        <x:f>P74-O74</x:f>
        <x:v>0</x:v>
      </x:c>
      <x:c r="R74" s="14" t="n">
        <x:v>11008</x:v>
      </x:c>
      <x:c r="S74" s="14" t="n">
        <x:f>P74*'공식·설정'!$B$12+'공식·설정'!$B$14</x:f>
        <x:v>11008</x:v>
      </x:c>
      <x:c r="T74" s="68" t="n">
        <x:f>S74-R74</x:f>
        <x:v>0</x:v>
      </x:c>
      <x:c r="U74" s="65" t="n">
        <x:f>R74/'공식·설정'!$B$7</x:f>
        <x:v>43</x:v>
      </x:c>
      <x:c r="V74" s="65" t="n">
        <x:f>S74/'공식·설정'!$B$7</x:f>
        <x:v>43</x:v>
      </x:c>
      <x:c r="W74" s="14" t="n">
        <x:v>759</x:v>
      </x:c>
      <x:c r="X74" s="14" t="n">
        <x:f>INT(ABS(K75-K74)*'공식·설정'!$B$8/K74)</x:f>
        <x:v>759</x:v>
      </x:c>
      <x:c r="Y74" s="68" t="n">
        <x:f>X74-W74</x:f>
        <x:v>0</x:v>
      </x:c>
      <x:c r="Z74" s="66" t="n">
        <x:f>W74/'공식·설정'!$B$8</x:f>
        <x:v>0.0115814208984375</x:v>
      </x:c>
      <x:c r="AA74" s="66" t="n">
        <x:f>X74/'공식·설정'!$B$8</x:f>
        <x:v>0.0115814208984375</x:v>
      </x:c>
      <x:c r="AB74" s="67" t="str">
        <x:f>IF(AND(I74=0,L74=0,Q74=0,T74=0,Y74=0),"PASS","FAIL")</x:f>
        <x:v>PASS</x:v>
      </x:c>
    </x:row>
    <x:row r="75" ht="18" customHeight="1">
      <x:c r="A75" s="14" t="n">
        <x:v>178</x:v>
      </x:c>
      <x:c r="B75" s="14" t="n">
        <x:v>70</x:v>
      </x:c>
      <x:c r="C75" s="14" t="n">
        <x:v>168</x:v>
      </x:c>
      <x:c r="D75" s="14" t="n">
        <x:v>460</x:v>
      </x:c>
      <x:c r="E75" s="14" t="n">
        <x:v>182</x:v>
      </x:c>
      <x:c r="F75" s="14" t="n">
        <x:v>549</x:v>
      </x:c>
      <x:c r="G75" s="14" t="n">
        <x:v>523</x:v>
      </x:c>
      <x:c r="H75" s="14" t="n">
        <x:f>INT((F75-D75)*(A75-C75)/(E75-C75))+D75</x:f>
        <x:v>523</x:v>
      </x:c>
      <x:c r="I75" s="68" t="n">
        <x:f>H75-G75</x:f>
        <x:v>0</x:v>
      </x:c>
      <x:c r="J75" s="14" t="n">
        <x:v>3404</x:v>
      </x:c>
      <x:c r="K75" s="14" t="n">
        <x:f>INT(H75*'공식·설정'!$B$10/'공식·설정'!$B$15)</x:f>
        <x:v>3404</x:v>
      </x:c>
      <x:c r="L75" s="68" t="n">
        <x:f>K75-J75</x:f>
        <x:v>0</x:v>
      </x:c>
      <x:c r="M75" s="65" t="n">
        <x:f>J75/'공식·설정'!$B$7</x:f>
        <x:v>13.296875</x:v>
      </x:c>
      <x:c r="N75" s="65" t="n">
        <x:f>K75/'공식·설정'!$B$7</x:f>
        <x:v>13.296875</x:v>
      </x:c>
      <x:c r="O75" s="14" t="n">
        <x:v>1</x:v>
      </x:c>
      <x:c r="P75" s="14" t="n">
        <x:f>MIN(32767,MAX(0,INT((K75+INT('공식·설정'!$B$12/2))/'공식·설정'!$B$12)))</x:f>
        <x:v>1</x:v>
      </x:c>
      <x:c r="Q75" s="68" t="n">
        <x:f>P75-O75</x:f>
        <x:v>0</x:v>
      </x:c>
      <x:c r="R75" s="14" t="n">
        <x:v>11008</x:v>
      </x:c>
      <x:c r="S75" s="14" t="n">
        <x:f>P75*'공식·설정'!$B$12+'공식·설정'!$B$14</x:f>
        <x:v>11008</x:v>
      </x:c>
      <x:c r="T75" s="68" t="n">
        <x:f>S75-R75</x:f>
        <x:v>0</x:v>
      </x:c>
      <x:c r="U75" s="65" t="n">
        <x:f>R75/'공식·설정'!$B$7</x:f>
        <x:v>43</x:v>
      </x:c>
      <x:c r="V75" s="65" t="n">
        <x:f>S75/'공식·설정'!$B$7</x:f>
        <x:v>43</x:v>
      </x:c>
      <x:c r="W75" s="14" t="n">
        <x:v>750</x:v>
      </x:c>
      <x:c r="X75" s="14" t="n">
        <x:f>INT(ABS(K76-K75)*'공식·설정'!$B$8/K75)</x:f>
        <x:v>750</x:v>
      </x:c>
      <x:c r="Y75" s="68" t="n">
        <x:f>X75-W75</x:f>
        <x:v>0</x:v>
      </x:c>
      <x:c r="Z75" s="66" t="n">
        <x:f>W75/'공식·설정'!$B$8</x:f>
        <x:v>0.011444091796875</x:v>
      </x:c>
      <x:c r="AA75" s="66" t="n">
        <x:f>X75/'공식·설정'!$B$8</x:f>
        <x:v>0.011444091796875</x:v>
      </x:c>
      <x:c r="AB75" s="67" t="str">
        <x:f>IF(AND(I75=0,L75=0,Q75=0,T75=0,Y75=0),"PASS","FAIL")</x:f>
        <x:v>PASS</x:v>
      </x:c>
    </x:row>
    <x:row r="76" ht="18" customHeight="1">
      <x:c r="A76" s="14" t="n">
        <x:v>179</x:v>
      </x:c>
      <x:c r="B76" s="14" t="n">
        <x:v>71</x:v>
      </x:c>
      <x:c r="C76" s="14" t="n">
        <x:v>168</x:v>
      </x:c>
      <x:c r="D76" s="14" t="n">
        <x:v>460</x:v>
      </x:c>
      <x:c r="E76" s="14" t="n">
        <x:v>182</x:v>
      </x:c>
      <x:c r="F76" s="14" t="n">
        <x:v>549</x:v>
      </x:c>
      <x:c r="G76" s="14" t="n">
        <x:v>529</x:v>
      </x:c>
      <x:c r="H76" s="14" t="n">
        <x:f>INT((F76-D76)*(A76-C76)/(E76-C76))+D76</x:f>
        <x:v>529</x:v>
      </x:c>
      <x:c r="I76" s="68" t="n">
        <x:f>H76-G76</x:f>
        <x:v>0</x:v>
      </x:c>
      <x:c r="J76" s="14" t="n">
        <x:v>3443</x:v>
      </x:c>
      <x:c r="K76" s="14" t="n">
        <x:f>INT(H76*'공식·설정'!$B$10/'공식·설정'!$B$15)</x:f>
        <x:v>3443</x:v>
      </x:c>
      <x:c r="L76" s="68" t="n">
        <x:f>K76-J76</x:f>
        <x:v>0</x:v>
      </x:c>
      <x:c r="M76" s="65" t="n">
        <x:f>J76/'공식·설정'!$B$7</x:f>
        <x:v>13.44921875</x:v>
      </x:c>
      <x:c r="N76" s="65" t="n">
        <x:f>K76/'공식·설정'!$B$7</x:f>
        <x:v>13.44921875</x:v>
      </x:c>
      <x:c r="O76" s="14" t="n">
        <x:v>1</x:v>
      </x:c>
      <x:c r="P76" s="14" t="n">
        <x:f>MIN(32767,MAX(0,INT((K76+INT('공식·설정'!$B$12/2))/'공식·설정'!$B$12)))</x:f>
        <x:v>1</x:v>
      </x:c>
      <x:c r="Q76" s="68" t="n">
        <x:f>P76-O76</x:f>
        <x:v>0</x:v>
      </x:c>
      <x:c r="R76" s="14" t="n">
        <x:v>11008</x:v>
      </x:c>
      <x:c r="S76" s="14" t="n">
        <x:f>P76*'공식·설정'!$B$12+'공식·설정'!$B$14</x:f>
        <x:v>11008</x:v>
      </x:c>
      <x:c r="T76" s="68" t="n">
        <x:f>S76-R76</x:f>
        <x:v>0</x:v>
      </x:c>
      <x:c r="U76" s="65" t="n">
        <x:f>R76/'공식·설정'!$B$7</x:f>
        <x:v>43</x:v>
      </x:c>
      <x:c r="V76" s="65" t="n">
        <x:f>S76/'공식·설정'!$B$7</x:f>
        <x:v>43</x:v>
      </x:c>
      <x:c r="W76" s="14" t="n">
        <x:v>875</x:v>
      </x:c>
      <x:c r="X76" s="14" t="n">
        <x:f>INT(ABS(K77-K76)*'공식·설정'!$B$8/K76)</x:f>
        <x:v>875</x:v>
      </x:c>
      <x:c r="Y76" s="68" t="n">
        <x:f>X76-W76</x:f>
        <x:v>0</x:v>
      </x:c>
      <x:c r="Z76" s="66" t="n">
        <x:f>W76/'공식·설정'!$B$8</x:f>
        <x:v>0.0133514404296875</x:v>
      </x:c>
      <x:c r="AA76" s="66" t="n">
        <x:f>X76/'공식·설정'!$B$8</x:f>
        <x:v>0.0133514404296875</x:v>
      </x:c>
      <x:c r="AB76" s="67" t="str">
        <x:f>IF(AND(I76=0,L76=0,Q76=0,T76=0,Y76=0),"PASS","FAIL")</x:f>
        <x:v>PASS</x:v>
      </x:c>
    </x:row>
    <x:row r="77" ht="18" customHeight="1">
      <x:c r="A77" s="14" t="n">
        <x:v>180</x:v>
      </x:c>
      <x:c r="B77" s="14" t="n">
        <x:v>72</x:v>
      </x:c>
      <x:c r="C77" s="14" t="n">
        <x:v>168</x:v>
      </x:c>
      <x:c r="D77" s="14" t="n">
        <x:v>460</x:v>
      </x:c>
      <x:c r="E77" s="14" t="n">
        <x:v>182</x:v>
      </x:c>
      <x:c r="F77" s="14" t="n">
        <x:v>549</x:v>
      </x:c>
      <x:c r="G77" s="14" t="n">
        <x:v>536</x:v>
      </x:c>
      <x:c r="H77" s="14" t="n">
        <x:f>INT((F77-D77)*(A77-C77)/(E77-C77))+D77</x:f>
        <x:v>536</x:v>
      </x:c>
      <x:c r="I77" s="68" t="n">
        <x:f>H77-G77</x:f>
        <x:v>0</x:v>
      </x:c>
      <x:c r="J77" s="14" t="n">
        <x:v>3489</x:v>
      </x:c>
      <x:c r="K77" s="14" t="n">
        <x:f>INT(H77*'공식·설정'!$B$10/'공식·설정'!$B$15)</x:f>
        <x:v>3489</x:v>
      </x:c>
      <x:c r="L77" s="68" t="n">
        <x:f>K77-J77</x:f>
        <x:v>0</x:v>
      </x:c>
      <x:c r="M77" s="65" t="n">
        <x:f>J77/'공식·설정'!$B$7</x:f>
        <x:v>13.62890625</x:v>
      </x:c>
      <x:c r="N77" s="65" t="n">
        <x:f>K77/'공식·설정'!$B$7</x:f>
        <x:v>13.62890625</x:v>
      </x:c>
      <x:c r="O77" s="14" t="n">
        <x:v>1</x:v>
      </x:c>
      <x:c r="P77" s="14" t="n">
        <x:f>MIN(32767,MAX(0,INT((K77+INT('공식·설정'!$B$12/2))/'공식·설정'!$B$12)))</x:f>
        <x:v>1</x:v>
      </x:c>
      <x:c r="Q77" s="68" t="n">
        <x:f>P77-O77</x:f>
        <x:v>0</x:v>
      </x:c>
      <x:c r="R77" s="14" t="n">
        <x:v>11008</x:v>
      </x:c>
      <x:c r="S77" s="14" t="n">
        <x:f>P77*'공식·설정'!$B$12+'공식·설정'!$B$14</x:f>
        <x:v>11008</x:v>
      </x:c>
      <x:c r="T77" s="68" t="n">
        <x:f>S77-R77</x:f>
        <x:v>0</x:v>
      </x:c>
      <x:c r="U77" s="65" t="n">
        <x:f>R77/'공식·설정'!$B$7</x:f>
        <x:v>43</x:v>
      </x:c>
      <x:c r="V77" s="65" t="n">
        <x:f>S77/'공식·설정'!$B$7</x:f>
        <x:v>43</x:v>
      </x:c>
      <x:c r="W77" s="14" t="n">
        <x:v>732</x:v>
      </x:c>
      <x:c r="X77" s="14" t="n">
        <x:f>INT(ABS(K78-K77)*'공식·설정'!$B$8/K77)</x:f>
        <x:v>732</x:v>
      </x:c>
      <x:c r="Y77" s="68" t="n">
        <x:f>X77-W77</x:f>
        <x:v>0</x:v>
      </x:c>
      <x:c r="Z77" s="66" t="n">
        <x:f>W77/'공식·설정'!$B$8</x:f>
        <x:v>0.01116943359375</x:v>
      </x:c>
      <x:c r="AA77" s="66" t="n">
        <x:f>X77/'공식·설정'!$B$8</x:f>
        <x:v>0.01116943359375</x:v>
      </x:c>
      <x:c r="AB77" s="67" t="str">
        <x:f>IF(AND(I77=0,L77=0,Q77=0,T77=0,Y77=0),"PASS","FAIL")</x:f>
        <x:v>PASS</x:v>
      </x:c>
    </x:row>
    <x:row r="78" ht="18" customHeight="1">
      <x:c r="A78" s="14" t="n">
        <x:v>181</x:v>
      </x:c>
      <x:c r="B78" s="14" t="n">
        <x:v>73</x:v>
      </x:c>
      <x:c r="C78" s="14" t="n">
        <x:v>168</x:v>
      </x:c>
      <x:c r="D78" s="14" t="n">
        <x:v>460</x:v>
      </x:c>
      <x:c r="E78" s="14" t="n">
        <x:v>182</x:v>
      </x:c>
      <x:c r="F78" s="14" t="n">
        <x:v>549</x:v>
      </x:c>
      <x:c r="G78" s="14" t="n">
        <x:v>542</x:v>
      </x:c>
      <x:c r="H78" s="14" t="n">
        <x:f>INT((F78-D78)*(A78-C78)/(E78-C78))+D78</x:f>
        <x:v>542</x:v>
      </x:c>
      <x:c r="I78" s="68" t="n">
        <x:f>H78-G78</x:f>
        <x:v>0</x:v>
      </x:c>
      <x:c r="J78" s="14" t="n">
        <x:v>3528</x:v>
      </x:c>
      <x:c r="K78" s="14" t="n">
        <x:f>INT(H78*'공식·설정'!$B$10/'공식·설정'!$B$15)</x:f>
        <x:v>3528</x:v>
      </x:c>
      <x:c r="L78" s="68" t="n">
        <x:f>K78-J78</x:f>
        <x:v>0</x:v>
      </x:c>
      <x:c r="M78" s="65" t="n">
        <x:f>J78/'공식·설정'!$B$7</x:f>
        <x:v>13.78125</x:v>
      </x:c>
      <x:c r="N78" s="65" t="n">
        <x:f>K78/'공식·설정'!$B$7</x:f>
        <x:v>13.78125</x:v>
      </x:c>
      <x:c r="O78" s="14" t="n">
        <x:v>1</x:v>
      </x:c>
      <x:c r="P78" s="14" t="n">
        <x:f>MIN(32767,MAX(0,INT((K78+INT('공식·설정'!$B$12/2))/'공식·설정'!$B$12)))</x:f>
        <x:v>1</x:v>
      </x:c>
      <x:c r="Q78" s="68" t="n">
        <x:f>P78-O78</x:f>
        <x:v>0</x:v>
      </x:c>
      <x:c r="R78" s="14" t="n">
        <x:v>11008</x:v>
      </x:c>
      <x:c r="S78" s="14" t="n">
        <x:f>P78*'공식·설정'!$B$12+'공식·설정'!$B$14</x:f>
        <x:v>11008</x:v>
      </x:c>
      <x:c r="T78" s="68" t="n">
        <x:f>S78-R78</x:f>
        <x:v>0</x:v>
      </x:c>
      <x:c r="U78" s="65" t="n">
        <x:f>R78/'공식·설정'!$B$7</x:f>
        <x:v>43</x:v>
      </x:c>
      <x:c r="V78" s="65" t="n">
        <x:f>S78/'공식·설정'!$B$7</x:f>
        <x:v>43</x:v>
      </x:c>
      <x:c r="W78" s="14" t="n">
        <x:v>854</x:v>
      </x:c>
      <x:c r="X78" s="14" t="n">
        <x:f>INT(ABS(K79-K78)*'공식·설정'!$B$8/K78)</x:f>
        <x:v>854</x:v>
      </x:c>
      <x:c r="Y78" s="68" t="n">
        <x:f>X78-W78</x:f>
        <x:v>0</x:v>
      </x:c>
      <x:c r="Z78" s="66" t="n">
        <x:f>W78/'공식·설정'!$B$8</x:f>
        <x:v>0.013031005859375</x:v>
      </x:c>
      <x:c r="AA78" s="66" t="n">
        <x:f>X78/'공식·설정'!$B$8</x:f>
        <x:v>0.013031005859375</x:v>
      </x:c>
      <x:c r="AB78" s="67" t="str">
        <x:f>IF(AND(I78=0,L78=0,Q78=0,T78=0,Y78=0),"PASS","FAIL")</x:f>
        <x:v>PASS</x:v>
      </x:c>
    </x:row>
    <x:row r="79" ht="18" customHeight="1">
      <x:c r="A79" s="14" t="n">
        <x:v>182</x:v>
      </x:c>
      <x:c r="B79" s="14" t="n">
        <x:v>74</x:v>
      </x:c>
      <x:c r="C79" s="14" t="n">
        <x:v>182</x:v>
      </x:c>
      <x:c r="D79" s="14" t="n">
        <x:v>549</x:v>
      </x:c>
      <x:c r="E79" s="14" t="n">
        <x:v>196</x:v>
      </x:c>
      <x:c r="F79" s="14" t="n">
        <x:v>654</x:v>
      </x:c>
      <x:c r="G79" s="14" t="n">
        <x:v>549</x:v>
      </x:c>
      <x:c r="H79" s="14" t="n">
        <x:f>INT((F79-D79)*(A79-C79)/(E79-C79))+D79</x:f>
        <x:v>549</x:v>
      </x:c>
      <x:c r="I79" s="68" t="n">
        <x:f>H79-G79</x:f>
        <x:v>0</x:v>
      </x:c>
      <x:c r="J79" s="14" t="n">
        <x:v>3574</x:v>
      </x:c>
      <x:c r="K79" s="14" t="n">
        <x:f>INT(H79*'공식·설정'!$B$10/'공식·설정'!$B$15)</x:f>
        <x:v>3574</x:v>
      </x:c>
      <x:c r="L79" s="68" t="n">
        <x:f>K79-J79</x:f>
        <x:v>0</x:v>
      </x:c>
      <x:c r="M79" s="65" t="n">
        <x:f>J79/'공식·설정'!$B$7</x:f>
        <x:v>13.9609375</x:v>
      </x:c>
      <x:c r="N79" s="65" t="n">
        <x:f>K79/'공식·설정'!$B$7</x:f>
        <x:v>13.9609375</x:v>
      </x:c>
      <x:c r="O79" s="14" t="n">
        <x:v>1</x:v>
      </x:c>
      <x:c r="P79" s="14" t="n">
        <x:f>MIN(32767,MAX(0,INT((K79+INT('공식·설정'!$B$12/2))/'공식·설정'!$B$12)))</x:f>
        <x:v>1</x:v>
      </x:c>
      <x:c r="Q79" s="68" t="n">
        <x:f>P79-O79</x:f>
        <x:v>0</x:v>
      </x:c>
      <x:c r="R79" s="14" t="n">
        <x:v>11008</x:v>
      </x:c>
      <x:c r="S79" s="14" t="n">
        <x:f>P79*'공식·설정'!$B$12+'공식·설정'!$B$14</x:f>
        <x:v>11008</x:v>
      </x:c>
      <x:c r="T79" s="68" t="n">
        <x:f>S79-R79</x:f>
        <x:v>0</x:v>
      </x:c>
      <x:c r="U79" s="65" t="n">
        <x:f>R79/'공식·설정'!$B$7</x:f>
        <x:v>43</x:v>
      </x:c>
      <x:c r="V79" s="65" t="n">
        <x:f>S79/'공식·설정'!$B$7</x:f>
        <x:v>43</x:v>
      </x:c>
      <x:c r="W79" s="14" t="n">
        <x:v>825</x:v>
      </x:c>
      <x:c r="X79" s="14" t="n">
        <x:f>INT(ABS(K80-K79)*'공식·설정'!$B$8/K79)</x:f>
        <x:v>825</x:v>
      </x:c>
      <x:c r="Y79" s="68" t="n">
        <x:f>X79-W79</x:f>
        <x:v>0</x:v>
      </x:c>
      <x:c r="Z79" s="66" t="n">
        <x:f>W79/'공식·설정'!$B$8</x:f>
        <x:v>0.0125885009765625</x:v>
      </x:c>
      <x:c r="AA79" s="66" t="n">
        <x:f>X79/'공식·설정'!$B$8</x:f>
        <x:v>0.0125885009765625</x:v>
      </x:c>
      <x:c r="AB79" s="67" t="str">
        <x:f>IF(AND(I79=0,L79=0,Q79=0,T79=0,Y79=0),"PASS","FAIL")</x:f>
        <x:v>PASS</x:v>
      </x:c>
    </x:row>
    <x:row r="80" ht="18" customHeight="1">
      <x:c r="A80" s="14" t="n">
        <x:v>183</x:v>
      </x:c>
      <x:c r="B80" s="14" t="n">
        <x:v>75</x:v>
      </x:c>
      <x:c r="C80" s="14" t="n">
        <x:v>182</x:v>
      </x:c>
      <x:c r="D80" s="14" t="n">
        <x:v>549</x:v>
      </x:c>
      <x:c r="E80" s="14" t="n">
        <x:v>196</x:v>
      </x:c>
      <x:c r="F80" s="14" t="n">
        <x:v>654</x:v>
      </x:c>
      <x:c r="G80" s="14" t="n">
        <x:v>556</x:v>
      </x:c>
      <x:c r="H80" s="14" t="n">
        <x:f>INT((F80-D80)*(A80-C80)/(E80-C80))+D80</x:f>
        <x:v>556</x:v>
      </x:c>
      <x:c r="I80" s="68" t="n">
        <x:f>H80-G80</x:f>
        <x:v>0</x:v>
      </x:c>
      <x:c r="J80" s="14" t="n">
        <x:v>3619</x:v>
      </x:c>
      <x:c r="K80" s="14" t="n">
        <x:f>INT(H80*'공식·설정'!$B$10/'공식·설정'!$B$15)</x:f>
        <x:v>3619</x:v>
      </x:c>
      <x:c r="L80" s="68" t="n">
        <x:f>K80-J80</x:f>
        <x:v>0</x:v>
      </x:c>
      <x:c r="M80" s="65" t="n">
        <x:f>J80/'공식·설정'!$B$7</x:f>
        <x:v>14.13671875</x:v>
      </x:c>
      <x:c r="N80" s="65" t="n">
        <x:f>K80/'공식·설정'!$B$7</x:f>
        <x:v>14.13671875</x:v>
      </x:c>
      <x:c r="O80" s="14" t="n">
        <x:v>1</x:v>
      </x:c>
      <x:c r="P80" s="14" t="n">
        <x:f>MIN(32767,MAX(0,INT((K80+INT('공식·설정'!$B$12/2))/'공식·설정'!$B$12)))</x:f>
        <x:v>1</x:v>
      </x:c>
      <x:c r="Q80" s="68" t="n">
        <x:f>P80-O80</x:f>
        <x:v>0</x:v>
      </x:c>
      <x:c r="R80" s="14" t="n">
        <x:v>11008</x:v>
      </x:c>
      <x:c r="S80" s="14" t="n">
        <x:f>P80*'공식·설정'!$B$12+'공식·설정'!$B$14</x:f>
        <x:v>11008</x:v>
      </x:c>
      <x:c r="T80" s="68" t="n">
        <x:f>S80-R80</x:f>
        <x:v>0</x:v>
      </x:c>
      <x:c r="U80" s="65" t="n">
        <x:f>R80/'공식·설정'!$B$7</x:f>
        <x:v>43</x:v>
      </x:c>
      <x:c r="V80" s="65" t="n">
        <x:f>S80/'공식·설정'!$B$7</x:f>
        <x:v>43</x:v>
      </x:c>
      <x:c r="W80" s="14" t="n">
        <x:v>941</x:v>
      </x:c>
      <x:c r="X80" s="14" t="n">
        <x:f>INT(ABS(K81-K80)*'공식·설정'!$B$8/K80)</x:f>
        <x:v>941</x:v>
      </x:c>
      <x:c r="Y80" s="68" t="n">
        <x:f>X80-W80</x:f>
        <x:v>0</x:v>
      </x:c>
      <x:c r="Z80" s="66" t="n">
        <x:f>W80/'공식·설정'!$B$8</x:f>
        <x:v>0.0143585205078125</x:v>
      </x:c>
      <x:c r="AA80" s="66" t="n">
        <x:f>X80/'공식·설정'!$B$8</x:f>
        <x:v>0.0143585205078125</x:v>
      </x:c>
      <x:c r="AB80" s="67" t="str">
        <x:f>IF(AND(I80=0,L80=0,Q80=0,T80=0,Y80=0),"PASS","FAIL")</x:f>
        <x:v>PASS</x:v>
      </x:c>
    </x:row>
    <x:row r="81" ht="18" customHeight="1">
      <x:c r="A81" s="14" t="n">
        <x:v>184</x:v>
      </x:c>
      <x:c r="B81" s="14" t="n">
        <x:v>76</x:v>
      </x:c>
      <x:c r="C81" s="14" t="n">
        <x:v>182</x:v>
      </x:c>
      <x:c r="D81" s="14" t="n">
        <x:v>549</x:v>
      </x:c>
      <x:c r="E81" s="14" t="n">
        <x:v>196</x:v>
      </x:c>
      <x:c r="F81" s="14" t="n">
        <x:v>654</x:v>
      </x:c>
      <x:c r="G81" s="14" t="n">
        <x:v>564</x:v>
      </x:c>
      <x:c r="H81" s="14" t="n">
        <x:f>INT((F81-D81)*(A81-C81)/(E81-C81))+D81</x:f>
        <x:v>564</x:v>
      </x:c>
      <x:c r="I81" s="68" t="n">
        <x:f>H81-G81</x:f>
        <x:v>0</x:v>
      </x:c>
      <x:c r="J81" s="14" t="n">
        <x:v>3671</x:v>
      </x:c>
      <x:c r="K81" s="14" t="n">
        <x:f>INT(H81*'공식·설정'!$B$10/'공식·설정'!$B$15)</x:f>
        <x:v>3671</x:v>
      </x:c>
      <x:c r="L81" s="68" t="n">
        <x:f>K81-J81</x:f>
        <x:v>0</x:v>
      </x:c>
      <x:c r="M81" s="65" t="n">
        <x:f>J81/'공식·설정'!$B$7</x:f>
        <x:v>14.33984375</x:v>
      </x:c>
      <x:c r="N81" s="65" t="n">
        <x:f>K81/'공식·설정'!$B$7</x:f>
        <x:v>14.33984375</x:v>
      </x:c>
      <x:c r="O81" s="14" t="n">
        <x:v>1</x:v>
      </x:c>
      <x:c r="P81" s="14" t="n">
        <x:f>MIN(32767,MAX(0,INT((K81+INT('공식·설정'!$B$12/2))/'공식·설정'!$B$12)))</x:f>
        <x:v>1</x:v>
      </x:c>
      <x:c r="Q81" s="68" t="n">
        <x:f>P81-O81</x:f>
        <x:v>0</x:v>
      </x:c>
      <x:c r="R81" s="14" t="n">
        <x:v>11008</x:v>
      </x:c>
      <x:c r="S81" s="14" t="n">
        <x:f>P81*'공식·설정'!$B$12+'공식·설정'!$B$14</x:f>
        <x:v>11008</x:v>
      </x:c>
      <x:c r="T81" s="68" t="n">
        <x:f>S81-R81</x:f>
        <x:v>0</x:v>
      </x:c>
      <x:c r="U81" s="65" t="n">
        <x:f>R81/'공식·설정'!$B$7</x:f>
        <x:v>43</x:v>
      </x:c>
      <x:c r="V81" s="65" t="n">
        <x:f>S81/'공식·설정'!$B$7</x:f>
        <x:v>43</x:v>
      </x:c>
      <x:c r="W81" s="14" t="n">
        <x:v>821</x:v>
      </x:c>
      <x:c r="X81" s="14" t="n">
        <x:f>INT(ABS(K82-K81)*'공식·설정'!$B$8/K81)</x:f>
        <x:v>821</x:v>
      </x:c>
      <x:c r="Y81" s="68" t="n">
        <x:f>X81-W81</x:f>
        <x:v>0</x:v>
      </x:c>
      <x:c r="Z81" s="66" t="n">
        <x:f>W81/'공식·설정'!$B$8</x:f>
        <x:v>0.0125274658203125</x:v>
      </x:c>
      <x:c r="AA81" s="66" t="n">
        <x:f>X81/'공식·설정'!$B$8</x:f>
        <x:v>0.0125274658203125</x:v>
      </x:c>
      <x:c r="AB81" s="67" t="str">
        <x:f>IF(AND(I81=0,L81=0,Q81=0,T81=0,Y81=0),"PASS","FAIL")</x:f>
        <x:v>PASS</x:v>
      </x:c>
    </x:row>
    <x:row r="82" ht="18" customHeight="1">
      <x:c r="A82" s="14" t="n">
        <x:v>185</x:v>
      </x:c>
      <x:c r="B82" s="14" t="n">
        <x:v>77</x:v>
      </x:c>
      <x:c r="C82" s="14" t="n">
        <x:v>182</x:v>
      </x:c>
      <x:c r="D82" s="14" t="n">
        <x:v>549</x:v>
      </x:c>
      <x:c r="E82" s="14" t="n">
        <x:v>196</x:v>
      </x:c>
      <x:c r="F82" s="14" t="n">
        <x:v>654</x:v>
      </x:c>
      <x:c r="G82" s="14" t="n">
        <x:v>571</x:v>
      </x:c>
      <x:c r="H82" s="14" t="n">
        <x:f>INT((F82-D82)*(A82-C82)/(E82-C82))+D82</x:f>
        <x:v>571</x:v>
      </x:c>
      <x:c r="I82" s="68" t="n">
        <x:f>H82-G82</x:f>
        <x:v>0</x:v>
      </x:c>
      <x:c r="J82" s="14" t="n">
        <x:v>3717</x:v>
      </x:c>
      <x:c r="K82" s="14" t="n">
        <x:f>INT(H82*'공식·설정'!$B$10/'공식·설정'!$B$15)</x:f>
        <x:v>3717</x:v>
      </x:c>
      <x:c r="L82" s="68" t="n">
        <x:f>K82-J82</x:f>
        <x:v>0</x:v>
      </x:c>
      <x:c r="M82" s="65" t="n">
        <x:f>J82/'공식·설정'!$B$7</x:f>
        <x:v>14.51953125</x:v>
      </x:c>
      <x:c r="N82" s="65" t="n">
        <x:f>K82/'공식·설정'!$B$7</x:f>
        <x:v>14.51953125</x:v>
      </x:c>
      <x:c r="O82" s="14" t="n">
        <x:v>1</x:v>
      </x:c>
      <x:c r="P82" s="14" t="n">
        <x:f>MIN(32767,MAX(0,INT((K82+INT('공식·설정'!$B$12/2))/'공식·설정'!$B$12)))</x:f>
        <x:v>1</x:v>
      </x:c>
      <x:c r="Q82" s="68" t="n">
        <x:f>P82-O82</x:f>
        <x:v>0</x:v>
      </x:c>
      <x:c r="R82" s="14" t="n">
        <x:v>11008</x:v>
      </x:c>
      <x:c r="S82" s="14" t="n">
        <x:f>P82*'공식·설정'!$B$12+'공식·설정'!$B$14</x:f>
        <x:v>11008</x:v>
      </x:c>
      <x:c r="T82" s="68" t="n">
        <x:f>S82-R82</x:f>
        <x:v>0</x:v>
      </x:c>
      <x:c r="U82" s="65" t="n">
        <x:f>R82/'공식·설정'!$B$7</x:f>
        <x:v>43</x:v>
      </x:c>
      <x:c r="V82" s="65" t="n">
        <x:f>S82/'공식·설정'!$B$7</x:f>
        <x:v>43</x:v>
      </x:c>
      <x:c r="W82" s="14" t="n">
        <x:v>916</x:v>
      </x:c>
      <x:c r="X82" s="14" t="n">
        <x:f>INT(ABS(K83-K82)*'공식·설정'!$B$8/K82)</x:f>
        <x:v>916</x:v>
      </x:c>
      <x:c r="Y82" s="68" t="n">
        <x:f>X82-W82</x:f>
        <x:v>0</x:v>
      </x:c>
      <x:c r="Z82" s="66" t="n">
        <x:f>W82/'공식·설정'!$B$8</x:f>
        <x:v>0.01397705078125</x:v>
      </x:c>
      <x:c r="AA82" s="66" t="n">
        <x:f>X82/'공식·설정'!$B$8</x:f>
        <x:v>0.01397705078125</x:v>
      </x:c>
      <x:c r="AB82" s="67" t="str">
        <x:f>IF(AND(I82=0,L82=0,Q82=0,T82=0,Y82=0),"PASS","FAIL")</x:f>
        <x:v>PASS</x:v>
      </x:c>
    </x:row>
    <x:row r="83" ht="18" customHeight="1">
      <x:c r="A83" s="14" t="n">
        <x:v>186</x:v>
      </x:c>
      <x:c r="B83" s="14" t="n">
        <x:v>78</x:v>
      </x:c>
      <x:c r="C83" s="14" t="n">
        <x:v>182</x:v>
      </x:c>
      <x:c r="D83" s="14" t="n">
        <x:v>549</x:v>
      </x:c>
      <x:c r="E83" s="14" t="n">
        <x:v>196</x:v>
      </x:c>
      <x:c r="F83" s="14" t="n">
        <x:v>654</x:v>
      </x:c>
      <x:c r="G83" s="14" t="n">
        <x:v>579</x:v>
      </x:c>
      <x:c r="H83" s="14" t="n">
        <x:f>INT((F83-D83)*(A83-C83)/(E83-C83))+D83</x:f>
        <x:v>579</x:v>
      </x:c>
      <x:c r="I83" s="68" t="n">
        <x:f>H83-G83</x:f>
        <x:v>0</x:v>
      </x:c>
      <x:c r="J83" s="14" t="n">
        <x:v>3769</x:v>
      </x:c>
      <x:c r="K83" s="14" t="n">
        <x:f>INT(H83*'공식·설정'!$B$10/'공식·설정'!$B$15)</x:f>
        <x:v>3769</x:v>
      </x:c>
      <x:c r="L83" s="68" t="n">
        <x:f>K83-J83</x:f>
        <x:v>0</x:v>
      </x:c>
      <x:c r="M83" s="65" t="n">
        <x:f>J83/'공식·설정'!$B$7</x:f>
        <x:v>14.72265625</x:v>
      </x:c>
      <x:c r="N83" s="65" t="n">
        <x:f>K83/'공식·설정'!$B$7</x:f>
        <x:v>14.72265625</x:v>
      </x:c>
      <x:c r="O83" s="14" t="n">
        <x:v>1</x:v>
      </x:c>
      <x:c r="P83" s="14" t="n">
        <x:f>MIN(32767,MAX(0,INT((K83+INT('공식·설정'!$B$12/2))/'공식·설정'!$B$12)))</x:f>
        <x:v>1</x:v>
      </x:c>
      <x:c r="Q83" s="68" t="n">
        <x:f>P83-O83</x:f>
        <x:v>0</x:v>
      </x:c>
      <x:c r="R83" s="14" t="n">
        <x:v>11008</x:v>
      </x:c>
      <x:c r="S83" s="14" t="n">
        <x:f>P83*'공식·설정'!$B$12+'공식·설정'!$B$14</x:f>
        <x:v>11008</x:v>
      </x:c>
      <x:c r="T83" s="68" t="n">
        <x:f>S83-R83</x:f>
        <x:v>0</x:v>
      </x:c>
      <x:c r="U83" s="65" t="n">
        <x:f>R83/'공식·설정'!$B$7</x:f>
        <x:v>43</x:v>
      </x:c>
      <x:c r="V83" s="65" t="n">
        <x:f>S83/'공식·설정'!$B$7</x:f>
        <x:v>43</x:v>
      </x:c>
      <x:c r="W83" s="14" t="n">
        <x:v>799</x:v>
      </x:c>
      <x:c r="X83" s="14" t="n">
        <x:f>INT(ABS(K84-K83)*'공식·설정'!$B$8/K83)</x:f>
        <x:v>799</x:v>
      </x:c>
      <x:c r="Y83" s="68" t="n">
        <x:f>X83-W83</x:f>
        <x:v>0</x:v>
      </x:c>
      <x:c r="Z83" s="66" t="n">
        <x:f>W83/'공식·설정'!$B$8</x:f>
        <x:v>0.0121917724609375</x:v>
      </x:c>
      <x:c r="AA83" s="66" t="n">
        <x:f>X83/'공식·설정'!$B$8</x:f>
        <x:v>0.0121917724609375</x:v>
      </x:c>
      <x:c r="AB83" s="67" t="str">
        <x:f>IF(AND(I83=0,L83=0,Q83=0,T83=0,Y83=0),"PASS","FAIL")</x:f>
        <x:v>PASS</x:v>
      </x:c>
    </x:row>
    <x:row r="84" ht="18" customHeight="1">
      <x:c r="A84" s="14" t="n">
        <x:v>187</x:v>
      </x:c>
      <x:c r="B84" s="14" t="n">
        <x:v>79</x:v>
      </x:c>
      <x:c r="C84" s="14" t="n">
        <x:v>182</x:v>
      </x:c>
      <x:c r="D84" s="14" t="n">
        <x:v>549</x:v>
      </x:c>
      <x:c r="E84" s="14" t="n">
        <x:v>196</x:v>
      </x:c>
      <x:c r="F84" s="14" t="n">
        <x:v>654</x:v>
      </x:c>
      <x:c r="G84" s="14" t="n">
        <x:v>586</x:v>
      </x:c>
      <x:c r="H84" s="14" t="n">
        <x:f>INT((F84-D84)*(A84-C84)/(E84-C84))+D84</x:f>
        <x:v>586</x:v>
      </x:c>
      <x:c r="I84" s="68" t="n">
        <x:f>H84-G84</x:f>
        <x:v>0</x:v>
      </x:c>
      <x:c r="J84" s="14" t="n">
        <x:v>3815</x:v>
      </x:c>
      <x:c r="K84" s="14" t="n">
        <x:f>INT(H84*'공식·설정'!$B$10/'공식·설정'!$B$15)</x:f>
        <x:v>3815</x:v>
      </x:c>
      <x:c r="L84" s="68" t="n">
        <x:f>K84-J84</x:f>
        <x:v>0</x:v>
      </x:c>
      <x:c r="M84" s="65" t="n">
        <x:f>J84/'공식·설정'!$B$7</x:f>
        <x:v>14.90234375</x:v>
      </x:c>
      <x:c r="N84" s="65" t="n">
        <x:f>K84/'공식·설정'!$B$7</x:f>
        <x:v>14.90234375</x:v>
      </x:c>
      <x:c r="O84" s="14" t="n">
        <x:v>1</x:v>
      </x:c>
      <x:c r="P84" s="14" t="n">
        <x:f>MIN(32767,MAX(0,INT((K84+INT('공식·설정'!$B$12/2))/'공식·설정'!$B$12)))</x:f>
        <x:v>1</x:v>
      </x:c>
      <x:c r="Q84" s="68" t="n">
        <x:f>P84-O84</x:f>
        <x:v>0</x:v>
      </x:c>
      <x:c r="R84" s="14" t="n">
        <x:v>11008</x:v>
      </x:c>
      <x:c r="S84" s="14" t="n">
        <x:f>P84*'공식·설정'!$B$12+'공식·설정'!$B$14</x:f>
        <x:v>11008</x:v>
      </x:c>
      <x:c r="T84" s="68" t="n">
        <x:f>S84-R84</x:f>
        <x:v>0</x:v>
      </x:c>
      <x:c r="U84" s="65" t="n">
        <x:f>R84/'공식·설정'!$B$7</x:f>
        <x:v>43</x:v>
      </x:c>
      <x:c r="V84" s="65" t="n">
        <x:f>S84/'공식·설정'!$B$7</x:f>
        <x:v>43</x:v>
      </x:c>
      <x:c r="W84" s="14" t="n">
        <x:v>893</x:v>
      </x:c>
      <x:c r="X84" s="14" t="n">
        <x:f>INT(ABS(K85-K84)*'공식·설정'!$B$8/K84)</x:f>
        <x:v>893</x:v>
      </x:c>
      <x:c r="Y84" s="68" t="n">
        <x:f>X84-W84</x:f>
        <x:v>0</x:v>
      </x:c>
      <x:c r="Z84" s="66" t="n">
        <x:f>W84/'공식·설정'!$B$8</x:f>
        <x:v>0.0136260986328125</x:v>
      </x:c>
      <x:c r="AA84" s="66" t="n">
        <x:f>X84/'공식·설정'!$B$8</x:f>
        <x:v>0.0136260986328125</x:v>
      </x:c>
      <x:c r="AB84" s="67" t="str">
        <x:f>IF(AND(I84=0,L84=0,Q84=0,T84=0,Y84=0),"PASS","FAIL")</x:f>
        <x:v>PASS</x:v>
      </x:c>
    </x:row>
    <x:row r="85" ht="18" customHeight="1">
      <x:c r="A85" s="14" t="n">
        <x:v>188</x:v>
      </x:c>
      <x:c r="B85" s="14" t="n">
        <x:v>80</x:v>
      </x:c>
      <x:c r="C85" s="14" t="n">
        <x:v>182</x:v>
      </x:c>
      <x:c r="D85" s="14" t="n">
        <x:v>549</x:v>
      </x:c>
      <x:c r="E85" s="14" t="n">
        <x:v>196</x:v>
      </x:c>
      <x:c r="F85" s="14" t="n">
        <x:v>654</x:v>
      </x:c>
      <x:c r="G85" s="14" t="n">
        <x:v>594</x:v>
      </x:c>
      <x:c r="H85" s="14" t="n">
        <x:f>INT((F85-D85)*(A85-C85)/(E85-C85))+D85</x:f>
        <x:v>594</x:v>
      </x:c>
      <x:c r="I85" s="68" t="n">
        <x:f>H85-G85</x:f>
        <x:v>0</x:v>
      </x:c>
      <x:c r="J85" s="14" t="n">
        <x:v>3867</x:v>
      </x:c>
      <x:c r="K85" s="14" t="n">
        <x:f>INT(H85*'공식·설정'!$B$10/'공식·설정'!$B$15)</x:f>
        <x:v>3867</x:v>
      </x:c>
      <x:c r="L85" s="68" t="n">
        <x:f>K85-J85</x:f>
        <x:v>0</x:v>
      </x:c>
      <x:c r="M85" s="65" t="n">
        <x:f>J85/'공식·설정'!$B$7</x:f>
        <x:v>15.10546875</x:v>
      </x:c>
      <x:c r="N85" s="65" t="n">
        <x:f>K85/'공식·설정'!$B$7</x:f>
        <x:v>15.10546875</x:v>
      </x:c>
      <x:c r="O85" s="14" t="n">
        <x:v>2</x:v>
      </x:c>
      <x:c r="P85" s="14" t="n">
        <x:f>MIN(32767,MAX(0,INT((K85+INT('공식·설정'!$B$12/2))/'공식·설정'!$B$12)))</x:f>
        <x:v>2</x:v>
      </x:c>
      <x:c r="Q85" s="68" t="n">
        <x:f>P85-O85</x:f>
        <x:v>0</x:v>
      </x:c>
      <x:c r="R85" s="14" t="n">
        <x:v>13568</x:v>
      </x:c>
      <x:c r="S85" s="14" t="n">
        <x:f>P85*'공식·설정'!$B$12+'공식·설정'!$B$14</x:f>
        <x:v>13568</x:v>
      </x:c>
      <x:c r="T85" s="68" t="n">
        <x:f>S85-R85</x:f>
        <x:v>0</x:v>
      </x:c>
      <x:c r="U85" s="65" t="n">
        <x:f>R85/'공식·설정'!$B$7</x:f>
        <x:v>53</x:v>
      </x:c>
      <x:c r="V85" s="65" t="n">
        <x:f>S85/'공식·설정'!$B$7</x:f>
        <x:v>53</x:v>
      </x:c>
      <x:c r="W85" s="14" t="n">
        <x:v>762</x:v>
      </x:c>
      <x:c r="X85" s="14" t="n">
        <x:f>INT(ABS(K86-K85)*'공식·설정'!$B$8/K85)</x:f>
        <x:v>762</x:v>
      </x:c>
      <x:c r="Y85" s="68" t="n">
        <x:f>X85-W85</x:f>
        <x:v>0</x:v>
      </x:c>
      <x:c r="Z85" s="66" t="n">
        <x:f>W85/'공식·설정'!$B$8</x:f>
        <x:v>0.011627197265625</x:v>
      </x:c>
      <x:c r="AA85" s="66" t="n">
        <x:f>X85/'공식·설정'!$B$8</x:f>
        <x:v>0.011627197265625</x:v>
      </x:c>
      <x:c r="AB85" s="67" t="str">
        <x:f>IF(AND(I85=0,L85=0,Q85=0,T85=0,Y85=0),"PASS","FAIL")</x:f>
        <x:v>PASS</x:v>
      </x:c>
    </x:row>
    <x:row r="86" ht="18" customHeight="1">
      <x:c r="A86" s="14" t="n">
        <x:v>189</x:v>
      </x:c>
      <x:c r="B86" s="14" t="n">
        <x:v>81</x:v>
      </x:c>
      <x:c r="C86" s="14" t="n">
        <x:v>182</x:v>
      </x:c>
      <x:c r="D86" s="14" t="n">
        <x:v>549</x:v>
      </x:c>
      <x:c r="E86" s="14" t="n">
        <x:v>196</x:v>
      </x:c>
      <x:c r="F86" s="14" t="n">
        <x:v>654</x:v>
      </x:c>
      <x:c r="G86" s="14" t="n">
        <x:v>601</x:v>
      </x:c>
      <x:c r="H86" s="14" t="n">
        <x:f>INT((F86-D86)*(A86-C86)/(E86-C86))+D86</x:f>
        <x:v>601</x:v>
      </x:c>
      <x:c r="I86" s="68" t="n">
        <x:f>H86-G86</x:f>
        <x:v>0</x:v>
      </x:c>
      <x:c r="J86" s="14" t="n">
        <x:v>3912</x:v>
      </x:c>
      <x:c r="K86" s="14" t="n">
        <x:f>INT(H86*'공식·설정'!$B$10/'공식·설정'!$B$15)</x:f>
        <x:v>3912</x:v>
      </x:c>
      <x:c r="L86" s="68" t="n">
        <x:f>K86-J86</x:f>
        <x:v>0</x:v>
      </x:c>
      <x:c r="M86" s="65" t="n">
        <x:f>J86/'공식·설정'!$B$7</x:f>
        <x:v>15.28125</x:v>
      </x:c>
      <x:c r="N86" s="65" t="n">
        <x:f>K86/'공식·설정'!$B$7</x:f>
        <x:v>15.28125</x:v>
      </x:c>
      <x:c r="O86" s="14" t="n">
        <x:v>2</x:v>
      </x:c>
      <x:c r="P86" s="14" t="n">
        <x:f>MIN(32767,MAX(0,INT((K86+INT('공식·설정'!$B$12/2))/'공식·설정'!$B$12)))</x:f>
        <x:v>2</x:v>
      </x:c>
      <x:c r="Q86" s="68" t="n">
        <x:f>P86-O86</x:f>
        <x:v>0</x:v>
      </x:c>
      <x:c r="R86" s="14" t="n">
        <x:v>13568</x:v>
      </x:c>
      <x:c r="S86" s="14" t="n">
        <x:f>P86*'공식·설정'!$B$12+'공식·설정'!$B$14</x:f>
        <x:v>13568</x:v>
      </x:c>
      <x:c r="T86" s="68" t="n">
        <x:f>S86-R86</x:f>
        <x:v>0</x:v>
      </x:c>
      <x:c r="U86" s="65" t="n">
        <x:f>R86/'공식·설정'!$B$7</x:f>
        <x:v>53</x:v>
      </x:c>
      <x:c r="V86" s="65" t="n">
        <x:f>S86/'공식·설정'!$B$7</x:f>
        <x:v>53</x:v>
      </x:c>
      <x:c r="W86" s="14" t="n">
        <x:v>871</x:v>
      </x:c>
      <x:c r="X86" s="14" t="n">
        <x:f>INT(ABS(K87-K86)*'공식·설정'!$B$8/K86)</x:f>
        <x:v>871</x:v>
      </x:c>
      <x:c r="Y86" s="68" t="n">
        <x:f>X86-W86</x:f>
        <x:v>0</x:v>
      </x:c>
      <x:c r="Z86" s="66" t="n">
        <x:f>W86/'공식·설정'!$B$8</x:f>
        <x:v>0.0132904052734375</x:v>
      </x:c>
      <x:c r="AA86" s="66" t="n">
        <x:f>X86/'공식·설정'!$B$8</x:f>
        <x:v>0.0132904052734375</x:v>
      </x:c>
      <x:c r="AB86" s="67" t="str">
        <x:f>IF(AND(I86=0,L86=0,Q86=0,T86=0,Y86=0),"PASS","FAIL")</x:f>
        <x:v>PASS</x:v>
      </x:c>
    </x:row>
    <x:row r="87" ht="18" customHeight="1">
      <x:c r="A87" s="14" t="n">
        <x:v>190</x:v>
      </x:c>
      <x:c r="B87" s="14" t="n">
        <x:v>82</x:v>
      </x:c>
      <x:c r="C87" s="14" t="n">
        <x:v>182</x:v>
      </x:c>
      <x:c r="D87" s="14" t="n">
        <x:v>549</x:v>
      </x:c>
      <x:c r="E87" s="14" t="n">
        <x:v>196</x:v>
      </x:c>
      <x:c r="F87" s="14" t="n">
        <x:v>654</x:v>
      </x:c>
      <x:c r="G87" s="14" t="n">
        <x:v>609</x:v>
      </x:c>
      <x:c r="H87" s="14" t="n">
        <x:f>INT((F87-D87)*(A87-C87)/(E87-C87))+D87</x:f>
        <x:v>609</x:v>
      </x:c>
      <x:c r="I87" s="68" t="n">
        <x:f>H87-G87</x:f>
        <x:v>0</x:v>
      </x:c>
      <x:c r="J87" s="14" t="n">
        <x:v>3964</x:v>
      </x:c>
      <x:c r="K87" s="14" t="n">
        <x:f>INT(H87*'공식·설정'!$B$10/'공식·설정'!$B$15)</x:f>
        <x:v>3964</x:v>
      </x:c>
      <x:c r="L87" s="68" t="n">
        <x:f>K87-J87</x:f>
        <x:v>0</x:v>
      </x:c>
      <x:c r="M87" s="65" t="n">
        <x:f>J87/'공식·설정'!$B$7</x:f>
        <x:v>15.484375</x:v>
      </x:c>
      <x:c r="N87" s="65" t="n">
        <x:f>K87/'공식·설정'!$B$7</x:f>
        <x:v>15.484375</x:v>
      </x:c>
      <x:c r="O87" s="14" t="n">
        <x:v>2</x:v>
      </x:c>
      <x:c r="P87" s="14" t="n">
        <x:f>MIN(32767,MAX(0,INT((K87+INT('공식·설정'!$B$12/2))/'공식·설정'!$B$12)))</x:f>
        <x:v>2</x:v>
      </x:c>
      <x:c r="Q87" s="68" t="n">
        <x:f>P87-O87</x:f>
        <x:v>0</x:v>
      </x:c>
      <x:c r="R87" s="14" t="n">
        <x:v>13568</x:v>
      </x:c>
      <x:c r="S87" s="14" t="n">
        <x:f>P87*'공식·설정'!$B$12+'공식·설정'!$B$14</x:f>
        <x:v>13568</x:v>
      </x:c>
      <x:c r="T87" s="68" t="n">
        <x:f>S87-R87</x:f>
        <x:v>0</x:v>
      </x:c>
      <x:c r="U87" s="65" t="n">
        <x:f>R87/'공식·설정'!$B$7</x:f>
        <x:v>53</x:v>
      </x:c>
      <x:c r="V87" s="65" t="n">
        <x:f>S87/'공식·설정'!$B$7</x:f>
        <x:v>53</x:v>
      </x:c>
      <x:c r="W87" s="14" t="n">
        <x:v>760</x:v>
      </x:c>
      <x:c r="X87" s="14" t="n">
        <x:f>INT(ABS(K88-K87)*'공식·설정'!$B$8/K87)</x:f>
        <x:v>760</x:v>
      </x:c>
      <x:c r="Y87" s="68" t="n">
        <x:f>X87-W87</x:f>
        <x:v>0</x:v>
      </x:c>
      <x:c r="Z87" s="66" t="n">
        <x:f>W87/'공식·설정'!$B$8</x:f>
        <x:v>0.0115966796875</x:v>
      </x:c>
      <x:c r="AA87" s="66" t="n">
        <x:f>X87/'공식·설정'!$B$8</x:f>
        <x:v>0.0115966796875</x:v>
      </x:c>
      <x:c r="AB87" s="67" t="str">
        <x:f>IF(AND(I87=0,L87=0,Q87=0,T87=0,Y87=0),"PASS","FAIL")</x:f>
        <x:v>PASS</x:v>
      </x:c>
    </x:row>
    <x:row r="88" ht="18" customHeight="1">
      <x:c r="A88" s="14" t="n">
        <x:v>191</x:v>
      </x:c>
      <x:c r="B88" s="14" t="n">
        <x:v>83</x:v>
      </x:c>
      <x:c r="C88" s="14" t="n">
        <x:v>182</x:v>
      </x:c>
      <x:c r="D88" s="14" t="n">
        <x:v>549</x:v>
      </x:c>
      <x:c r="E88" s="14" t="n">
        <x:v>196</x:v>
      </x:c>
      <x:c r="F88" s="14" t="n">
        <x:v>654</x:v>
      </x:c>
      <x:c r="G88" s="14" t="n">
        <x:v>616</x:v>
      </x:c>
      <x:c r="H88" s="14" t="n">
        <x:f>INT((F88-D88)*(A88-C88)/(E88-C88))+D88</x:f>
        <x:v>616</x:v>
      </x:c>
      <x:c r="I88" s="68" t="n">
        <x:f>H88-G88</x:f>
        <x:v>0</x:v>
      </x:c>
      <x:c r="J88" s="14" t="n">
        <x:v>4010</x:v>
      </x:c>
      <x:c r="K88" s="14" t="n">
        <x:f>INT(H88*'공식·설정'!$B$10/'공식·설정'!$B$15)</x:f>
        <x:v>4010</x:v>
      </x:c>
      <x:c r="L88" s="68" t="n">
        <x:f>K88-J88</x:f>
        <x:v>0</x:v>
      </x:c>
      <x:c r="M88" s="65" t="n">
        <x:f>J88/'공식·설정'!$B$7</x:f>
        <x:v>15.6640625</x:v>
      </x:c>
      <x:c r="N88" s="65" t="n">
        <x:f>K88/'공식·설정'!$B$7</x:f>
        <x:v>15.6640625</x:v>
      </x:c>
      <x:c r="O88" s="14" t="n">
        <x:v>2</x:v>
      </x:c>
      <x:c r="P88" s="14" t="n">
        <x:f>MIN(32767,MAX(0,INT((K88+INT('공식·설정'!$B$12/2))/'공식·설정'!$B$12)))</x:f>
        <x:v>2</x:v>
      </x:c>
      <x:c r="Q88" s="68" t="n">
        <x:f>P88-O88</x:f>
        <x:v>0</x:v>
      </x:c>
      <x:c r="R88" s="14" t="n">
        <x:v>13568</x:v>
      </x:c>
      <x:c r="S88" s="14" t="n">
        <x:f>P88*'공식·설정'!$B$12+'공식·설정'!$B$14</x:f>
        <x:v>13568</x:v>
      </x:c>
      <x:c r="T88" s="68" t="n">
        <x:f>S88-R88</x:f>
        <x:v>0</x:v>
      </x:c>
      <x:c r="U88" s="65" t="n">
        <x:f>R88/'공식·설정'!$B$7</x:f>
        <x:v>53</x:v>
      </x:c>
      <x:c r="V88" s="65" t="n">
        <x:f>S88/'공식·설정'!$B$7</x:f>
        <x:v>53</x:v>
      </x:c>
      <x:c r="W88" s="14" t="n">
        <x:v>849</x:v>
      </x:c>
      <x:c r="X88" s="14" t="n">
        <x:f>INT(ABS(K89-K88)*'공식·설정'!$B$8/K88)</x:f>
        <x:v>849</x:v>
      </x:c>
      <x:c r="Y88" s="68" t="n">
        <x:f>X88-W88</x:f>
        <x:v>0</x:v>
      </x:c>
      <x:c r="Z88" s="66" t="n">
        <x:f>W88/'공식·설정'!$B$8</x:f>
        <x:v>0.0129547119140625</x:v>
      </x:c>
      <x:c r="AA88" s="66" t="n">
        <x:f>X88/'공식·설정'!$B$8</x:f>
        <x:v>0.0129547119140625</x:v>
      </x:c>
      <x:c r="AB88" s="67" t="str">
        <x:f>IF(AND(I88=0,L88=0,Q88=0,T88=0,Y88=0),"PASS","FAIL")</x:f>
        <x:v>PASS</x:v>
      </x:c>
    </x:row>
    <x:row r="89" ht="18" customHeight="1">
      <x:c r="A89" s="14" t="n">
        <x:v>192</x:v>
      </x:c>
      <x:c r="B89" s="14" t="n">
        <x:v>84</x:v>
      </x:c>
      <x:c r="C89" s="14" t="n">
        <x:v>182</x:v>
      </x:c>
      <x:c r="D89" s="14" t="n">
        <x:v>549</x:v>
      </x:c>
      <x:c r="E89" s="14" t="n">
        <x:v>196</x:v>
      </x:c>
      <x:c r="F89" s="14" t="n">
        <x:v>654</x:v>
      </x:c>
      <x:c r="G89" s="14" t="n">
        <x:v>624</x:v>
      </x:c>
      <x:c r="H89" s="14" t="n">
        <x:f>INT((F89-D89)*(A89-C89)/(E89-C89))+D89</x:f>
        <x:v>624</x:v>
      </x:c>
      <x:c r="I89" s="68" t="n">
        <x:f>H89-G89</x:f>
        <x:v>0</x:v>
      </x:c>
      <x:c r="J89" s="14" t="n">
        <x:v>4062</x:v>
      </x:c>
      <x:c r="K89" s="14" t="n">
        <x:f>INT(H89*'공식·설정'!$B$10/'공식·설정'!$B$15)</x:f>
        <x:v>4062</x:v>
      </x:c>
      <x:c r="L89" s="68" t="n">
        <x:f>K89-J89</x:f>
        <x:v>0</x:v>
      </x:c>
      <x:c r="M89" s="65" t="n">
        <x:f>J89/'공식·설정'!$B$7</x:f>
        <x:v>15.8671875</x:v>
      </x:c>
      <x:c r="N89" s="65" t="n">
        <x:f>K89/'공식·설정'!$B$7</x:f>
        <x:v>15.8671875</x:v>
      </x:c>
      <x:c r="O89" s="14" t="n">
        <x:v>2</x:v>
      </x:c>
      <x:c r="P89" s="14" t="n">
        <x:f>MIN(32767,MAX(0,INT((K89+INT('공식·설정'!$B$12/2))/'공식·설정'!$B$12)))</x:f>
        <x:v>2</x:v>
      </x:c>
      <x:c r="Q89" s="68" t="n">
        <x:f>P89-O89</x:f>
        <x:v>0</x:v>
      </x:c>
      <x:c r="R89" s="14" t="n">
        <x:v>13568</x:v>
      </x:c>
      <x:c r="S89" s="14" t="n">
        <x:f>P89*'공식·설정'!$B$12+'공식·설정'!$B$14</x:f>
        <x:v>13568</x:v>
      </x:c>
      <x:c r="T89" s="68" t="n">
        <x:f>S89-R89</x:f>
        <x:v>0</x:v>
      </x:c>
      <x:c r="U89" s="65" t="n">
        <x:f>R89/'공식·설정'!$B$7</x:f>
        <x:v>53</x:v>
      </x:c>
      <x:c r="V89" s="65" t="n">
        <x:f>S89/'공식·설정'!$B$7</x:f>
        <x:v>53</x:v>
      </x:c>
      <x:c r="W89" s="14" t="n">
        <x:v>726</x:v>
      </x:c>
      <x:c r="X89" s="14" t="n">
        <x:f>INT(ABS(K90-K89)*'공식·설정'!$B$8/K89)</x:f>
        <x:v>726</x:v>
      </x:c>
      <x:c r="Y89" s="68" t="n">
        <x:f>X89-W89</x:f>
        <x:v>0</x:v>
      </x:c>
      <x:c r="Z89" s="66" t="n">
        <x:f>W89/'공식·설정'!$B$8</x:f>
        <x:v>0.011077880859375</x:v>
      </x:c>
      <x:c r="AA89" s="66" t="n">
        <x:f>X89/'공식·설정'!$B$8</x:f>
        <x:v>0.011077880859375</x:v>
      </x:c>
      <x:c r="AB89" s="67" t="str">
        <x:f>IF(AND(I89=0,L89=0,Q89=0,T89=0,Y89=0),"PASS","FAIL")</x:f>
        <x:v>PASS</x:v>
      </x:c>
    </x:row>
    <x:row r="90" ht="18" customHeight="1">
      <x:c r="A90" s="14" t="n">
        <x:v>193</x:v>
      </x:c>
      <x:c r="B90" s="14" t="n">
        <x:v>85</x:v>
      </x:c>
      <x:c r="C90" s="14" t="n">
        <x:v>182</x:v>
      </x:c>
      <x:c r="D90" s="14" t="n">
        <x:v>549</x:v>
      </x:c>
      <x:c r="E90" s="14" t="n">
        <x:v>196</x:v>
      </x:c>
      <x:c r="F90" s="14" t="n">
        <x:v>654</x:v>
      </x:c>
      <x:c r="G90" s="14" t="n">
        <x:v>631</x:v>
      </x:c>
      <x:c r="H90" s="14" t="n">
        <x:f>INT((F90-D90)*(A90-C90)/(E90-C90))+D90</x:f>
        <x:v>631</x:v>
      </x:c>
      <x:c r="I90" s="68" t="n">
        <x:f>H90-G90</x:f>
        <x:v>0</x:v>
      </x:c>
      <x:c r="J90" s="14" t="n">
        <x:v>4107</x:v>
      </x:c>
      <x:c r="K90" s="14" t="n">
        <x:f>INT(H90*'공식·설정'!$B$10/'공식·설정'!$B$15)</x:f>
        <x:v>4107</x:v>
      </x:c>
      <x:c r="L90" s="68" t="n">
        <x:f>K90-J90</x:f>
        <x:v>0</x:v>
      </x:c>
      <x:c r="M90" s="65" t="n">
        <x:f>J90/'공식·설정'!$B$7</x:f>
        <x:v>16.04296875</x:v>
      </x:c>
      <x:c r="N90" s="65" t="n">
        <x:f>K90/'공식·설정'!$B$7</x:f>
        <x:v>16.04296875</x:v>
      </x:c>
      <x:c r="O90" s="14" t="n">
        <x:v>2</x:v>
      </x:c>
      <x:c r="P90" s="14" t="n">
        <x:f>MIN(32767,MAX(0,INT((K90+INT('공식·설정'!$B$12/2))/'공식·설정'!$B$12)))</x:f>
        <x:v>2</x:v>
      </x:c>
      <x:c r="Q90" s="68" t="n">
        <x:f>P90-O90</x:f>
        <x:v>0</x:v>
      </x:c>
      <x:c r="R90" s="14" t="n">
        <x:v>13568</x:v>
      </x:c>
      <x:c r="S90" s="14" t="n">
        <x:f>P90*'공식·설정'!$B$12+'공식·설정'!$B$14</x:f>
        <x:v>13568</x:v>
      </x:c>
      <x:c r="T90" s="68" t="n">
        <x:f>S90-R90</x:f>
        <x:v>0</x:v>
      </x:c>
      <x:c r="U90" s="65" t="n">
        <x:f>R90/'공식·설정'!$B$7</x:f>
        <x:v>53</x:v>
      </x:c>
      <x:c r="V90" s="65" t="n">
        <x:f>S90/'공식·설정'!$B$7</x:f>
        <x:v>53</x:v>
      </x:c>
      <x:c r="W90" s="14" t="n">
        <x:v>845</x:v>
      </x:c>
      <x:c r="X90" s="14" t="n">
        <x:f>INT(ABS(K91-K90)*'공식·설정'!$B$8/K90)</x:f>
        <x:v>845</x:v>
      </x:c>
      <x:c r="Y90" s="68" t="n">
        <x:f>X90-W90</x:f>
        <x:v>0</x:v>
      </x:c>
      <x:c r="Z90" s="66" t="n">
        <x:f>W90/'공식·설정'!$B$8</x:f>
        <x:v>0.0128936767578125</x:v>
      </x:c>
      <x:c r="AA90" s="66" t="n">
        <x:f>X90/'공식·설정'!$B$8</x:f>
        <x:v>0.0128936767578125</x:v>
      </x:c>
      <x:c r="AB90" s="67" t="str">
        <x:f>IF(AND(I90=0,L90=0,Q90=0,T90=0,Y90=0),"PASS","FAIL")</x:f>
        <x:v>PASS</x:v>
      </x:c>
    </x:row>
    <x:row r="91" ht="18" customHeight="1">
      <x:c r="A91" s="14" t="n">
        <x:v>194</x:v>
      </x:c>
      <x:c r="B91" s="14" t="n">
        <x:v>86</x:v>
      </x:c>
      <x:c r="C91" s="14" t="n">
        <x:v>182</x:v>
      </x:c>
      <x:c r="D91" s="14" t="n">
        <x:v>549</x:v>
      </x:c>
      <x:c r="E91" s="14" t="n">
        <x:v>196</x:v>
      </x:c>
      <x:c r="F91" s="14" t="n">
        <x:v>654</x:v>
      </x:c>
      <x:c r="G91" s="14" t="n">
        <x:v>639</x:v>
      </x:c>
      <x:c r="H91" s="14" t="n">
        <x:f>INT((F91-D91)*(A91-C91)/(E91-C91))+D91</x:f>
        <x:v>639</x:v>
      </x:c>
      <x:c r="I91" s="68" t="n">
        <x:f>H91-G91</x:f>
        <x:v>0</x:v>
      </x:c>
      <x:c r="J91" s="14" t="n">
        <x:v>4160</x:v>
      </x:c>
      <x:c r="K91" s="14" t="n">
        <x:f>INT(H91*'공식·설정'!$B$10/'공식·설정'!$B$15)</x:f>
        <x:v>4160</x:v>
      </x:c>
      <x:c r="L91" s="68" t="n">
        <x:f>K91-J91</x:f>
        <x:v>0</x:v>
      </x:c>
      <x:c r="M91" s="65" t="n">
        <x:f>J91/'공식·설정'!$B$7</x:f>
        <x:v>16.25</x:v>
      </x:c>
      <x:c r="N91" s="65" t="n">
        <x:f>K91/'공식·설정'!$B$7</x:f>
        <x:v>16.25</x:v>
      </x:c>
      <x:c r="O91" s="14" t="n">
        <x:v>2</x:v>
      </x:c>
      <x:c r="P91" s="14" t="n">
        <x:f>MIN(32767,MAX(0,INT((K91+INT('공식·설정'!$B$12/2))/'공식·설정'!$B$12)))</x:f>
        <x:v>2</x:v>
      </x:c>
      <x:c r="Q91" s="68" t="n">
        <x:f>P91-O91</x:f>
        <x:v>0</x:v>
      </x:c>
      <x:c r="R91" s="14" t="n">
        <x:v>13568</x:v>
      </x:c>
      <x:c r="S91" s="14" t="n">
        <x:f>P91*'공식·설정'!$B$12+'공식·설정'!$B$14</x:f>
        <x:v>13568</x:v>
      </x:c>
      <x:c r="T91" s="68" t="n">
        <x:f>S91-R91</x:f>
        <x:v>0</x:v>
      </x:c>
      <x:c r="U91" s="65" t="n">
        <x:f>R91/'공식·설정'!$B$7</x:f>
        <x:v>53</x:v>
      </x:c>
      <x:c r="V91" s="65" t="n">
        <x:f>S91/'공식·설정'!$B$7</x:f>
        <x:v>53</x:v>
      </x:c>
      <x:c r="W91" s="14" t="n">
        <x:v>708</x:v>
      </x:c>
      <x:c r="X91" s="14" t="n">
        <x:f>INT(ABS(K92-K91)*'공식·설정'!$B$8/K91)</x:f>
        <x:v>708</x:v>
      </x:c>
      <x:c r="Y91" s="68" t="n">
        <x:f>X91-W91</x:f>
        <x:v>0</x:v>
      </x:c>
      <x:c r="Z91" s="66" t="n">
        <x:f>W91/'공식·설정'!$B$8</x:f>
        <x:v>0.01080322265625</x:v>
      </x:c>
      <x:c r="AA91" s="66" t="n">
        <x:f>X91/'공식·설정'!$B$8</x:f>
        <x:v>0.01080322265625</x:v>
      </x:c>
      <x:c r="AB91" s="67" t="str">
        <x:f>IF(AND(I91=0,L91=0,Q91=0,T91=0,Y91=0),"PASS","FAIL")</x:f>
        <x:v>PASS</x:v>
      </x:c>
    </x:row>
    <x:row r="92" ht="18" customHeight="1">
      <x:c r="A92" s="14" t="n">
        <x:v>195</x:v>
      </x:c>
      <x:c r="B92" s="14" t="n">
        <x:v>87</x:v>
      </x:c>
      <x:c r="C92" s="14" t="n">
        <x:v>182</x:v>
      </x:c>
      <x:c r="D92" s="14" t="n">
        <x:v>549</x:v>
      </x:c>
      <x:c r="E92" s="14" t="n">
        <x:v>196</x:v>
      </x:c>
      <x:c r="F92" s="14" t="n">
        <x:v>654</x:v>
      </x:c>
      <x:c r="G92" s="14" t="n">
        <x:v>646</x:v>
      </x:c>
      <x:c r="H92" s="14" t="n">
        <x:f>INT((F92-D92)*(A92-C92)/(E92-C92))+D92</x:f>
        <x:v>646</x:v>
      </x:c>
      <x:c r="I92" s="68" t="n">
        <x:f>H92-G92</x:f>
        <x:v>0</x:v>
      </x:c>
      <x:c r="J92" s="14" t="n">
        <x:v>4205</x:v>
      </x:c>
      <x:c r="K92" s="14" t="n">
        <x:f>INT(H92*'공식·설정'!$B$10/'공식·설정'!$B$15)</x:f>
        <x:v>4205</x:v>
      </x:c>
      <x:c r="L92" s="68" t="n">
        <x:f>K92-J92</x:f>
        <x:v>0</x:v>
      </x:c>
      <x:c r="M92" s="65" t="n">
        <x:f>J92/'공식·설정'!$B$7</x:f>
        <x:v>16.42578125</x:v>
      </x:c>
      <x:c r="N92" s="65" t="n">
        <x:f>K92/'공식·설정'!$B$7</x:f>
        <x:v>16.42578125</x:v>
      </x:c>
      <x:c r="O92" s="14" t="n">
        <x:v>2</x:v>
      </x:c>
      <x:c r="P92" s="14" t="n">
        <x:f>MIN(32767,MAX(0,INT((K92+INT('공식·설정'!$B$12/2))/'공식·설정'!$B$12)))</x:f>
        <x:v>2</x:v>
      </x:c>
      <x:c r="Q92" s="68" t="n">
        <x:f>P92-O92</x:f>
        <x:v>0</x:v>
      </x:c>
      <x:c r="R92" s="14" t="n">
        <x:v>13568</x:v>
      </x:c>
      <x:c r="S92" s="14" t="n">
        <x:f>P92*'공식·설정'!$B$12+'공식·설정'!$B$14</x:f>
        <x:v>13568</x:v>
      </x:c>
      <x:c r="T92" s="68" t="n">
        <x:f>S92-R92</x:f>
        <x:v>0</x:v>
      </x:c>
      <x:c r="U92" s="65" t="n">
        <x:f>R92/'공식·설정'!$B$7</x:f>
        <x:v>53</x:v>
      </x:c>
      <x:c r="V92" s="65" t="n">
        <x:f>S92/'공식·설정'!$B$7</x:f>
        <x:v>53</x:v>
      </x:c>
      <x:c r="W92" s="14" t="n">
        <x:v>810</x:v>
      </x:c>
      <x:c r="X92" s="14" t="n">
        <x:f>INT(ABS(K93-K92)*'공식·설정'!$B$8/K92)</x:f>
        <x:v>810</x:v>
      </x:c>
      <x:c r="Y92" s="68" t="n">
        <x:f>X92-W92</x:f>
        <x:v>0</x:v>
      </x:c>
      <x:c r="Z92" s="66" t="n">
        <x:f>W92/'공식·설정'!$B$8</x:f>
        <x:v>0.012359619140625</x:v>
      </x:c>
      <x:c r="AA92" s="66" t="n">
        <x:f>X92/'공식·설정'!$B$8</x:f>
        <x:v>0.012359619140625</x:v>
      </x:c>
      <x:c r="AB92" s="67" t="str">
        <x:f>IF(AND(I92=0,L92=0,Q92=0,T92=0,Y92=0),"PASS","FAIL")</x:f>
        <x:v>PASS</x:v>
      </x:c>
    </x:row>
    <x:row r="93" ht="18" customHeight="1">
      <x:c r="A93" s="14" t="n">
        <x:v>196</x:v>
      </x:c>
      <x:c r="B93" s="14" t="n">
        <x:v>88</x:v>
      </x:c>
      <x:c r="C93" s="14" t="n">
        <x:v>196</x:v>
      </x:c>
      <x:c r="D93" s="14" t="n">
        <x:v>654</x:v>
      </x:c>
      <x:c r="E93" s="14" t="n">
        <x:v>210</x:v>
      </x:c>
      <x:c r="F93" s="14" t="n">
        <x:v>775</x:v>
      </x:c>
      <x:c r="G93" s="14" t="n">
        <x:v>654</x:v>
      </x:c>
      <x:c r="H93" s="14" t="n">
        <x:f>INT((F93-D93)*(A93-C93)/(E93-C93))+D93</x:f>
        <x:v>654</x:v>
      </x:c>
      <x:c r="I93" s="68" t="n">
        <x:f>H93-G93</x:f>
        <x:v>0</x:v>
      </x:c>
      <x:c r="J93" s="14" t="n">
        <x:v>4257</x:v>
      </x:c>
      <x:c r="K93" s="14" t="n">
        <x:f>INT(H93*'공식·설정'!$B$10/'공식·설정'!$B$15)</x:f>
        <x:v>4257</x:v>
      </x:c>
      <x:c r="L93" s="68" t="n">
        <x:f>K93-J93</x:f>
        <x:v>0</x:v>
      </x:c>
      <x:c r="M93" s="65" t="n">
        <x:f>J93/'공식·설정'!$B$7</x:f>
        <x:v>16.62890625</x:v>
      </x:c>
      <x:c r="N93" s="65" t="n">
        <x:f>K93/'공식·설정'!$B$7</x:f>
        <x:v>16.62890625</x:v>
      </x:c>
      <x:c r="O93" s="14" t="n">
        <x:v>2</x:v>
      </x:c>
      <x:c r="P93" s="14" t="n">
        <x:f>MIN(32767,MAX(0,INT((K93+INT('공식·설정'!$B$12/2))/'공식·설정'!$B$12)))</x:f>
        <x:v>2</x:v>
      </x:c>
      <x:c r="Q93" s="68" t="n">
        <x:f>P93-O93</x:f>
        <x:v>0</x:v>
      </x:c>
      <x:c r="R93" s="14" t="n">
        <x:v>13568</x:v>
      </x:c>
      <x:c r="S93" s="14" t="n">
        <x:f>P93*'공식·설정'!$B$12+'공식·설정'!$B$14</x:f>
        <x:v>13568</x:v>
      </x:c>
      <x:c r="T93" s="68" t="n">
        <x:f>S93-R93</x:f>
        <x:v>0</x:v>
      </x:c>
      <x:c r="U93" s="65" t="n">
        <x:f>R93/'공식·설정'!$B$7</x:f>
        <x:v>53</x:v>
      </x:c>
      <x:c r="V93" s="65" t="n">
        <x:f>S93/'공식·설정'!$B$7</x:f>
        <x:v>53</x:v>
      </x:c>
      <x:c r="W93" s="14" t="n">
        <x:v>800</x:v>
      </x:c>
      <x:c r="X93" s="14" t="n">
        <x:f>INT(ABS(K94-K93)*'공식·설정'!$B$8/K93)</x:f>
        <x:v>800</x:v>
      </x:c>
      <x:c r="Y93" s="68" t="n">
        <x:f>X93-W93</x:f>
        <x:v>0</x:v>
      </x:c>
      <x:c r="Z93" s="66" t="n">
        <x:f>W93/'공식·설정'!$B$8</x:f>
        <x:v>0.01220703125</x:v>
      </x:c>
      <x:c r="AA93" s="66" t="n">
        <x:f>X93/'공식·설정'!$B$8</x:f>
        <x:v>0.01220703125</x:v>
      </x:c>
      <x:c r="AB93" s="67" t="str">
        <x:f>IF(AND(I93=0,L93=0,Q93=0,T93=0,Y93=0),"PASS","FAIL")</x:f>
        <x:v>PASS</x:v>
      </x:c>
    </x:row>
    <x:row r="94" ht="18" customHeight="1">
      <x:c r="A94" s="14" t="n">
        <x:v>197</x:v>
      </x:c>
      <x:c r="B94" s="14" t="n">
        <x:v>89</x:v>
      </x:c>
      <x:c r="C94" s="14" t="n">
        <x:v>196</x:v>
      </x:c>
      <x:c r="D94" s="14" t="n">
        <x:v>654</x:v>
      </x:c>
      <x:c r="E94" s="14" t="n">
        <x:v>210</x:v>
      </x:c>
      <x:c r="F94" s="14" t="n">
        <x:v>775</x:v>
      </x:c>
      <x:c r="G94" s="14" t="n">
        <x:v>662</x:v>
      </x:c>
      <x:c r="H94" s="14" t="n">
        <x:f>INT((F94-D94)*(A94-C94)/(E94-C94))+D94</x:f>
        <x:v>662</x:v>
      </x:c>
      <x:c r="I94" s="68" t="n">
        <x:f>H94-G94</x:f>
        <x:v>0</x:v>
      </x:c>
      <x:c r="J94" s="14" t="n">
        <x:v>4309</x:v>
      </x:c>
      <x:c r="K94" s="14" t="n">
        <x:f>INT(H94*'공식·설정'!$B$10/'공식·설정'!$B$15)</x:f>
        <x:v>4309</x:v>
      </x:c>
      <x:c r="L94" s="68" t="n">
        <x:f>K94-J94</x:f>
        <x:v>0</x:v>
      </x:c>
      <x:c r="M94" s="65" t="n">
        <x:f>J94/'공식·설정'!$B$7</x:f>
        <x:v>16.83203125</x:v>
      </x:c>
      <x:c r="N94" s="65" t="n">
        <x:f>K94/'공식·설정'!$B$7</x:f>
        <x:v>16.83203125</x:v>
      </x:c>
      <x:c r="O94" s="14" t="n">
        <x:v>2</x:v>
      </x:c>
      <x:c r="P94" s="14" t="n">
        <x:f>MIN(32767,MAX(0,INT((K94+INT('공식·설정'!$B$12/2))/'공식·설정'!$B$12)))</x:f>
        <x:v>2</x:v>
      </x:c>
      <x:c r="Q94" s="68" t="n">
        <x:f>P94-O94</x:f>
        <x:v>0</x:v>
      </x:c>
      <x:c r="R94" s="14" t="n">
        <x:v>13568</x:v>
      </x:c>
      <x:c r="S94" s="14" t="n">
        <x:f>P94*'공식·설정'!$B$12+'공식·설정'!$B$14</x:f>
        <x:v>13568</x:v>
      </x:c>
      <x:c r="T94" s="68" t="n">
        <x:f>S94-R94</x:f>
        <x:v>0</x:v>
      </x:c>
      <x:c r="U94" s="65" t="n">
        <x:f>R94/'공식·설정'!$B$7</x:f>
        <x:v>53</x:v>
      </x:c>
      <x:c r="V94" s="65" t="n">
        <x:f>S94/'공식·설정'!$B$7</x:f>
        <x:v>53</x:v>
      </x:c>
      <x:c r="W94" s="14" t="n">
        <x:v>897</x:v>
      </x:c>
      <x:c r="X94" s="14" t="n">
        <x:f>INT(ABS(K95-K94)*'공식·설정'!$B$8/K94)</x:f>
        <x:v>897</x:v>
      </x:c>
      <x:c r="Y94" s="68" t="n">
        <x:f>X94-W94</x:f>
        <x:v>0</x:v>
      </x:c>
      <x:c r="Z94" s="66" t="n">
        <x:f>W94/'공식·설정'!$B$8</x:f>
        <x:v>0.0136871337890625</x:v>
      </x:c>
      <x:c r="AA94" s="66" t="n">
        <x:f>X94/'공식·설정'!$B$8</x:f>
        <x:v>0.0136871337890625</x:v>
      </x:c>
      <x:c r="AB94" s="67" t="str">
        <x:f>IF(AND(I94=0,L94=0,Q94=0,T94=0,Y94=0),"PASS","FAIL")</x:f>
        <x:v>PASS</x:v>
      </x:c>
    </x:row>
    <x:row r="95" ht="18" customHeight="1">
      <x:c r="A95" s="14" t="n">
        <x:v>198</x:v>
      </x:c>
      <x:c r="B95" s="14" t="n">
        <x:v>90</x:v>
      </x:c>
      <x:c r="C95" s="14" t="n">
        <x:v>196</x:v>
      </x:c>
      <x:c r="D95" s="14" t="n">
        <x:v>654</x:v>
      </x:c>
      <x:c r="E95" s="14" t="n">
        <x:v>210</x:v>
      </x:c>
      <x:c r="F95" s="14" t="n">
        <x:v>775</x:v>
      </x:c>
      <x:c r="G95" s="14" t="n">
        <x:v>671</x:v>
      </x:c>
      <x:c r="H95" s="14" t="n">
        <x:f>INT((F95-D95)*(A95-C95)/(E95-C95))+D95</x:f>
        <x:v>671</x:v>
      </x:c>
      <x:c r="I95" s="68" t="n">
        <x:f>H95-G95</x:f>
        <x:v>0</x:v>
      </x:c>
      <x:c r="J95" s="14" t="n">
        <x:v>4368</x:v>
      </x:c>
      <x:c r="K95" s="14" t="n">
        <x:f>INT(H95*'공식·설정'!$B$10/'공식·설정'!$B$15)</x:f>
        <x:v>4368</x:v>
      </x:c>
      <x:c r="L95" s="68" t="n">
        <x:f>K95-J95</x:f>
        <x:v>0</x:v>
      </x:c>
      <x:c r="M95" s="65" t="n">
        <x:f>J95/'공식·설정'!$B$7</x:f>
        <x:v>17.0625</x:v>
      </x:c>
      <x:c r="N95" s="65" t="n">
        <x:f>K95/'공식·설정'!$B$7</x:f>
        <x:v>17.0625</x:v>
      </x:c>
      <x:c r="O95" s="14" t="n">
        <x:v>2</x:v>
      </x:c>
      <x:c r="P95" s="14" t="n">
        <x:f>MIN(32767,MAX(0,INT((K95+INT('공식·설정'!$B$12/2))/'공식·설정'!$B$12)))</x:f>
        <x:v>2</x:v>
      </x:c>
      <x:c r="Q95" s="68" t="n">
        <x:f>P95-O95</x:f>
        <x:v>0</x:v>
      </x:c>
      <x:c r="R95" s="14" t="n">
        <x:v>13568</x:v>
      </x:c>
      <x:c r="S95" s="14" t="n">
        <x:f>P95*'공식·설정'!$B$12+'공식·설정'!$B$14</x:f>
        <x:v>13568</x:v>
      </x:c>
      <x:c r="T95" s="68" t="n">
        <x:f>S95-R95</x:f>
        <x:v>0</x:v>
      </x:c>
      <x:c r="U95" s="65" t="n">
        <x:f>R95/'공식·설정'!$B$7</x:f>
        <x:v>53</x:v>
      </x:c>
      <x:c r="V95" s="65" t="n">
        <x:f>S95/'공식·설정'!$B$7</x:f>
        <x:v>53</x:v>
      </x:c>
      <x:c r="W95" s="14" t="n">
        <x:v>780</x:v>
      </x:c>
      <x:c r="X95" s="14" t="n">
        <x:f>INT(ABS(K96-K95)*'공식·설정'!$B$8/K95)</x:f>
        <x:v>780</x:v>
      </x:c>
      <x:c r="Y95" s="68" t="n">
        <x:f>X95-W95</x:f>
        <x:v>0</x:v>
      </x:c>
      <x:c r="Z95" s="66" t="n">
        <x:f>W95/'공식·설정'!$B$8</x:f>
        <x:v>0.01190185546875</x:v>
      </x:c>
      <x:c r="AA95" s="66" t="n">
        <x:f>X95/'공식·설정'!$B$8</x:f>
        <x:v>0.01190185546875</x:v>
      </x:c>
      <x:c r="AB95" s="67" t="str">
        <x:f>IF(AND(I95=0,L95=0,Q95=0,T95=0,Y95=0),"PASS","FAIL")</x:f>
        <x:v>PASS</x:v>
      </x:c>
    </x:row>
    <x:row r="96" ht="18" customHeight="1">
      <x:c r="A96" s="14" t="n">
        <x:v>199</x:v>
      </x:c>
      <x:c r="B96" s="14" t="n">
        <x:v>91</x:v>
      </x:c>
      <x:c r="C96" s="14" t="n">
        <x:v>196</x:v>
      </x:c>
      <x:c r="D96" s="14" t="n">
        <x:v>654</x:v>
      </x:c>
      <x:c r="E96" s="14" t="n">
        <x:v>210</x:v>
      </x:c>
      <x:c r="F96" s="14" t="n">
        <x:v>775</x:v>
      </x:c>
      <x:c r="G96" s="14" t="n">
        <x:v>679</x:v>
      </x:c>
      <x:c r="H96" s="14" t="n">
        <x:f>INT((F96-D96)*(A96-C96)/(E96-C96))+D96</x:f>
        <x:v>679</x:v>
      </x:c>
      <x:c r="I96" s="68" t="n">
        <x:f>H96-G96</x:f>
        <x:v>0</x:v>
      </x:c>
      <x:c r="J96" s="14" t="n">
        <x:v>4420</x:v>
      </x:c>
      <x:c r="K96" s="14" t="n">
        <x:f>INT(H96*'공식·설정'!$B$10/'공식·설정'!$B$15)</x:f>
        <x:v>4420</x:v>
      </x:c>
      <x:c r="L96" s="68" t="n">
        <x:f>K96-J96</x:f>
        <x:v>0</x:v>
      </x:c>
      <x:c r="M96" s="65" t="n">
        <x:f>J96/'공식·설정'!$B$7</x:f>
        <x:v>17.265625</x:v>
      </x:c>
      <x:c r="N96" s="65" t="n">
        <x:f>K96/'공식·설정'!$B$7</x:f>
        <x:v>17.265625</x:v>
      </x:c>
      <x:c r="O96" s="14" t="n">
        <x:v>2</x:v>
      </x:c>
      <x:c r="P96" s="14" t="n">
        <x:f>MIN(32767,MAX(0,INT((K96+INT('공식·설정'!$B$12/2))/'공식·설정'!$B$12)))</x:f>
        <x:v>2</x:v>
      </x:c>
      <x:c r="Q96" s="68" t="n">
        <x:f>P96-O96</x:f>
        <x:v>0</x:v>
      </x:c>
      <x:c r="R96" s="14" t="n">
        <x:v>13568</x:v>
      </x:c>
      <x:c r="S96" s="14" t="n">
        <x:f>P96*'공식·설정'!$B$12+'공식·설정'!$B$14</x:f>
        <x:v>13568</x:v>
      </x:c>
      <x:c r="T96" s="68" t="n">
        <x:f>S96-R96</x:f>
        <x:v>0</x:v>
      </x:c>
      <x:c r="U96" s="65" t="n">
        <x:f>R96/'공식·설정'!$B$7</x:f>
        <x:v>53</x:v>
      </x:c>
      <x:c r="V96" s="65" t="n">
        <x:f>S96/'공식·설정'!$B$7</x:f>
        <x:v>53</x:v>
      </x:c>
      <x:c r="W96" s="14" t="n">
        <x:v>874</x:v>
      </x:c>
      <x:c r="X96" s="14" t="n">
        <x:f>INT(ABS(K97-K96)*'공식·설정'!$B$8/K96)</x:f>
        <x:v>874</x:v>
      </x:c>
      <x:c r="Y96" s="68" t="n">
        <x:f>X96-W96</x:f>
        <x:v>0</x:v>
      </x:c>
      <x:c r="Z96" s="66" t="n">
        <x:f>W96/'공식·설정'!$B$8</x:f>
        <x:v>0.013336181640625</x:v>
      </x:c>
      <x:c r="AA96" s="66" t="n">
        <x:f>X96/'공식·설정'!$B$8</x:f>
        <x:v>0.013336181640625</x:v>
      </x:c>
      <x:c r="AB96" s="67" t="str">
        <x:f>IF(AND(I96=0,L96=0,Q96=0,T96=0,Y96=0),"PASS","FAIL")</x:f>
        <x:v>PASS</x:v>
      </x:c>
    </x:row>
    <x:row r="97" ht="18" customHeight="1">
      <x:c r="A97" s="14" t="n">
        <x:v>200</x:v>
      </x:c>
      <x:c r="B97" s="14" t="n">
        <x:v>92</x:v>
      </x:c>
      <x:c r="C97" s="14" t="n">
        <x:v>196</x:v>
      </x:c>
      <x:c r="D97" s="14" t="n">
        <x:v>654</x:v>
      </x:c>
      <x:c r="E97" s="14" t="n">
        <x:v>210</x:v>
      </x:c>
      <x:c r="F97" s="14" t="n">
        <x:v>775</x:v>
      </x:c>
      <x:c r="G97" s="14" t="n">
        <x:v>688</x:v>
      </x:c>
      <x:c r="H97" s="14" t="n">
        <x:f>INT((F97-D97)*(A97-C97)/(E97-C97))+D97</x:f>
        <x:v>688</x:v>
      </x:c>
      <x:c r="I97" s="68" t="n">
        <x:f>H97-G97</x:f>
        <x:v>0</x:v>
      </x:c>
      <x:c r="J97" s="14" t="n">
        <x:v>4479</x:v>
      </x:c>
      <x:c r="K97" s="14" t="n">
        <x:f>INT(H97*'공식·설정'!$B$10/'공식·설정'!$B$15)</x:f>
        <x:v>4479</x:v>
      </x:c>
      <x:c r="L97" s="68" t="n">
        <x:f>K97-J97</x:f>
        <x:v>0</x:v>
      </x:c>
      <x:c r="M97" s="65" t="n">
        <x:f>J97/'공식·설정'!$B$7</x:f>
        <x:v>17.49609375</x:v>
      </x:c>
      <x:c r="N97" s="65" t="n">
        <x:f>K97/'공식·설정'!$B$7</x:f>
        <x:v>17.49609375</x:v>
      </x:c>
      <x:c r="O97" s="14" t="n">
        <x:v>2</x:v>
      </x:c>
      <x:c r="P97" s="14" t="n">
        <x:f>MIN(32767,MAX(0,INT((K97+INT('공식·설정'!$B$12/2))/'공식·설정'!$B$12)))</x:f>
        <x:v>2</x:v>
      </x:c>
      <x:c r="Q97" s="68" t="n">
        <x:f>P97-O97</x:f>
        <x:v>0</x:v>
      </x:c>
      <x:c r="R97" s="14" t="n">
        <x:v>13568</x:v>
      </x:c>
      <x:c r="S97" s="14" t="n">
        <x:f>P97*'공식·설정'!$B$12+'공식·설정'!$B$14</x:f>
        <x:v>13568</x:v>
      </x:c>
      <x:c r="T97" s="68" t="n">
        <x:f>S97-R97</x:f>
        <x:v>0</x:v>
      </x:c>
      <x:c r="U97" s="65" t="n">
        <x:f>R97/'공식·설정'!$B$7</x:f>
        <x:v>53</x:v>
      </x:c>
      <x:c r="V97" s="65" t="n">
        <x:f>S97/'공식·설정'!$B$7</x:f>
        <x:v>53</x:v>
      </x:c>
      <x:c r="W97" s="14" t="n">
        <x:v>848</x:v>
      </x:c>
      <x:c r="X97" s="14" t="n">
        <x:f>INT(ABS(K98-K97)*'공식·설정'!$B$8/K97)</x:f>
        <x:v>848</x:v>
      </x:c>
      <x:c r="Y97" s="68" t="n">
        <x:f>X97-W97</x:f>
        <x:v>0</x:v>
      </x:c>
      <x:c r="Z97" s="66" t="n">
        <x:f>W97/'공식·설정'!$B$8</x:f>
        <x:v>0.012939453125</x:v>
      </x:c>
      <x:c r="AA97" s="66" t="n">
        <x:f>X97/'공식·설정'!$B$8</x:f>
        <x:v>0.012939453125</x:v>
      </x:c>
      <x:c r="AB97" s="67" t="str">
        <x:f>IF(AND(I97=0,L97=0,Q97=0,T97=0,Y97=0),"PASS","FAIL")</x:f>
        <x:v>PASS</x:v>
      </x:c>
    </x:row>
    <x:row r="98" ht="18" customHeight="1">
      <x:c r="A98" s="14" t="n">
        <x:v>201</x:v>
      </x:c>
      <x:c r="B98" s="14" t="n">
        <x:v>93</x:v>
      </x:c>
      <x:c r="C98" s="14" t="n">
        <x:v>196</x:v>
      </x:c>
      <x:c r="D98" s="14" t="n">
        <x:v>654</x:v>
      </x:c>
      <x:c r="E98" s="14" t="n">
        <x:v>210</x:v>
      </x:c>
      <x:c r="F98" s="14" t="n">
        <x:v>775</x:v>
      </x:c>
      <x:c r="G98" s="14" t="n">
        <x:v>697</x:v>
      </x:c>
      <x:c r="H98" s="14" t="n">
        <x:f>INT((F98-D98)*(A98-C98)/(E98-C98))+D98</x:f>
        <x:v>697</x:v>
      </x:c>
      <x:c r="I98" s="68" t="n">
        <x:f>H98-G98</x:f>
        <x:v>0</x:v>
      </x:c>
      <x:c r="J98" s="14" t="n">
        <x:v>4537</x:v>
      </x:c>
      <x:c r="K98" s="14" t="n">
        <x:f>INT(H98*'공식·설정'!$B$10/'공식·설정'!$B$15)</x:f>
        <x:v>4537</x:v>
      </x:c>
      <x:c r="L98" s="68" t="n">
        <x:f>K98-J98</x:f>
        <x:v>0</x:v>
      </x:c>
      <x:c r="M98" s="65" t="n">
        <x:f>J98/'공식·설정'!$B$7</x:f>
        <x:v>17.72265625</x:v>
      </x:c>
      <x:c r="N98" s="65" t="n">
        <x:f>K98/'공식·설정'!$B$7</x:f>
        <x:v>17.72265625</x:v>
      </x:c>
      <x:c r="O98" s="14" t="n">
        <x:v>2</x:v>
      </x:c>
      <x:c r="P98" s="14" t="n">
        <x:f>MIN(32767,MAX(0,INT((K98+INT('공식·설정'!$B$12/2))/'공식·설정'!$B$12)))</x:f>
        <x:v>2</x:v>
      </x:c>
      <x:c r="Q98" s="68" t="n">
        <x:f>P98-O98</x:f>
        <x:v>0</x:v>
      </x:c>
      <x:c r="R98" s="14" t="n">
        <x:v>13568</x:v>
      </x:c>
      <x:c r="S98" s="14" t="n">
        <x:f>P98*'공식·설정'!$B$12+'공식·설정'!$B$14</x:f>
        <x:v>13568</x:v>
      </x:c>
      <x:c r="T98" s="68" t="n">
        <x:f>S98-R98</x:f>
        <x:v>0</x:v>
      </x:c>
      <x:c r="U98" s="65" t="n">
        <x:f>R98/'공식·설정'!$B$7</x:f>
        <x:v>53</x:v>
      </x:c>
      <x:c r="V98" s="65" t="n">
        <x:f>S98/'공식·설정'!$B$7</x:f>
        <x:v>53</x:v>
      </x:c>
      <x:c r="W98" s="14" t="n">
        <x:v>751</x:v>
      </x:c>
      <x:c r="X98" s="14" t="n">
        <x:f>INT(ABS(K99-K98)*'공식·설정'!$B$8/K98)</x:f>
        <x:v>751</x:v>
      </x:c>
      <x:c r="Y98" s="68" t="n">
        <x:f>X98-W98</x:f>
        <x:v>0</x:v>
      </x:c>
      <x:c r="Z98" s="66" t="n">
        <x:f>W98/'공식·설정'!$B$8</x:f>
        <x:v>0.0114593505859375</x:v>
      </x:c>
      <x:c r="AA98" s="66" t="n">
        <x:f>X98/'공식·설정'!$B$8</x:f>
        <x:v>0.0114593505859375</x:v>
      </x:c>
      <x:c r="AB98" s="67" t="str">
        <x:f>IF(AND(I98=0,L98=0,Q98=0,T98=0,Y98=0),"PASS","FAIL")</x:f>
        <x:v>PASS</x:v>
      </x:c>
    </x:row>
    <x:row r="99" ht="18" customHeight="1">
      <x:c r="A99" s="14" t="n">
        <x:v>202</x:v>
      </x:c>
      <x:c r="B99" s="14" t="n">
        <x:v>94</x:v>
      </x:c>
      <x:c r="C99" s="14" t="n">
        <x:v>196</x:v>
      </x:c>
      <x:c r="D99" s="14" t="n">
        <x:v>654</x:v>
      </x:c>
      <x:c r="E99" s="14" t="n">
        <x:v>210</x:v>
      </x:c>
      <x:c r="F99" s="14" t="n">
        <x:v>775</x:v>
      </x:c>
      <x:c r="G99" s="14" t="n">
        <x:v>705</x:v>
      </x:c>
      <x:c r="H99" s="14" t="n">
        <x:f>INT((F99-D99)*(A99-C99)/(E99-C99))+D99</x:f>
        <x:v>705</x:v>
      </x:c>
      <x:c r="I99" s="68" t="n">
        <x:f>H99-G99</x:f>
        <x:v>0</x:v>
      </x:c>
      <x:c r="J99" s="14" t="n">
        <x:v>4589</x:v>
      </x:c>
      <x:c r="K99" s="14" t="n">
        <x:f>INT(H99*'공식·설정'!$B$10/'공식·설정'!$B$15)</x:f>
        <x:v>4589</x:v>
      </x:c>
      <x:c r="L99" s="68" t="n">
        <x:f>K99-J99</x:f>
        <x:v>0</x:v>
      </x:c>
      <x:c r="M99" s="65" t="n">
        <x:f>J99/'공식·설정'!$B$7</x:f>
        <x:v>17.92578125</x:v>
      </x:c>
      <x:c r="N99" s="65" t="n">
        <x:f>K99/'공식·설정'!$B$7</x:f>
        <x:v>17.92578125</x:v>
      </x:c>
      <x:c r="O99" s="14" t="n">
        <x:v>2</x:v>
      </x:c>
      <x:c r="P99" s="14" t="n">
        <x:f>MIN(32767,MAX(0,INT((K99+INT('공식·설정'!$B$12/2))/'공식·설정'!$B$12)))</x:f>
        <x:v>2</x:v>
      </x:c>
      <x:c r="Q99" s="68" t="n">
        <x:f>P99-O99</x:f>
        <x:v>0</x:v>
      </x:c>
      <x:c r="R99" s="14" t="n">
        <x:v>13568</x:v>
      </x:c>
      <x:c r="S99" s="14" t="n">
        <x:f>P99*'공식·설정'!$B$12+'공식·설정'!$B$14</x:f>
        <x:v>13568</x:v>
      </x:c>
      <x:c r="T99" s="68" t="n">
        <x:f>S99-R99</x:f>
        <x:v>0</x:v>
      </x:c>
      <x:c r="U99" s="65" t="n">
        <x:f>R99/'공식·설정'!$B$7</x:f>
        <x:v>53</x:v>
      </x:c>
      <x:c r="V99" s="65" t="n">
        <x:f>S99/'공식·설정'!$B$7</x:f>
        <x:v>53</x:v>
      </x:c>
      <x:c r="W99" s="14" t="n">
        <x:v>842</x:v>
      </x:c>
      <x:c r="X99" s="14" t="n">
        <x:f>INT(ABS(K100-K99)*'공식·설정'!$B$8/K99)</x:f>
        <x:v>842</x:v>
      </x:c>
      <x:c r="Y99" s="68" t="n">
        <x:f>X99-W99</x:f>
        <x:v>0</x:v>
      </x:c>
      <x:c r="Z99" s="66" t="n">
        <x:f>W99/'공식·설정'!$B$8</x:f>
        <x:v>0.012847900390625</x:v>
      </x:c>
      <x:c r="AA99" s="66" t="n">
        <x:f>X99/'공식·설정'!$B$8</x:f>
        <x:v>0.012847900390625</x:v>
      </x:c>
      <x:c r="AB99" s="67" t="str">
        <x:f>IF(AND(I99=0,L99=0,Q99=0,T99=0,Y99=0),"PASS","FAIL")</x:f>
        <x:v>PASS</x:v>
      </x:c>
    </x:row>
    <x:row r="100" ht="18" customHeight="1">
      <x:c r="A100" s="14" t="n">
        <x:v>203</x:v>
      </x:c>
      <x:c r="B100" s="14" t="n">
        <x:v>95</x:v>
      </x:c>
      <x:c r="C100" s="14" t="n">
        <x:v>196</x:v>
      </x:c>
      <x:c r="D100" s="14" t="n">
        <x:v>654</x:v>
      </x:c>
      <x:c r="E100" s="14" t="n">
        <x:v>210</x:v>
      </x:c>
      <x:c r="F100" s="14" t="n">
        <x:v>775</x:v>
      </x:c>
      <x:c r="G100" s="14" t="n">
        <x:v>714</x:v>
      </x:c>
      <x:c r="H100" s="14" t="n">
        <x:f>INT((F100-D100)*(A100-C100)/(E100-C100))+D100</x:f>
        <x:v>714</x:v>
      </x:c>
      <x:c r="I100" s="68" t="n">
        <x:f>H100-G100</x:f>
        <x:v>0</x:v>
      </x:c>
      <x:c r="J100" s="14" t="n">
        <x:v>4648</x:v>
      </x:c>
      <x:c r="K100" s="14" t="n">
        <x:f>INT(H100*'공식·설정'!$B$10/'공식·설정'!$B$15)</x:f>
        <x:v>4648</x:v>
      </x:c>
      <x:c r="L100" s="68" t="n">
        <x:f>K100-J100</x:f>
        <x:v>0</x:v>
      </x:c>
      <x:c r="M100" s="65" t="n">
        <x:f>J100/'공식·설정'!$B$7</x:f>
        <x:v>18.15625</x:v>
      </x:c>
      <x:c r="N100" s="65" t="n">
        <x:f>K100/'공식·설정'!$B$7</x:f>
        <x:v>18.15625</x:v>
      </x:c>
      <x:c r="O100" s="14" t="n">
        <x:v>2</x:v>
      </x:c>
      <x:c r="P100" s="14" t="n">
        <x:f>MIN(32767,MAX(0,INT((K100+INT('공식·설정'!$B$12/2))/'공식·설정'!$B$12)))</x:f>
        <x:v>2</x:v>
      </x:c>
      <x:c r="Q100" s="68" t="n">
        <x:f>P100-O100</x:f>
        <x:v>0</x:v>
      </x:c>
      <x:c r="R100" s="14" t="n">
        <x:v>13568</x:v>
      </x:c>
      <x:c r="S100" s="14" t="n">
        <x:f>P100*'공식·설정'!$B$12+'공식·설정'!$B$14</x:f>
        <x:v>13568</x:v>
      </x:c>
      <x:c r="T100" s="68" t="n">
        <x:f>S100-R100</x:f>
        <x:v>0</x:v>
      </x:c>
      <x:c r="U100" s="65" t="n">
        <x:f>R100/'공식·설정'!$B$7</x:f>
        <x:v>53</x:v>
      </x:c>
      <x:c r="V100" s="65" t="n">
        <x:f>S100/'공식·설정'!$B$7</x:f>
        <x:v>53</x:v>
      </x:c>
      <x:c r="W100" s="14" t="n">
        <x:v>817</x:v>
      </x:c>
      <x:c r="X100" s="14" t="n">
        <x:f>INT(ABS(K101-K100)*'공식·설정'!$B$8/K100)</x:f>
        <x:v>817</x:v>
      </x:c>
      <x:c r="Y100" s="68" t="n">
        <x:f>X100-W100</x:f>
        <x:v>0</x:v>
      </x:c>
      <x:c r="Z100" s="66" t="n">
        <x:f>W100/'공식·설정'!$B$8</x:f>
        <x:v>0.0124664306640625</x:v>
      </x:c>
      <x:c r="AA100" s="66" t="n">
        <x:f>X100/'공식·설정'!$B$8</x:f>
        <x:v>0.0124664306640625</x:v>
      </x:c>
      <x:c r="AB100" s="67" t="str">
        <x:f>IF(AND(I100=0,L100=0,Q100=0,T100=0,Y100=0),"PASS","FAIL")</x:f>
        <x:v>PASS</x:v>
      </x:c>
    </x:row>
    <x:row r="101" ht="18" customHeight="1">
      <x:c r="A101" s="14" t="n">
        <x:v>204</x:v>
      </x:c>
      <x:c r="B101" s="14" t="n">
        <x:v>96</x:v>
      </x:c>
      <x:c r="C101" s="14" t="n">
        <x:v>196</x:v>
      </x:c>
      <x:c r="D101" s="14" t="n">
        <x:v>654</x:v>
      </x:c>
      <x:c r="E101" s="14" t="n">
        <x:v>210</x:v>
      </x:c>
      <x:c r="F101" s="14" t="n">
        <x:v>775</x:v>
      </x:c>
      <x:c r="G101" s="14" t="n">
        <x:v>723</x:v>
      </x:c>
      <x:c r="H101" s="14" t="n">
        <x:f>INT((F101-D101)*(A101-C101)/(E101-C101))+D101</x:f>
        <x:v>723</x:v>
      </x:c>
      <x:c r="I101" s="68" t="n">
        <x:f>H101-G101</x:f>
        <x:v>0</x:v>
      </x:c>
      <x:c r="J101" s="14" t="n">
        <x:v>4706</x:v>
      </x:c>
      <x:c r="K101" s="14" t="n">
        <x:f>INT(H101*'공식·설정'!$B$10/'공식·설정'!$B$15)</x:f>
        <x:v>4706</x:v>
      </x:c>
      <x:c r="L101" s="68" t="n">
        <x:f>K101-J101</x:f>
        <x:v>0</x:v>
      </x:c>
      <x:c r="M101" s="65" t="n">
        <x:f>J101/'공식·설정'!$B$7</x:f>
        <x:v>18.3828125</x:v>
      </x:c>
      <x:c r="N101" s="65" t="n">
        <x:f>K101/'공식·설정'!$B$7</x:f>
        <x:v>18.3828125</x:v>
      </x:c>
      <x:c r="O101" s="14" t="n">
        <x:v>2</x:v>
      </x:c>
      <x:c r="P101" s="14" t="n">
        <x:f>MIN(32767,MAX(0,INT((K101+INT('공식·설정'!$B$12/2))/'공식·설정'!$B$12)))</x:f>
        <x:v>2</x:v>
      </x:c>
      <x:c r="Q101" s="68" t="n">
        <x:f>P101-O101</x:f>
        <x:v>0</x:v>
      </x:c>
      <x:c r="R101" s="14" t="n">
        <x:v>13568</x:v>
      </x:c>
      <x:c r="S101" s="14" t="n">
        <x:f>P101*'공식·설정'!$B$12+'공식·설정'!$B$14</x:f>
        <x:v>13568</x:v>
      </x:c>
      <x:c r="T101" s="68" t="n">
        <x:f>S101-R101</x:f>
        <x:v>0</x:v>
      </x:c>
      <x:c r="U101" s="65" t="n">
        <x:f>R101/'공식·설정'!$B$7</x:f>
        <x:v>53</x:v>
      </x:c>
      <x:c r="V101" s="65" t="n">
        <x:f>S101/'공식·설정'!$B$7</x:f>
        <x:v>53</x:v>
      </x:c>
      <x:c r="W101" s="14" t="n">
        <x:v>738</x:v>
      </x:c>
      <x:c r="X101" s="14" t="n">
        <x:f>INT(ABS(K102-K101)*'공식·설정'!$B$8/K101)</x:f>
        <x:v>738</x:v>
      </x:c>
      <x:c r="Y101" s="68" t="n">
        <x:f>X101-W101</x:f>
        <x:v>0</x:v>
      </x:c>
      <x:c r="Z101" s="66" t="n">
        <x:f>W101/'공식·설정'!$B$8</x:f>
        <x:v>0.011260986328125</x:v>
      </x:c>
      <x:c r="AA101" s="66" t="n">
        <x:f>X101/'공식·설정'!$B$8</x:f>
        <x:v>0.011260986328125</x:v>
      </x:c>
      <x:c r="AB101" s="67" t="str">
        <x:f>IF(AND(I101=0,L101=0,Q101=0,T101=0,Y101=0),"PASS","FAIL")</x:f>
        <x:v>PASS</x:v>
      </x:c>
    </x:row>
    <x:row r="102" ht="18" customHeight="1">
      <x:c r="A102" s="14" t="n">
        <x:v>205</x:v>
      </x:c>
      <x:c r="B102" s="14" t="n">
        <x:v>97</x:v>
      </x:c>
      <x:c r="C102" s="14" t="n">
        <x:v>196</x:v>
      </x:c>
      <x:c r="D102" s="14" t="n">
        <x:v>654</x:v>
      </x:c>
      <x:c r="E102" s="14" t="n">
        <x:v>210</x:v>
      </x:c>
      <x:c r="F102" s="14" t="n">
        <x:v>775</x:v>
      </x:c>
      <x:c r="G102" s="14" t="n">
        <x:v>731</x:v>
      </x:c>
      <x:c r="H102" s="14" t="n">
        <x:f>INT((F102-D102)*(A102-C102)/(E102-C102))+D102</x:f>
        <x:v>731</x:v>
      </x:c>
      <x:c r="I102" s="68" t="n">
        <x:f>H102-G102</x:f>
        <x:v>0</x:v>
      </x:c>
      <x:c r="J102" s="14" t="n">
        <x:v>4759</x:v>
      </x:c>
      <x:c r="K102" s="14" t="n">
        <x:f>INT(H102*'공식·설정'!$B$10/'공식·설정'!$B$15)</x:f>
        <x:v>4759</x:v>
      </x:c>
      <x:c r="L102" s="68" t="n">
        <x:f>K102-J102</x:f>
        <x:v>0</x:v>
      </x:c>
      <x:c r="M102" s="65" t="n">
        <x:f>J102/'공식·설정'!$B$7</x:f>
        <x:v>18.58984375</x:v>
      </x:c>
      <x:c r="N102" s="65" t="n">
        <x:f>K102/'공식·설정'!$B$7</x:f>
        <x:v>18.58984375</x:v>
      </x:c>
      <x:c r="O102" s="14" t="n">
        <x:v>2</x:v>
      </x:c>
      <x:c r="P102" s="14" t="n">
        <x:f>MIN(32767,MAX(0,INT((K102+INT('공식·설정'!$B$12/2))/'공식·설정'!$B$12)))</x:f>
        <x:v>2</x:v>
      </x:c>
      <x:c r="Q102" s="68" t="n">
        <x:f>P102-O102</x:f>
        <x:v>0</x:v>
      </x:c>
      <x:c r="R102" s="14" t="n">
        <x:v>13568</x:v>
      </x:c>
      <x:c r="S102" s="14" t="n">
        <x:f>P102*'공식·설정'!$B$12+'공식·설정'!$B$14</x:f>
        <x:v>13568</x:v>
      </x:c>
      <x:c r="T102" s="68" t="n">
        <x:f>S102-R102</x:f>
        <x:v>0</x:v>
      </x:c>
      <x:c r="U102" s="65" t="n">
        <x:f>R102/'공식·설정'!$B$7</x:f>
        <x:v>53</x:v>
      </x:c>
      <x:c r="V102" s="65" t="n">
        <x:f>S102/'공식·설정'!$B$7</x:f>
        <x:v>53</x:v>
      </x:c>
      <x:c r="W102" s="14" t="n">
        <x:v>798</x:v>
      </x:c>
      <x:c r="X102" s="14" t="n">
        <x:f>INT(ABS(K103-K102)*'공식·설정'!$B$8/K102)</x:f>
        <x:v>798</x:v>
      </x:c>
      <x:c r="Y102" s="68" t="n">
        <x:f>X102-W102</x:f>
        <x:v>0</x:v>
      </x:c>
      <x:c r="Z102" s="66" t="n">
        <x:f>W102/'공식·설정'!$B$8</x:f>
        <x:v>0.012176513671875</x:v>
      </x:c>
      <x:c r="AA102" s="66" t="n">
        <x:f>X102/'공식·설정'!$B$8</x:f>
        <x:v>0.012176513671875</x:v>
      </x:c>
      <x:c r="AB102" s="67" t="str">
        <x:f>IF(AND(I102=0,L102=0,Q102=0,T102=0,Y102=0),"PASS","FAIL")</x:f>
        <x:v>PASS</x:v>
      </x:c>
    </x:row>
    <x:row r="103" ht="18" customHeight="1">
      <x:c r="A103" s="14" t="n">
        <x:v>206</x:v>
      </x:c>
      <x:c r="B103" s="14" t="n">
        <x:v>98</x:v>
      </x:c>
      <x:c r="C103" s="14" t="n">
        <x:v>196</x:v>
      </x:c>
      <x:c r="D103" s="14" t="n">
        <x:v>654</x:v>
      </x:c>
      <x:c r="E103" s="14" t="n">
        <x:v>210</x:v>
      </x:c>
      <x:c r="F103" s="14" t="n">
        <x:v>775</x:v>
      </x:c>
      <x:c r="G103" s="14" t="n">
        <x:v>740</x:v>
      </x:c>
      <x:c r="H103" s="14" t="n">
        <x:f>INT((F103-D103)*(A103-C103)/(E103-C103))+D103</x:f>
        <x:v>740</x:v>
      </x:c>
      <x:c r="I103" s="68" t="n">
        <x:f>H103-G103</x:f>
        <x:v>0</x:v>
      </x:c>
      <x:c r="J103" s="14" t="n">
        <x:v>4817</x:v>
      </x:c>
      <x:c r="K103" s="14" t="n">
        <x:f>INT(H103*'공식·설정'!$B$10/'공식·설정'!$B$15)</x:f>
        <x:v>4817</x:v>
      </x:c>
      <x:c r="L103" s="68" t="n">
        <x:f>K103-J103</x:f>
        <x:v>0</x:v>
      </x:c>
      <x:c r="M103" s="65" t="n">
        <x:f>J103/'공식·설정'!$B$7</x:f>
        <x:v>18.81640625</x:v>
      </x:c>
      <x:c r="N103" s="65" t="n">
        <x:f>K103/'공식·설정'!$B$7</x:f>
        <x:v>18.81640625</x:v>
      </x:c>
      <x:c r="O103" s="14" t="n">
        <x:v>2</x:v>
      </x:c>
      <x:c r="P103" s="14" t="n">
        <x:f>MIN(32767,MAX(0,INT((K103+INT('공식·설정'!$B$12/2))/'공식·설정'!$B$12)))</x:f>
        <x:v>2</x:v>
      </x:c>
      <x:c r="Q103" s="68" t="n">
        <x:f>P103-O103</x:f>
        <x:v>0</x:v>
      </x:c>
      <x:c r="R103" s="14" t="n">
        <x:v>13568</x:v>
      </x:c>
      <x:c r="S103" s="14" t="n">
        <x:f>P103*'공식·설정'!$B$12+'공식·설정'!$B$14</x:f>
        <x:v>13568</x:v>
      </x:c>
      <x:c r="T103" s="68" t="n">
        <x:f>S103-R103</x:f>
        <x:v>0</x:v>
      </x:c>
      <x:c r="U103" s="65" t="n">
        <x:f>R103/'공식·설정'!$B$7</x:f>
        <x:v>53</x:v>
      </x:c>
      <x:c r="V103" s="65" t="n">
        <x:f>S103/'공식·설정'!$B$7</x:f>
        <x:v>53</x:v>
      </x:c>
      <x:c r="W103" s="14" t="n">
        <x:v>802</x:v>
      </x:c>
      <x:c r="X103" s="14" t="n">
        <x:f>INT(ABS(K104-K103)*'공식·설정'!$B$8/K103)</x:f>
        <x:v>802</x:v>
      </x:c>
      <x:c r="Y103" s="68" t="n">
        <x:f>X103-W103</x:f>
        <x:v>0</x:v>
      </x:c>
      <x:c r="Z103" s="66" t="n">
        <x:f>W103/'공식·설정'!$B$8</x:f>
        <x:v>0.012237548828125</x:v>
      </x:c>
      <x:c r="AA103" s="66" t="n">
        <x:f>X103/'공식·설정'!$B$8</x:f>
        <x:v>0.012237548828125</x:v>
      </x:c>
      <x:c r="AB103" s="67" t="str">
        <x:f>IF(AND(I103=0,L103=0,Q103=0,T103=0,Y103=0),"PASS","FAIL")</x:f>
        <x:v>PASS</x:v>
      </x:c>
    </x:row>
    <x:row r="104" ht="18" customHeight="1">
      <x:c r="A104" s="14" t="n">
        <x:v>207</x:v>
      </x:c>
      <x:c r="B104" s="14" t="n">
        <x:v>99</x:v>
      </x:c>
      <x:c r="C104" s="14" t="n">
        <x:v>196</x:v>
      </x:c>
      <x:c r="D104" s="14" t="n">
        <x:v>654</x:v>
      </x:c>
      <x:c r="E104" s="14" t="n">
        <x:v>210</x:v>
      </x:c>
      <x:c r="F104" s="14" t="n">
        <x:v>775</x:v>
      </x:c>
      <x:c r="G104" s="14" t="n">
        <x:v>749</x:v>
      </x:c>
      <x:c r="H104" s="14" t="n">
        <x:f>INT((F104-D104)*(A104-C104)/(E104-C104))+D104</x:f>
        <x:v>749</x:v>
      </x:c>
      <x:c r="I104" s="68" t="n">
        <x:f>H104-G104</x:f>
        <x:v>0</x:v>
      </x:c>
      <x:c r="J104" s="14" t="n">
        <x:v>4876</x:v>
      </x:c>
      <x:c r="K104" s="14" t="n">
        <x:f>INT(H104*'공식·설정'!$B$10/'공식·설정'!$B$15)</x:f>
        <x:v>4876</x:v>
      </x:c>
      <x:c r="L104" s="68" t="n">
        <x:f>K104-J104</x:f>
        <x:v>0</x:v>
      </x:c>
      <x:c r="M104" s="65" t="n">
        <x:f>J104/'공식·설정'!$B$7</x:f>
        <x:v>19.046875</x:v>
      </x:c>
      <x:c r="N104" s="65" t="n">
        <x:f>K104/'공식·설정'!$B$7</x:f>
        <x:v>19.046875</x:v>
      </x:c>
      <x:c r="O104" s="14" t="n">
        <x:v>2</x:v>
      </x:c>
      <x:c r="P104" s="14" t="n">
        <x:f>MIN(32767,MAX(0,INT((K104+INT('공식·설정'!$B$12/2))/'공식·설정'!$B$12)))</x:f>
        <x:v>2</x:v>
      </x:c>
      <x:c r="Q104" s="68" t="n">
        <x:f>P104-O104</x:f>
        <x:v>0</x:v>
      </x:c>
      <x:c r="R104" s="14" t="n">
        <x:v>13568</x:v>
      </x:c>
      <x:c r="S104" s="14" t="n">
        <x:f>P104*'공식·설정'!$B$12+'공식·설정'!$B$14</x:f>
        <x:v>13568</x:v>
      </x:c>
      <x:c r="T104" s="68" t="n">
        <x:f>S104-R104</x:f>
        <x:v>0</x:v>
      </x:c>
      <x:c r="U104" s="65" t="n">
        <x:f>R104/'공식·설정'!$B$7</x:f>
        <x:v>53</x:v>
      </x:c>
      <x:c r="V104" s="65" t="n">
        <x:f>S104/'공식·설정'!$B$7</x:f>
        <x:v>53</x:v>
      </x:c>
      <x:c r="W104" s="14" t="n">
        <x:v>698</x:v>
      </x:c>
      <x:c r="X104" s="14" t="n">
        <x:f>INT(ABS(K105-K104)*'공식·설정'!$B$8/K104)</x:f>
        <x:v>698</x:v>
      </x:c>
      <x:c r="Y104" s="68" t="n">
        <x:f>X104-W104</x:f>
        <x:v>0</x:v>
      </x:c>
      <x:c r="Z104" s="66" t="n">
        <x:f>W104/'공식·설정'!$B$8</x:f>
        <x:v>0.010650634765625</x:v>
      </x:c>
      <x:c r="AA104" s="66" t="n">
        <x:f>X104/'공식·설정'!$B$8</x:f>
        <x:v>0.010650634765625</x:v>
      </x:c>
      <x:c r="AB104" s="67" t="str">
        <x:f>IF(AND(I104=0,L104=0,Q104=0,T104=0,Y104=0),"PASS","FAIL")</x:f>
        <x:v>PASS</x:v>
      </x:c>
    </x:row>
    <x:row r="105" ht="18" customHeight="1">
      <x:c r="A105" s="14" t="n">
        <x:v>208</x:v>
      </x:c>
      <x:c r="B105" s="14" t="n">
        <x:v>100</x:v>
      </x:c>
      <x:c r="C105" s="14" t="n">
        <x:v>196</x:v>
      </x:c>
      <x:c r="D105" s="14" t="n">
        <x:v>654</x:v>
      </x:c>
      <x:c r="E105" s="14" t="n">
        <x:v>210</x:v>
      </x:c>
      <x:c r="F105" s="14" t="n">
        <x:v>775</x:v>
      </x:c>
      <x:c r="G105" s="14" t="n">
        <x:v>757</x:v>
      </x:c>
      <x:c r="H105" s="14" t="n">
        <x:f>INT((F105-D105)*(A105-C105)/(E105-C105))+D105</x:f>
        <x:v>757</x:v>
      </x:c>
      <x:c r="I105" s="68" t="n">
        <x:f>H105-G105</x:f>
        <x:v>0</x:v>
      </x:c>
      <x:c r="J105" s="14" t="n">
        <x:v>4928</x:v>
      </x:c>
      <x:c r="K105" s="14" t="n">
        <x:f>INT(H105*'공식·설정'!$B$10/'공식·설정'!$B$15)</x:f>
        <x:v>4928</x:v>
      </x:c>
      <x:c r="L105" s="68" t="n">
        <x:f>K105-J105</x:f>
        <x:v>0</x:v>
      </x:c>
      <x:c r="M105" s="65" t="n">
        <x:f>J105/'공식·설정'!$B$7</x:f>
        <x:v>19.25</x:v>
      </x:c>
      <x:c r="N105" s="65" t="n">
        <x:f>K105/'공식·설정'!$B$7</x:f>
        <x:v>19.25</x:v>
      </x:c>
      <x:c r="O105" s="14" t="n">
        <x:v>2</x:v>
      </x:c>
      <x:c r="P105" s="14" t="n">
        <x:f>MIN(32767,MAX(0,INT((K105+INT('공식·설정'!$B$12/2))/'공식·설정'!$B$12)))</x:f>
        <x:v>2</x:v>
      </x:c>
      <x:c r="Q105" s="68" t="n">
        <x:f>P105-O105</x:f>
        <x:v>0</x:v>
      </x:c>
      <x:c r="R105" s="14" t="n">
        <x:v>13568</x:v>
      </x:c>
      <x:c r="S105" s="14" t="n">
        <x:f>P105*'공식·설정'!$B$12+'공식·설정'!$B$14</x:f>
        <x:v>13568</x:v>
      </x:c>
      <x:c r="T105" s="68" t="n">
        <x:f>S105-R105</x:f>
        <x:v>0</x:v>
      </x:c>
      <x:c r="U105" s="65" t="n">
        <x:f>R105/'공식·설정'!$B$7</x:f>
        <x:v>53</x:v>
      </x:c>
      <x:c r="V105" s="65" t="n">
        <x:f>S105/'공식·설정'!$B$7</x:f>
        <x:v>53</x:v>
      </x:c>
      <x:c r="W105" s="14" t="n">
        <x:v>771</x:v>
      </x:c>
      <x:c r="X105" s="14" t="n">
        <x:f>INT(ABS(K106-K105)*'공식·설정'!$B$8/K105)</x:f>
        <x:v>771</x:v>
      </x:c>
      <x:c r="Y105" s="68" t="n">
        <x:f>X105-W105</x:f>
        <x:v>0</x:v>
      </x:c>
      <x:c r="Z105" s="66" t="n">
        <x:f>W105/'공식·설정'!$B$8</x:f>
        <x:v>0.0117645263671875</x:v>
      </x:c>
      <x:c r="AA105" s="66" t="n">
        <x:f>X105/'공식·설정'!$B$8</x:f>
        <x:v>0.0117645263671875</x:v>
      </x:c>
      <x:c r="AB105" s="67" t="str">
        <x:f>IF(AND(I105=0,L105=0,Q105=0,T105=0,Y105=0),"PASS","FAIL")</x:f>
        <x:v>PASS</x:v>
      </x:c>
    </x:row>
    <x:row r="106" ht="18" customHeight="1">
      <x:c r="A106" s="14" t="n">
        <x:v>209</x:v>
      </x:c>
      <x:c r="B106" s="14" t="n">
        <x:v>101</x:v>
      </x:c>
      <x:c r="C106" s="14" t="n">
        <x:v>196</x:v>
      </x:c>
      <x:c r="D106" s="14" t="n">
        <x:v>654</x:v>
      </x:c>
      <x:c r="E106" s="14" t="n">
        <x:v>210</x:v>
      </x:c>
      <x:c r="F106" s="14" t="n">
        <x:v>775</x:v>
      </x:c>
      <x:c r="G106" s="14" t="n">
        <x:v>766</x:v>
      </x:c>
      <x:c r="H106" s="14" t="n">
        <x:f>INT((F106-D106)*(A106-C106)/(E106-C106))+D106</x:f>
        <x:v>766</x:v>
      </x:c>
      <x:c r="I106" s="68" t="n">
        <x:f>H106-G106</x:f>
        <x:v>0</x:v>
      </x:c>
      <x:c r="J106" s="14" t="n">
        <x:v>4986</x:v>
      </x:c>
      <x:c r="K106" s="14" t="n">
        <x:f>INT(H106*'공식·설정'!$B$10/'공식·설정'!$B$15)</x:f>
        <x:v>4986</x:v>
      </x:c>
      <x:c r="L106" s="68" t="n">
        <x:f>K106-J106</x:f>
        <x:v>0</x:v>
      </x:c>
      <x:c r="M106" s="65" t="n">
        <x:f>J106/'공식·설정'!$B$7</x:f>
        <x:v>19.4765625</x:v>
      </x:c>
      <x:c r="N106" s="65" t="n">
        <x:f>K106/'공식·설정'!$B$7</x:f>
        <x:v>19.4765625</x:v>
      </x:c>
      <x:c r="O106" s="14" t="n">
        <x:v>2</x:v>
      </x:c>
      <x:c r="P106" s="14" t="n">
        <x:f>MIN(32767,MAX(0,INT((K106+INT('공식·설정'!$B$12/2))/'공식·설정'!$B$12)))</x:f>
        <x:v>2</x:v>
      </x:c>
      <x:c r="Q106" s="68" t="n">
        <x:f>P106-O106</x:f>
        <x:v>0</x:v>
      </x:c>
      <x:c r="R106" s="14" t="n">
        <x:v>13568</x:v>
      </x:c>
      <x:c r="S106" s="14" t="n">
        <x:f>P106*'공식·설정'!$B$12+'공식·설정'!$B$14</x:f>
        <x:v>13568</x:v>
      </x:c>
      <x:c r="T106" s="68" t="n">
        <x:f>S106-R106</x:f>
        <x:v>0</x:v>
      </x:c>
      <x:c r="U106" s="65" t="n">
        <x:f>R106/'공식·설정'!$B$7</x:f>
        <x:v>53</x:v>
      </x:c>
      <x:c r="V106" s="65" t="n">
        <x:f>S106/'공식·설정'!$B$7</x:f>
        <x:v>53</x:v>
      </x:c>
      <x:c r="W106" s="14" t="n">
        <x:v>775</x:v>
      </x:c>
      <x:c r="X106" s="14" t="n">
        <x:f>INT(ABS(K107-K106)*'공식·설정'!$B$8/K106)</x:f>
        <x:v>775</x:v>
      </x:c>
      <x:c r="Y106" s="68" t="n">
        <x:f>X106-W106</x:f>
        <x:v>0</x:v>
      </x:c>
      <x:c r="Z106" s="66" t="n">
        <x:f>W106/'공식·설정'!$B$8</x:f>
        <x:v>0.0118255615234375</x:v>
      </x:c>
      <x:c r="AA106" s="66" t="n">
        <x:f>X106/'공식·설정'!$B$8</x:f>
        <x:v>0.0118255615234375</x:v>
      </x:c>
      <x:c r="AB106" s="67" t="str">
        <x:f>IF(AND(I106=0,L106=0,Q106=0,T106=0,Y106=0),"PASS","FAIL")</x:f>
        <x:v>PASS</x:v>
      </x:c>
    </x:row>
    <x:row r="107" ht="18" customHeight="1">
      <x:c r="A107" s="14" t="n">
        <x:v>210</x:v>
      </x:c>
      <x:c r="B107" s="14" t="n">
        <x:v>102</x:v>
      </x:c>
      <x:c r="C107" s="14" t="n">
        <x:v>210</x:v>
      </x:c>
      <x:c r="D107" s="14" t="n">
        <x:v>775</x:v>
      </x:c>
      <x:c r="E107" s="14" t="n">
        <x:v>224</x:v>
      </x:c>
      <x:c r="F107" s="14" t="n">
        <x:v>916</x:v>
      </x:c>
      <x:c r="G107" s="14" t="n">
        <x:v>775</x:v>
      </x:c>
      <x:c r="H107" s="14" t="n">
        <x:f>INT((F107-D107)*(A107-C107)/(E107-C107))+D107</x:f>
        <x:v>775</x:v>
      </x:c>
      <x:c r="I107" s="68" t="n">
        <x:f>H107-G107</x:f>
        <x:v>0</x:v>
      </x:c>
      <x:c r="J107" s="14" t="n">
        <x:v>5045</x:v>
      </x:c>
      <x:c r="K107" s="14" t="n">
        <x:f>INT(H107*'공식·설정'!$B$10/'공식·설정'!$B$15)</x:f>
        <x:v>5045</x:v>
      </x:c>
      <x:c r="L107" s="68" t="n">
        <x:f>K107-J107</x:f>
        <x:v>0</x:v>
      </x:c>
      <x:c r="M107" s="65" t="n">
        <x:f>J107/'공식·설정'!$B$7</x:f>
        <x:v>19.70703125</x:v>
      </x:c>
      <x:c r="N107" s="65" t="n">
        <x:f>K107/'공식·설정'!$B$7</x:f>
        <x:v>19.70703125</x:v>
      </x:c>
      <x:c r="O107" s="14" t="n">
        <x:v>2</x:v>
      </x:c>
      <x:c r="P107" s="14" t="n">
        <x:f>MIN(32767,MAX(0,INT((K107+INT('공식·설정'!$B$12/2))/'공식·설정'!$B$12)))</x:f>
        <x:v>2</x:v>
      </x:c>
      <x:c r="Q107" s="68" t="n">
        <x:f>P107-O107</x:f>
        <x:v>0</x:v>
      </x:c>
      <x:c r="R107" s="14" t="n">
        <x:v>13568</x:v>
      </x:c>
      <x:c r="S107" s="14" t="n">
        <x:f>P107*'공식·설정'!$B$12+'공식·설정'!$B$14</x:f>
        <x:v>13568</x:v>
      </x:c>
      <x:c r="T107" s="68" t="n">
        <x:f>S107-R107</x:f>
        <x:v>0</x:v>
      </x:c>
      <x:c r="U107" s="65" t="n">
        <x:f>R107/'공식·설정'!$B$7</x:f>
        <x:v>53</x:v>
      </x:c>
      <x:c r="V107" s="65" t="n">
        <x:f>S107/'공식·설정'!$B$7</x:f>
        <x:v>53</x:v>
      </x:c>
      <x:c r="W107" s="14" t="n">
        <x:v>844</x:v>
      </x:c>
      <x:c r="X107" s="14" t="n">
        <x:f>INT(ABS(K108-K107)*'공식·설정'!$B$8/K107)</x:f>
        <x:v>844</x:v>
      </x:c>
      <x:c r="Y107" s="68" t="n">
        <x:f>X107-W107</x:f>
        <x:v>0</x:v>
      </x:c>
      <x:c r="Z107" s="66" t="n">
        <x:f>W107/'공식·설정'!$B$8</x:f>
        <x:v>0.01287841796875</x:v>
      </x:c>
      <x:c r="AA107" s="66" t="n">
        <x:f>X107/'공식·설정'!$B$8</x:f>
        <x:v>0.01287841796875</x:v>
      </x:c>
      <x:c r="AB107" s="67" t="str">
        <x:f>IF(AND(I107=0,L107=0,Q107=0,T107=0,Y107=0),"PASS","FAIL")</x:f>
        <x:v>PASS</x:v>
      </x:c>
    </x:row>
    <x:row r="108" ht="18" customHeight="1">
      <x:c r="A108" s="14" t="n">
        <x:v>211</x:v>
      </x:c>
      <x:c r="B108" s="14" t="n">
        <x:v>103</x:v>
      </x:c>
      <x:c r="C108" s="14" t="n">
        <x:v>210</x:v>
      </x:c>
      <x:c r="D108" s="14" t="n">
        <x:v>775</x:v>
      </x:c>
      <x:c r="E108" s="14" t="n">
        <x:v>224</x:v>
      </x:c>
      <x:c r="F108" s="14" t="n">
        <x:v>916</x:v>
      </x:c>
      <x:c r="G108" s="14" t="n">
        <x:v>785</x:v>
      </x:c>
      <x:c r="H108" s="14" t="n">
        <x:f>INT((F108-D108)*(A108-C108)/(E108-C108))+D108</x:f>
        <x:v>785</x:v>
      </x:c>
      <x:c r="I108" s="68" t="n">
        <x:f>H108-G108</x:f>
        <x:v>0</x:v>
      </x:c>
      <x:c r="J108" s="14" t="n">
        <x:v>5110</x:v>
      </x:c>
      <x:c r="K108" s="14" t="n">
        <x:f>INT(H108*'공식·설정'!$B$10/'공식·설정'!$B$15)</x:f>
        <x:v>5110</x:v>
      </x:c>
      <x:c r="L108" s="68" t="n">
        <x:f>K108-J108</x:f>
        <x:v>0</x:v>
      </x:c>
      <x:c r="M108" s="65" t="n">
        <x:f>J108/'공식·설정'!$B$7</x:f>
        <x:v>19.9609375</x:v>
      </x:c>
      <x:c r="N108" s="65" t="n">
        <x:f>K108/'공식·설정'!$B$7</x:f>
        <x:v>19.9609375</x:v>
      </x:c>
      <x:c r="O108" s="14" t="n">
        <x:v>2</x:v>
      </x:c>
      <x:c r="P108" s="14" t="n">
        <x:f>MIN(32767,MAX(0,INT((K108+INT('공식·설정'!$B$12/2))/'공식·설정'!$B$12)))</x:f>
        <x:v>2</x:v>
      </x:c>
      <x:c r="Q108" s="68" t="n">
        <x:f>P108-O108</x:f>
        <x:v>0</x:v>
      </x:c>
      <x:c r="R108" s="14" t="n">
        <x:v>13568</x:v>
      </x:c>
      <x:c r="S108" s="14" t="n">
        <x:f>P108*'공식·설정'!$B$12+'공식·설정'!$B$14</x:f>
        <x:v>13568</x:v>
      </x:c>
      <x:c r="T108" s="68" t="n">
        <x:f>S108-R108</x:f>
        <x:v>0</x:v>
      </x:c>
      <x:c r="U108" s="65" t="n">
        <x:f>R108/'공식·설정'!$B$7</x:f>
        <x:v>53</x:v>
      </x:c>
      <x:c r="V108" s="65" t="n">
        <x:f>S108/'공식·설정'!$B$7</x:f>
        <x:v>53</x:v>
      </x:c>
      <x:c r="W108" s="14" t="n">
        <x:v>833</x:v>
      </x:c>
      <x:c r="X108" s="14" t="n">
        <x:f>INT(ABS(K109-K108)*'공식·설정'!$B$8/K108)</x:f>
        <x:v>833</x:v>
      </x:c>
      <x:c r="Y108" s="68" t="n">
        <x:f>X108-W108</x:f>
        <x:v>0</x:v>
      </x:c>
      <x:c r="Z108" s="66" t="n">
        <x:f>W108/'공식·설정'!$B$8</x:f>
        <x:v>0.0127105712890625</x:v>
      </x:c>
      <x:c r="AA108" s="66" t="n">
        <x:f>X108/'공식·설정'!$B$8</x:f>
        <x:v>0.0127105712890625</x:v>
      </x:c>
      <x:c r="AB108" s="67" t="str">
        <x:f>IF(AND(I108=0,L108=0,Q108=0,T108=0,Y108=0),"PASS","FAIL")</x:f>
        <x:v>PASS</x:v>
      </x:c>
    </x:row>
    <x:row r="109" ht="18" customHeight="1">
      <x:c r="A109" s="14" t="n">
        <x:v>212</x:v>
      </x:c>
      <x:c r="B109" s="14" t="n">
        <x:v>104</x:v>
      </x:c>
      <x:c r="C109" s="14" t="n">
        <x:v>210</x:v>
      </x:c>
      <x:c r="D109" s="14" t="n">
        <x:v>775</x:v>
      </x:c>
      <x:c r="E109" s="14" t="n">
        <x:v>224</x:v>
      </x:c>
      <x:c r="F109" s="14" t="n">
        <x:v>916</x:v>
      </x:c>
      <x:c r="G109" s="14" t="n">
        <x:v>795</x:v>
      </x:c>
      <x:c r="H109" s="14" t="n">
        <x:f>INT((F109-D109)*(A109-C109)/(E109-C109))+D109</x:f>
        <x:v>795</x:v>
      </x:c>
      <x:c r="I109" s="68" t="n">
        <x:f>H109-G109</x:f>
        <x:v>0</x:v>
      </x:c>
      <x:c r="J109" s="14" t="n">
        <x:v>5175</x:v>
      </x:c>
      <x:c r="K109" s="14" t="n">
        <x:f>INT(H109*'공식·설정'!$B$10/'공식·설정'!$B$15)</x:f>
        <x:v>5175</x:v>
      </x:c>
      <x:c r="L109" s="68" t="n">
        <x:f>K109-J109</x:f>
        <x:v>0</x:v>
      </x:c>
      <x:c r="M109" s="65" t="n">
        <x:f>J109/'공식·설정'!$B$7</x:f>
        <x:v>20.21484375</x:v>
      </x:c>
      <x:c r="N109" s="65" t="n">
        <x:f>K109/'공식·설정'!$B$7</x:f>
        <x:v>20.21484375</x:v>
      </x:c>
      <x:c r="O109" s="14" t="n">
        <x:v>2</x:v>
      </x:c>
      <x:c r="P109" s="14" t="n">
        <x:f>MIN(32767,MAX(0,INT((K109+INT('공식·설정'!$B$12/2))/'공식·설정'!$B$12)))</x:f>
        <x:v>2</x:v>
      </x:c>
      <x:c r="Q109" s="68" t="n">
        <x:f>P109-O109</x:f>
        <x:v>0</x:v>
      </x:c>
      <x:c r="R109" s="14" t="n">
        <x:v>13568</x:v>
      </x:c>
      <x:c r="S109" s="14" t="n">
        <x:f>P109*'공식·설정'!$B$12+'공식·설정'!$B$14</x:f>
        <x:v>13568</x:v>
      </x:c>
      <x:c r="T109" s="68" t="n">
        <x:f>S109-R109</x:f>
        <x:v>0</x:v>
      </x:c>
      <x:c r="U109" s="65" t="n">
        <x:f>R109/'공식·설정'!$B$7</x:f>
        <x:v>53</x:v>
      </x:c>
      <x:c r="V109" s="65" t="n">
        <x:f>S109/'공식·설정'!$B$7</x:f>
        <x:v>53</x:v>
      </x:c>
      <x:c r="W109" s="14" t="n">
        <x:v>823</x:v>
      </x:c>
      <x:c r="X109" s="14" t="n">
        <x:f>INT(ABS(K110-K109)*'공식·설정'!$B$8/K109)</x:f>
        <x:v>823</x:v>
      </x:c>
      <x:c r="Y109" s="68" t="n">
        <x:f>X109-W109</x:f>
        <x:v>0</x:v>
      </x:c>
      <x:c r="Z109" s="66" t="n">
        <x:f>W109/'공식·설정'!$B$8</x:f>
        <x:v>0.0125579833984375</x:v>
      </x:c>
      <x:c r="AA109" s="66" t="n">
        <x:f>X109/'공식·설정'!$B$8</x:f>
        <x:v>0.0125579833984375</x:v>
      </x:c>
      <x:c r="AB109" s="67" t="str">
        <x:f>IF(AND(I109=0,L109=0,Q109=0,T109=0,Y109=0),"PASS","FAIL")</x:f>
        <x:v>PASS</x:v>
      </x:c>
    </x:row>
    <x:row r="110" ht="18" customHeight="1">
      <x:c r="A110" s="14" t="n">
        <x:v>213</x:v>
      </x:c>
      <x:c r="B110" s="14" t="n">
        <x:v>105</x:v>
      </x:c>
      <x:c r="C110" s="14" t="n">
        <x:v>210</x:v>
      </x:c>
      <x:c r="D110" s="14" t="n">
        <x:v>775</x:v>
      </x:c>
      <x:c r="E110" s="14" t="n">
        <x:v>224</x:v>
      </x:c>
      <x:c r="F110" s="14" t="n">
        <x:v>916</x:v>
      </x:c>
      <x:c r="G110" s="14" t="n">
        <x:v>805</x:v>
      </x:c>
      <x:c r="H110" s="14" t="n">
        <x:f>INT((F110-D110)*(A110-C110)/(E110-C110))+D110</x:f>
        <x:v>805</x:v>
      </x:c>
      <x:c r="I110" s="68" t="n">
        <x:f>H110-G110</x:f>
        <x:v>0</x:v>
      </x:c>
      <x:c r="J110" s="14" t="n">
        <x:v>5240</x:v>
      </x:c>
      <x:c r="K110" s="14" t="n">
        <x:f>INT(H110*'공식·설정'!$B$10/'공식·설정'!$B$15)</x:f>
        <x:v>5240</x:v>
      </x:c>
      <x:c r="L110" s="68" t="n">
        <x:f>K110-J110</x:f>
        <x:v>0</x:v>
      </x:c>
      <x:c r="M110" s="65" t="n">
        <x:f>J110/'공식·설정'!$B$7</x:f>
        <x:v>20.46875</x:v>
      </x:c>
      <x:c r="N110" s="65" t="n">
        <x:f>K110/'공식·설정'!$B$7</x:f>
        <x:v>20.46875</x:v>
      </x:c>
      <x:c r="O110" s="14" t="n">
        <x:v>2</x:v>
      </x:c>
      <x:c r="P110" s="14" t="n">
        <x:f>MIN(32767,MAX(0,INT((K110+INT('공식·설정'!$B$12/2))/'공식·설정'!$B$12)))</x:f>
        <x:v>2</x:v>
      </x:c>
      <x:c r="Q110" s="68" t="n">
        <x:f>P110-O110</x:f>
        <x:v>0</x:v>
      </x:c>
      <x:c r="R110" s="14" t="n">
        <x:v>13568</x:v>
      </x:c>
      <x:c r="S110" s="14" t="n">
        <x:f>P110*'공식·설정'!$B$12+'공식·설정'!$B$14</x:f>
        <x:v>13568</x:v>
      </x:c>
      <x:c r="T110" s="68" t="n">
        <x:f>S110-R110</x:f>
        <x:v>0</x:v>
      </x:c>
      <x:c r="U110" s="65" t="n">
        <x:f>R110/'공식·설정'!$B$7</x:f>
        <x:v>53</x:v>
      </x:c>
      <x:c r="V110" s="65" t="n">
        <x:f>S110/'공식·설정'!$B$7</x:f>
        <x:v>53</x:v>
      </x:c>
      <x:c r="W110" s="14" t="n">
        <x:v>812</x:v>
      </x:c>
      <x:c r="X110" s="14" t="n">
        <x:f>INT(ABS(K111-K110)*'공식·설정'!$B$8/K110)</x:f>
        <x:v>812</x:v>
      </x:c>
      <x:c r="Y110" s="68" t="n">
        <x:f>X110-W110</x:f>
        <x:v>0</x:v>
      </x:c>
      <x:c r="Z110" s="66" t="n">
        <x:f>W110/'공식·설정'!$B$8</x:f>
        <x:v>0.01239013671875</x:v>
      </x:c>
      <x:c r="AA110" s="66" t="n">
        <x:f>X110/'공식·설정'!$B$8</x:f>
        <x:v>0.01239013671875</x:v>
      </x:c>
      <x:c r="AB110" s="67" t="str">
        <x:f>IF(AND(I110=0,L110=0,Q110=0,T110=0,Y110=0),"PASS","FAIL")</x:f>
        <x:v>PASS</x:v>
      </x:c>
    </x:row>
    <x:row r="111" ht="18" customHeight="1">
      <x:c r="A111" s="14" t="n">
        <x:v>214</x:v>
      </x:c>
      <x:c r="B111" s="14" t="n">
        <x:v>106</x:v>
      </x:c>
      <x:c r="C111" s="14" t="n">
        <x:v>210</x:v>
      </x:c>
      <x:c r="D111" s="14" t="n">
        <x:v>775</x:v>
      </x:c>
      <x:c r="E111" s="14" t="n">
        <x:v>224</x:v>
      </x:c>
      <x:c r="F111" s="14" t="n">
        <x:v>916</x:v>
      </x:c>
      <x:c r="G111" s="14" t="n">
        <x:v>815</x:v>
      </x:c>
      <x:c r="H111" s="14" t="n">
        <x:f>INT((F111-D111)*(A111-C111)/(E111-C111))+D111</x:f>
        <x:v>815</x:v>
      </x:c>
      <x:c r="I111" s="68" t="n">
        <x:f>H111-G111</x:f>
        <x:v>0</x:v>
      </x:c>
      <x:c r="J111" s="14" t="n">
        <x:v>5305</x:v>
      </x:c>
      <x:c r="K111" s="14" t="n">
        <x:f>INT(H111*'공식·설정'!$B$10/'공식·설정'!$B$15)</x:f>
        <x:v>5305</x:v>
      </x:c>
      <x:c r="L111" s="68" t="n">
        <x:f>K111-J111</x:f>
        <x:v>0</x:v>
      </x:c>
      <x:c r="M111" s="65" t="n">
        <x:f>J111/'공식·설정'!$B$7</x:f>
        <x:v>20.72265625</x:v>
      </x:c>
      <x:c r="N111" s="65" t="n">
        <x:f>K111/'공식·설정'!$B$7</x:f>
        <x:v>20.72265625</x:v>
      </x:c>
      <x:c r="O111" s="14" t="n">
        <x:v>2</x:v>
      </x:c>
      <x:c r="P111" s="14" t="n">
        <x:f>MIN(32767,MAX(0,INT((K111+INT('공식·설정'!$B$12/2))/'공식·설정'!$B$12)))</x:f>
        <x:v>2</x:v>
      </x:c>
      <x:c r="Q111" s="68" t="n">
        <x:f>P111-O111</x:f>
        <x:v>0</x:v>
      </x:c>
      <x:c r="R111" s="14" t="n">
        <x:v>13568</x:v>
      </x:c>
      <x:c r="S111" s="14" t="n">
        <x:f>P111*'공식·설정'!$B$12+'공식·설정'!$B$14</x:f>
        <x:v>13568</x:v>
      </x:c>
      <x:c r="T111" s="68" t="n">
        <x:f>S111-R111</x:f>
        <x:v>0</x:v>
      </x:c>
      <x:c r="U111" s="65" t="n">
        <x:f>R111/'공식·설정'!$B$7</x:f>
        <x:v>53</x:v>
      </x:c>
      <x:c r="V111" s="65" t="n">
        <x:f>S111/'공식·설정'!$B$7</x:f>
        <x:v>53</x:v>
      </x:c>
      <x:c r="W111" s="14" t="n">
        <x:v>802</x:v>
      </x:c>
      <x:c r="X111" s="14" t="n">
        <x:f>INT(ABS(K112-K111)*'공식·설정'!$B$8/K111)</x:f>
        <x:v>802</x:v>
      </x:c>
      <x:c r="Y111" s="68" t="n">
        <x:f>X111-W111</x:f>
        <x:v>0</x:v>
      </x:c>
      <x:c r="Z111" s="66" t="n">
        <x:f>W111/'공식·설정'!$B$8</x:f>
        <x:v>0.012237548828125</x:v>
      </x:c>
      <x:c r="AA111" s="66" t="n">
        <x:f>X111/'공식·설정'!$B$8</x:f>
        <x:v>0.012237548828125</x:v>
      </x:c>
      <x:c r="AB111" s="67" t="str">
        <x:f>IF(AND(I111=0,L111=0,Q111=0,T111=0,Y111=0),"PASS","FAIL")</x:f>
        <x:v>PASS</x:v>
      </x:c>
    </x:row>
    <x:row r="112" ht="18" customHeight="1">
      <x:c r="A112" s="14" t="n">
        <x:v>215</x:v>
      </x:c>
      <x:c r="B112" s="14" t="n">
        <x:v>107</x:v>
      </x:c>
      <x:c r="C112" s="14" t="n">
        <x:v>210</x:v>
      </x:c>
      <x:c r="D112" s="14" t="n">
        <x:v>775</x:v>
      </x:c>
      <x:c r="E112" s="14" t="n">
        <x:v>224</x:v>
      </x:c>
      <x:c r="F112" s="14" t="n">
        <x:v>916</x:v>
      </x:c>
      <x:c r="G112" s="14" t="n">
        <x:v>825</x:v>
      </x:c>
      <x:c r="H112" s="14" t="n">
        <x:f>INT((F112-D112)*(A112-C112)/(E112-C112))+D112</x:f>
        <x:v>825</x:v>
      </x:c>
      <x:c r="I112" s="68" t="n">
        <x:f>H112-G112</x:f>
        <x:v>0</x:v>
      </x:c>
      <x:c r="J112" s="14" t="n">
        <x:v>5370</x:v>
      </x:c>
      <x:c r="K112" s="14" t="n">
        <x:f>INT(H112*'공식·설정'!$B$10/'공식·설정'!$B$15)</x:f>
        <x:v>5370</x:v>
      </x:c>
      <x:c r="L112" s="68" t="n">
        <x:f>K112-J112</x:f>
        <x:v>0</x:v>
      </x:c>
      <x:c r="M112" s="65" t="n">
        <x:f>J112/'공식·설정'!$B$7</x:f>
        <x:v>20.9765625</x:v>
      </x:c>
      <x:c r="N112" s="65" t="n">
        <x:f>K112/'공식·설정'!$B$7</x:f>
        <x:v>20.9765625</x:v>
      </x:c>
      <x:c r="O112" s="14" t="n">
        <x:v>2</x:v>
      </x:c>
      <x:c r="P112" s="14" t="n">
        <x:f>MIN(32767,MAX(0,INT((K112+INT('공식·설정'!$B$12/2))/'공식·설정'!$B$12)))</x:f>
        <x:v>2</x:v>
      </x:c>
      <x:c r="Q112" s="68" t="n">
        <x:f>P112-O112</x:f>
        <x:v>0</x:v>
      </x:c>
      <x:c r="R112" s="14" t="n">
        <x:v>13568</x:v>
      </x:c>
      <x:c r="S112" s="14" t="n">
        <x:f>P112*'공식·설정'!$B$12+'공식·설정'!$B$14</x:f>
        <x:v>13568</x:v>
      </x:c>
      <x:c r="T112" s="68" t="n">
        <x:f>S112-R112</x:f>
        <x:v>0</x:v>
      </x:c>
      <x:c r="U112" s="65" t="n">
        <x:f>R112/'공식·설정'!$B$7</x:f>
        <x:v>53</x:v>
      </x:c>
      <x:c r="V112" s="65" t="n">
        <x:f>S112/'공식·설정'!$B$7</x:f>
        <x:v>53</x:v>
      </x:c>
      <x:c r="W112" s="14" t="n">
        <x:v>805</x:v>
      </x:c>
      <x:c r="X112" s="14" t="n">
        <x:f>INT(ABS(K113-K112)*'공식·설정'!$B$8/K112)</x:f>
        <x:v>805</x:v>
      </x:c>
      <x:c r="Y112" s="68" t="n">
        <x:f>X112-W112</x:f>
        <x:v>0</x:v>
      </x:c>
      <x:c r="Z112" s="66" t="n">
        <x:f>W112/'공식·설정'!$B$8</x:f>
        <x:v>0.0122833251953125</x:v>
      </x:c>
      <x:c r="AA112" s="66" t="n">
        <x:f>X112/'공식·설정'!$B$8</x:f>
        <x:v>0.0122833251953125</x:v>
      </x:c>
      <x:c r="AB112" s="67" t="str">
        <x:f>IF(AND(I112=0,L112=0,Q112=0,T112=0,Y112=0),"PASS","FAIL")</x:f>
        <x:v>PASS</x:v>
      </x:c>
    </x:row>
    <x:row r="113" ht="18" customHeight="1">
      <x:c r="A113" s="14" t="n">
        <x:v>216</x:v>
      </x:c>
      <x:c r="B113" s="14" t="n">
        <x:v>108</x:v>
      </x:c>
      <x:c r="C113" s="14" t="n">
        <x:v>210</x:v>
      </x:c>
      <x:c r="D113" s="14" t="n">
        <x:v>775</x:v>
      </x:c>
      <x:c r="E113" s="14" t="n">
        <x:v>224</x:v>
      </x:c>
      <x:c r="F113" s="14" t="n">
        <x:v>916</x:v>
      </x:c>
      <x:c r="G113" s="14" t="n">
        <x:v>835</x:v>
      </x:c>
      <x:c r="H113" s="14" t="n">
        <x:f>INT((F113-D113)*(A113-C113)/(E113-C113))+D113</x:f>
        <x:v>835</x:v>
      </x:c>
      <x:c r="I113" s="68" t="n">
        <x:f>H113-G113</x:f>
        <x:v>0</x:v>
      </x:c>
      <x:c r="J113" s="14" t="n">
        <x:v>5436</x:v>
      </x:c>
      <x:c r="K113" s="14" t="n">
        <x:f>INT(H113*'공식·설정'!$B$10/'공식·설정'!$B$15)</x:f>
        <x:v>5436</x:v>
      </x:c>
      <x:c r="L113" s="68" t="n">
        <x:f>K113-J113</x:f>
        <x:v>0</x:v>
      </x:c>
      <x:c r="M113" s="65" t="n">
        <x:f>J113/'공식·설정'!$B$7</x:f>
        <x:v>21.234375</x:v>
      </x:c>
      <x:c r="N113" s="65" t="n">
        <x:f>K113/'공식·설정'!$B$7</x:f>
        <x:v>21.234375</x:v>
      </x:c>
      <x:c r="O113" s="14" t="n">
        <x:v>2</x:v>
      </x:c>
      <x:c r="P113" s="14" t="n">
        <x:f>MIN(32767,MAX(0,INT((K113+INT('공식·설정'!$B$12/2))/'공식·설정'!$B$12)))</x:f>
        <x:v>2</x:v>
      </x:c>
      <x:c r="Q113" s="68" t="n">
        <x:f>P113-O113</x:f>
        <x:v>0</x:v>
      </x:c>
      <x:c r="R113" s="14" t="n">
        <x:v>13568</x:v>
      </x:c>
      <x:c r="S113" s="14" t="n">
        <x:f>P113*'공식·설정'!$B$12+'공식·설정'!$B$14</x:f>
        <x:v>13568</x:v>
      </x:c>
      <x:c r="T113" s="68" t="n">
        <x:f>S113-R113</x:f>
        <x:v>0</x:v>
      </x:c>
      <x:c r="U113" s="65" t="n">
        <x:f>R113/'공식·설정'!$B$7</x:f>
        <x:v>53</x:v>
      </x:c>
      <x:c r="V113" s="65" t="n">
        <x:f>S113/'공식·설정'!$B$7</x:f>
        <x:v>53</x:v>
      </x:c>
      <x:c r="W113" s="14" t="n">
        <x:v>783</x:v>
      </x:c>
      <x:c r="X113" s="14" t="n">
        <x:f>INT(ABS(K114-K113)*'공식·설정'!$B$8/K113)</x:f>
        <x:v>783</x:v>
      </x:c>
      <x:c r="Y113" s="68" t="n">
        <x:f>X113-W113</x:f>
        <x:v>0</x:v>
      </x:c>
      <x:c r="Z113" s="66" t="n">
        <x:f>W113/'공식·설정'!$B$8</x:f>
        <x:v>0.0119476318359375</x:v>
      </x:c>
      <x:c r="AA113" s="66" t="n">
        <x:f>X113/'공식·설정'!$B$8</x:f>
        <x:v>0.0119476318359375</x:v>
      </x:c>
      <x:c r="AB113" s="67" t="str">
        <x:f>IF(AND(I113=0,L113=0,Q113=0,T113=0,Y113=0),"PASS","FAIL")</x:f>
        <x:v>PASS</x:v>
      </x:c>
    </x:row>
    <x:row r="114" ht="18" customHeight="1">
      <x:c r="A114" s="14" t="n">
        <x:v>217</x:v>
      </x:c>
      <x:c r="B114" s="14" t="n">
        <x:v>109</x:v>
      </x:c>
      <x:c r="C114" s="14" t="n">
        <x:v>210</x:v>
      </x:c>
      <x:c r="D114" s="14" t="n">
        <x:v>775</x:v>
      </x:c>
      <x:c r="E114" s="14" t="n">
        <x:v>224</x:v>
      </x:c>
      <x:c r="F114" s="14" t="n">
        <x:v>916</x:v>
      </x:c>
      <x:c r="G114" s="14" t="n">
        <x:v>845</x:v>
      </x:c>
      <x:c r="H114" s="14" t="n">
        <x:f>INT((F114-D114)*(A114-C114)/(E114-C114))+D114</x:f>
        <x:v>845</x:v>
      </x:c>
      <x:c r="I114" s="68" t="n">
        <x:f>H114-G114</x:f>
        <x:v>0</x:v>
      </x:c>
      <x:c r="J114" s="14" t="n">
        <x:v>5501</x:v>
      </x:c>
      <x:c r="K114" s="14" t="n">
        <x:f>INT(H114*'공식·설정'!$B$10/'공식·설정'!$B$15)</x:f>
        <x:v>5501</x:v>
      </x:c>
      <x:c r="L114" s="68" t="n">
        <x:f>K114-J114</x:f>
        <x:v>0</x:v>
      </x:c>
      <x:c r="M114" s="65" t="n">
        <x:f>J114/'공식·설정'!$B$7</x:f>
        <x:v>21.48828125</x:v>
      </x:c>
      <x:c r="N114" s="65" t="n">
        <x:f>K114/'공식·설정'!$B$7</x:f>
        <x:v>21.48828125</x:v>
      </x:c>
      <x:c r="O114" s="14" t="n">
        <x:v>2</x:v>
      </x:c>
      <x:c r="P114" s="14" t="n">
        <x:f>MIN(32767,MAX(0,INT((K114+INT('공식·설정'!$B$12/2))/'공식·설정'!$B$12)))</x:f>
        <x:v>2</x:v>
      </x:c>
      <x:c r="Q114" s="68" t="n">
        <x:f>P114-O114</x:f>
        <x:v>0</x:v>
      </x:c>
      <x:c r="R114" s="14" t="n">
        <x:v>13568</x:v>
      </x:c>
      <x:c r="S114" s="14" t="n">
        <x:f>P114*'공식·설정'!$B$12+'공식·설정'!$B$14</x:f>
        <x:v>13568</x:v>
      </x:c>
      <x:c r="T114" s="68" t="n">
        <x:f>S114-R114</x:f>
        <x:v>0</x:v>
      </x:c>
      <x:c r="U114" s="65" t="n">
        <x:f>R114/'공식·설정'!$B$7</x:f>
        <x:v>53</x:v>
      </x:c>
      <x:c r="V114" s="65" t="n">
        <x:f>S114/'공식·설정'!$B$7</x:f>
        <x:v>53</x:v>
      </x:c>
      <x:c r="W114" s="14" t="n">
        <x:v>774</x:v>
      </x:c>
      <x:c r="X114" s="14" t="n">
        <x:f>INT(ABS(K115-K114)*'공식·설정'!$B$8/K114)</x:f>
        <x:v>774</x:v>
      </x:c>
      <x:c r="Y114" s="68" t="n">
        <x:f>X114-W114</x:f>
        <x:v>0</x:v>
      </x:c>
      <x:c r="Z114" s="66" t="n">
        <x:f>W114/'공식·설정'!$B$8</x:f>
        <x:v>0.011810302734375</x:v>
      </x:c>
      <x:c r="AA114" s="66" t="n">
        <x:f>X114/'공식·설정'!$B$8</x:f>
        <x:v>0.011810302734375</x:v>
      </x:c>
      <x:c r="AB114" s="67" t="str">
        <x:f>IF(AND(I114=0,L114=0,Q114=0,T114=0,Y114=0),"PASS","FAIL")</x:f>
        <x:v>PASS</x:v>
      </x:c>
    </x:row>
    <x:row r="115" ht="18" customHeight="1">
      <x:c r="A115" s="14" t="n">
        <x:v>218</x:v>
      </x:c>
      <x:c r="B115" s="14" t="n">
        <x:v>110</x:v>
      </x:c>
      <x:c r="C115" s="14" t="n">
        <x:v>210</x:v>
      </x:c>
      <x:c r="D115" s="14" t="n">
        <x:v>775</x:v>
      </x:c>
      <x:c r="E115" s="14" t="n">
        <x:v>224</x:v>
      </x:c>
      <x:c r="F115" s="14" t="n">
        <x:v>916</x:v>
      </x:c>
      <x:c r="G115" s="14" t="n">
        <x:v>855</x:v>
      </x:c>
      <x:c r="H115" s="14" t="n">
        <x:f>INT((F115-D115)*(A115-C115)/(E115-C115))+D115</x:f>
        <x:v>855</x:v>
      </x:c>
      <x:c r="I115" s="68" t="n">
        <x:f>H115-G115</x:f>
        <x:v>0</x:v>
      </x:c>
      <x:c r="J115" s="14" t="n">
        <x:v>5566</x:v>
      </x:c>
      <x:c r="K115" s="14" t="n">
        <x:f>INT(H115*'공식·설정'!$B$10/'공식·설정'!$B$15)</x:f>
        <x:v>5566</x:v>
      </x:c>
      <x:c r="L115" s="68" t="n">
        <x:f>K115-J115</x:f>
        <x:v>0</x:v>
      </x:c>
      <x:c r="M115" s="65" t="n">
        <x:f>J115/'공식·설정'!$B$7</x:f>
        <x:v>21.7421875</x:v>
      </x:c>
      <x:c r="N115" s="65" t="n">
        <x:f>K115/'공식·설정'!$B$7</x:f>
        <x:v>21.7421875</x:v>
      </x:c>
      <x:c r="O115" s="14" t="n">
        <x:v>2</x:v>
      </x:c>
      <x:c r="P115" s="14" t="n">
        <x:f>MIN(32767,MAX(0,INT((K115+INT('공식·설정'!$B$12/2))/'공식·설정'!$B$12)))</x:f>
        <x:v>2</x:v>
      </x:c>
      <x:c r="Q115" s="68" t="n">
        <x:f>P115-O115</x:f>
        <x:v>0</x:v>
      </x:c>
      <x:c r="R115" s="14" t="n">
        <x:v>13568</x:v>
      </x:c>
      <x:c r="S115" s="14" t="n">
        <x:f>P115*'공식·설정'!$B$12+'공식·설정'!$B$14</x:f>
        <x:v>13568</x:v>
      </x:c>
      <x:c r="T115" s="68" t="n">
        <x:f>S115-R115</x:f>
        <x:v>0</x:v>
      </x:c>
      <x:c r="U115" s="65" t="n">
        <x:f>R115/'공식·설정'!$B$7</x:f>
        <x:v>53</x:v>
      </x:c>
      <x:c r="V115" s="65" t="n">
        <x:f>S115/'공식·설정'!$B$7</x:f>
        <x:v>53</x:v>
      </x:c>
      <x:c r="W115" s="14" t="n">
        <x:v>765</x:v>
      </x:c>
      <x:c r="X115" s="14" t="n">
        <x:f>INT(ABS(K116-K115)*'공식·설정'!$B$8/K115)</x:f>
        <x:v>765</x:v>
      </x:c>
      <x:c r="Y115" s="68" t="n">
        <x:f>X115-W115</x:f>
        <x:v>0</x:v>
      </x:c>
      <x:c r="Z115" s="66" t="n">
        <x:f>W115/'공식·설정'!$B$8</x:f>
        <x:v>0.0116729736328125</x:v>
      </x:c>
      <x:c r="AA115" s="66" t="n">
        <x:f>X115/'공식·설정'!$B$8</x:f>
        <x:v>0.0116729736328125</x:v>
      </x:c>
      <x:c r="AB115" s="67" t="str">
        <x:f>IF(AND(I115=0,L115=0,Q115=0,T115=0,Y115=0),"PASS","FAIL")</x:f>
        <x:v>PASS</x:v>
      </x:c>
    </x:row>
    <x:row r="116" ht="18" customHeight="1">
      <x:c r="A116" s="14" t="n">
        <x:v>219</x:v>
      </x:c>
      <x:c r="B116" s="14" t="n">
        <x:v>111</x:v>
      </x:c>
      <x:c r="C116" s="14" t="n">
        <x:v>210</x:v>
      </x:c>
      <x:c r="D116" s="14" t="n">
        <x:v>775</x:v>
      </x:c>
      <x:c r="E116" s="14" t="n">
        <x:v>224</x:v>
      </x:c>
      <x:c r="F116" s="14" t="n">
        <x:v>916</x:v>
      </x:c>
      <x:c r="G116" s="14" t="n">
        <x:v>865</x:v>
      </x:c>
      <x:c r="H116" s="14" t="n">
        <x:f>INT((F116-D116)*(A116-C116)/(E116-C116))+D116</x:f>
        <x:v>865</x:v>
      </x:c>
      <x:c r="I116" s="68" t="n">
        <x:f>H116-G116</x:f>
        <x:v>0</x:v>
      </x:c>
      <x:c r="J116" s="14" t="n">
        <x:v>5631</x:v>
      </x:c>
      <x:c r="K116" s="14" t="n">
        <x:f>INT(H116*'공식·설정'!$B$10/'공식·설정'!$B$15)</x:f>
        <x:v>5631</x:v>
      </x:c>
      <x:c r="L116" s="68" t="n">
        <x:f>K116-J116</x:f>
        <x:v>0</x:v>
      </x:c>
      <x:c r="M116" s="65" t="n">
        <x:f>J116/'공식·설정'!$B$7</x:f>
        <x:v>21.99609375</x:v>
      </x:c>
      <x:c r="N116" s="65" t="n">
        <x:f>K116/'공식·설정'!$B$7</x:f>
        <x:v>21.99609375</x:v>
      </x:c>
      <x:c r="O116" s="14" t="n">
        <x:v>2</x:v>
      </x:c>
      <x:c r="P116" s="14" t="n">
        <x:f>MIN(32767,MAX(0,INT((K116+INT('공식·설정'!$B$12/2))/'공식·설정'!$B$12)))</x:f>
        <x:v>2</x:v>
      </x:c>
      <x:c r="Q116" s="68" t="n">
        <x:f>P116-O116</x:f>
        <x:v>0</x:v>
      </x:c>
      <x:c r="R116" s="14" t="n">
        <x:v>13568</x:v>
      </x:c>
      <x:c r="S116" s="14" t="n">
        <x:f>P116*'공식·설정'!$B$12+'공식·설정'!$B$14</x:f>
        <x:v>13568</x:v>
      </x:c>
      <x:c r="T116" s="68" t="n">
        <x:f>S116-R116</x:f>
        <x:v>0</x:v>
      </x:c>
      <x:c r="U116" s="65" t="n">
        <x:f>R116/'공식·설정'!$B$7</x:f>
        <x:v>53</x:v>
      </x:c>
      <x:c r="V116" s="65" t="n">
        <x:f>S116/'공식·설정'!$B$7</x:f>
        <x:v>53</x:v>
      </x:c>
      <x:c r="W116" s="14" t="n">
        <x:v>756</x:v>
      </x:c>
      <x:c r="X116" s="14" t="n">
        <x:f>INT(ABS(K117-K116)*'공식·설정'!$B$8/K116)</x:f>
        <x:v>756</x:v>
      </x:c>
      <x:c r="Y116" s="68" t="n">
        <x:f>X116-W116</x:f>
        <x:v>0</x:v>
      </x:c>
      <x:c r="Z116" s="66" t="n">
        <x:f>W116/'공식·설정'!$B$8</x:f>
        <x:v>0.01153564453125</x:v>
      </x:c>
      <x:c r="AA116" s="66" t="n">
        <x:f>X116/'공식·설정'!$B$8</x:f>
        <x:v>0.01153564453125</x:v>
      </x:c>
      <x:c r="AB116" s="67" t="str">
        <x:f>IF(AND(I116=0,L116=0,Q116=0,T116=0,Y116=0),"PASS","FAIL")</x:f>
        <x:v>PASS</x:v>
      </x:c>
    </x:row>
    <x:row r="117" ht="18" customHeight="1">
      <x:c r="A117" s="14" t="n">
        <x:v>220</x:v>
      </x:c>
      <x:c r="B117" s="14" t="n">
        <x:v>112</x:v>
      </x:c>
      <x:c r="C117" s="14" t="n">
        <x:v>210</x:v>
      </x:c>
      <x:c r="D117" s="14" t="n">
        <x:v>775</x:v>
      </x:c>
      <x:c r="E117" s="14" t="n">
        <x:v>224</x:v>
      </x:c>
      <x:c r="F117" s="14" t="n">
        <x:v>916</x:v>
      </x:c>
      <x:c r="G117" s="14" t="n">
        <x:v>875</x:v>
      </x:c>
      <x:c r="H117" s="14" t="n">
        <x:f>INT((F117-D117)*(A117-C117)/(E117-C117))+D117</x:f>
        <x:v>875</x:v>
      </x:c>
      <x:c r="I117" s="68" t="n">
        <x:f>H117-G117</x:f>
        <x:v>0</x:v>
      </x:c>
      <x:c r="J117" s="14" t="n">
        <x:v>5696</x:v>
      </x:c>
      <x:c r="K117" s="14" t="n">
        <x:f>INT(H117*'공식·설정'!$B$10/'공식·설정'!$B$15)</x:f>
        <x:v>5696</x:v>
      </x:c>
      <x:c r="L117" s="68" t="n">
        <x:f>K117-J117</x:f>
        <x:v>0</x:v>
      </x:c>
      <x:c r="M117" s="65" t="n">
        <x:f>J117/'공식·설정'!$B$7</x:f>
        <x:v>22.25</x:v>
      </x:c>
      <x:c r="N117" s="65" t="n">
        <x:f>K117/'공식·설정'!$B$7</x:f>
        <x:v>22.25</x:v>
      </x:c>
      <x:c r="O117" s="14" t="n">
        <x:v>2</x:v>
      </x:c>
      <x:c r="P117" s="14" t="n">
        <x:f>MIN(32767,MAX(0,INT((K117+INT('공식·설정'!$B$12/2))/'공식·설정'!$B$12)))</x:f>
        <x:v>2</x:v>
      </x:c>
      <x:c r="Q117" s="68" t="n">
        <x:f>P117-O117</x:f>
        <x:v>0</x:v>
      </x:c>
      <x:c r="R117" s="14" t="n">
        <x:v>13568</x:v>
      </x:c>
      <x:c r="S117" s="14" t="n">
        <x:f>P117*'공식·설정'!$B$12+'공식·설정'!$B$14</x:f>
        <x:v>13568</x:v>
      </x:c>
      <x:c r="T117" s="68" t="n">
        <x:f>S117-R117</x:f>
        <x:v>0</x:v>
      </x:c>
      <x:c r="U117" s="65" t="n">
        <x:f>R117/'공식·설정'!$B$7</x:f>
        <x:v>53</x:v>
      </x:c>
      <x:c r="V117" s="65" t="n">
        <x:f>S117/'공식·설정'!$B$7</x:f>
        <x:v>53</x:v>
      </x:c>
      <x:c r="W117" s="14" t="n">
        <x:v>747</x:v>
      </x:c>
      <x:c r="X117" s="14" t="n">
        <x:f>INT(ABS(K118-K117)*'공식·설정'!$B$8/K117)</x:f>
        <x:v>747</x:v>
      </x:c>
      <x:c r="Y117" s="68" t="n">
        <x:f>X117-W117</x:f>
        <x:v>0</x:v>
      </x:c>
      <x:c r="Z117" s="66" t="n">
        <x:f>W117/'공식·설정'!$B$8</x:f>
        <x:v>0.0113983154296875</x:v>
      </x:c>
      <x:c r="AA117" s="66" t="n">
        <x:f>X117/'공식·설정'!$B$8</x:f>
        <x:v>0.0113983154296875</x:v>
      </x:c>
      <x:c r="AB117" s="67" t="str">
        <x:f>IF(AND(I117=0,L117=0,Q117=0,T117=0,Y117=0),"PASS","FAIL")</x:f>
        <x:v>PASS</x:v>
      </x:c>
    </x:row>
    <x:row r="118" ht="18" customHeight="1">
      <x:c r="A118" s="14" t="n">
        <x:v>221</x:v>
      </x:c>
      <x:c r="B118" s="14" t="n">
        <x:v>113</x:v>
      </x:c>
      <x:c r="C118" s="14" t="n">
        <x:v>210</x:v>
      </x:c>
      <x:c r="D118" s="14" t="n">
        <x:v>775</x:v>
      </x:c>
      <x:c r="E118" s="14" t="n">
        <x:v>224</x:v>
      </x:c>
      <x:c r="F118" s="14" t="n">
        <x:v>916</x:v>
      </x:c>
      <x:c r="G118" s="14" t="n">
        <x:v>885</x:v>
      </x:c>
      <x:c r="H118" s="14" t="n">
        <x:f>INT((F118-D118)*(A118-C118)/(E118-C118))+D118</x:f>
        <x:v>885</x:v>
      </x:c>
      <x:c r="I118" s="68" t="n">
        <x:f>H118-G118</x:f>
        <x:v>0</x:v>
      </x:c>
      <x:c r="J118" s="14" t="n">
        <x:v>5761</x:v>
      </x:c>
      <x:c r="K118" s="14" t="n">
        <x:f>INT(H118*'공식·설정'!$B$10/'공식·설정'!$B$15)</x:f>
        <x:v>5761</x:v>
      </x:c>
      <x:c r="L118" s="68" t="n">
        <x:f>K118-J118</x:f>
        <x:v>0</x:v>
      </x:c>
      <x:c r="M118" s="65" t="n">
        <x:f>J118/'공식·설정'!$B$7</x:f>
        <x:v>22.50390625</x:v>
      </x:c>
      <x:c r="N118" s="65" t="n">
        <x:f>K118/'공식·설정'!$B$7</x:f>
        <x:v>22.50390625</x:v>
      </x:c>
      <x:c r="O118" s="14" t="n">
        <x:v>2</x:v>
      </x:c>
      <x:c r="P118" s="14" t="n">
        <x:f>MIN(32767,MAX(0,INT((K118+INT('공식·설정'!$B$12/2))/'공식·설정'!$B$12)))</x:f>
        <x:v>2</x:v>
      </x:c>
      <x:c r="Q118" s="68" t="n">
        <x:f>P118-O118</x:f>
        <x:v>0</x:v>
      </x:c>
      <x:c r="R118" s="14" t="n">
        <x:v>13568</x:v>
      </x:c>
      <x:c r="S118" s="14" t="n">
        <x:f>P118*'공식·설정'!$B$12+'공식·설정'!$B$14</x:f>
        <x:v>13568</x:v>
      </x:c>
      <x:c r="T118" s="68" t="n">
        <x:f>S118-R118</x:f>
        <x:v>0</x:v>
      </x:c>
      <x:c r="U118" s="65" t="n">
        <x:f>R118/'공식·설정'!$B$7</x:f>
        <x:v>53</x:v>
      </x:c>
      <x:c r="V118" s="65" t="n">
        <x:f>S118/'공식·설정'!$B$7</x:f>
        <x:v>53</x:v>
      </x:c>
      <x:c r="W118" s="14" t="n">
        <x:v>739</x:v>
      </x:c>
      <x:c r="X118" s="14" t="n">
        <x:f>INT(ABS(K119-K118)*'공식·설정'!$B$8/K118)</x:f>
        <x:v>739</x:v>
      </x:c>
      <x:c r="Y118" s="68" t="n">
        <x:f>X118-W118</x:f>
        <x:v>0</x:v>
      </x:c>
      <x:c r="Z118" s="66" t="n">
        <x:f>W118/'공식·설정'!$B$8</x:f>
        <x:v>0.0112762451171875</x:v>
      </x:c>
      <x:c r="AA118" s="66" t="n">
        <x:f>X118/'공식·설정'!$B$8</x:f>
        <x:v>0.0112762451171875</x:v>
      </x:c>
      <x:c r="AB118" s="67" t="str">
        <x:f>IF(AND(I118=0,L118=0,Q118=0,T118=0,Y118=0),"PASS","FAIL")</x:f>
        <x:v>PASS</x:v>
      </x:c>
    </x:row>
    <x:row r="119" ht="18" customHeight="1">
      <x:c r="A119" s="14" t="n">
        <x:v>222</x:v>
      </x:c>
      <x:c r="B119" s="14" t="n">
        <x:v>114</x:v>
      </x:c>
      <x:c r="C119" s="14" t="n">
        <x:v>210</x:v>
      </x:c>
      <x:c r="D119" s="14" t="n">
        <x:v>775</x:v>
      </x:c>
      <x:c r="E119" s="14" t="n">
        <x:v>224</x:v>
      </x:c>
      <x:c r="F119" s="14" t="n">
        <x:v>916</x:v>
      </x:c>
      <x:c r="G119" s="14" t="n">
        <x:v>895</x:v>
      </x:c>
      <x:c r="H119" s="14" t="n">
        <x:f>INT((F119-D119)*(A119-C119)/(E119-C119))+D119</x:f>
        <x:v>895</x:v>
      </x:c>
      <x:c r="I119" s="68" t="n">
        <x:f>H119-G119</x:f>
        <x:v>0</x:v>
      </x:c>
      <x:c r="J119" s="14" t="n">
        <x:v>5826</x:v>
      </x:c>
      <x:c r="K119" s="14" t="n">
        <x:f>INT(H119*'공식·설정'!$B$10/'공식·설정'!$B$15)</x:f>
        <x:v>5826</x:v>
      </x:c>
      <x:c r="L119" s="68" t="n">
        <x:f>K119-J119</x:f>
        <x:v>0</x:v>
      </x:c>
      <x:c r="M119" s="65" t="n">
        <x:f>J119/'공식·설정'!$B$7</x:f>
        <x:v>22.7578125</x:v>
      </x:c>
      <x:c r="N119" s="65" t="n">
        <x:f>K119/'공식·설정'!$B$7</x:f>
        <x:v>22.7578125</x:v>
      </x:c>
      <x:c r="O119" s="14" t="n">
        <x:v>2</x:v>
      </x:c>
      <x:c r="P119" s="14" t="n">
        <x:f>MIN(32767,MAX(0,INT((K119+INT('공식·설정'!$B$12/2))/'공식·설정'!$B$12)))</x:f>
        <x:v>2</x:v>
      </x:c>
      <x:c r="Q119" s="68" t="n">
        <x:f>P119-O119</x:f>
        <x:v>0</x:v>
      </x:c>
      <x:c r="R119" s="14" t="n">
        <x:v>13568</x:v>
      </x:c>
      <x:c r="S119" s="14" t="n">
        <x:f>P119*'공식·설정'!$B$12+'공식·설정'!$B$14</x:f>
        <x:v>13568</x:v>
      </x:c>
      <x:c r="T119" s="68" t="n">
        <x:f>S119-R119</x:f>
        <x:v>0</x:v>
      </x:c>
      <x:c r="U119" s="65" t="n">
        <x:f>R119/'공식·설정'!$B$7</x:f>
        <x:v>53</x:v>
      </x:c>
      <x:c r="V119" s="65" t="n">
        <x:f>S119/'공식·설정'!$B$7</x:f>
        <x:v>53</x:v>
      </x:c>
      <x:c r="W119" s="14" t="n">
        <x:v>731</x:v>
      </x:c>
      <x:c r="X119" s="14" t="n">
        <x:f>INT(ABS(K120-K119)*'공식·설정'!$B$8/K119)</x:f>
        <x:v>731</x:v>
      </x:c>
      <x:c r="Y119" s="68" t="n">
        <x:f>X119-W119</x:f>
        <x:v>0</x:v>
      </x:c>
      <x:c r="Z119" s="66" t="n">
        <x:f>W119/'공식·설정'!$B$8</x:f>
        <x:v>0.0111541748046875</x:v>
      </x:c>
      <x:c r="AA119" s="66" t="n">
        <x:f>X119/'공식·설정'!$B$8</x:f>
        <x:v>0.0111541748046875</x:v>
      </x:c>
      <x:c r="AB119" s="67" t="str">
        <x:f>IF(AND(I119=0,L119=0,Q119=0,T119=0,Y119=0),"PASS","FAIL")</x:f>
        <x:v>PASS</x:v>
      </x:c>
    </x:row>
    <x:row r="120" ht="18" customHeight="1">
      <x:c r="A120" s="14" t="n">
        <x:v>223</x:v>
      </x:c>
      <x:c r="B120" s="14" t="n">
        <x:v>115</x:v>
      </x:c>
      <x:c r="C120" s="14" t="n">
        <x:v>210</x:v>
      </x:c>
      <x:c r="D120" s="14" t="n">
        <x:v>775</x:v>
      </x:c>
      <x:c r="E120" s="14" t="n">
        <x:v>224</x:v>
      </x:c>
      <x:c r="F120" s="14" t="n">
        <x:v>916</x:v>
      </x:c>
      <x:c r="G120" s="14" t="n">
        <x:v>905</x:v>
      </x:c>
      <x:c r="H120" s="14" t="n">
        <x:f>INT((F120-D120)*(A120-C120)/(E120-C120))+D120</x:f>
        <x:v>905</x:v>
      </x:c>
      <x:c r="I120" s="68" t="n">
        <x:f>H120-G120</x:f>
        <x:v>0</x:v>
      </x:c>
      <x:c r="J120" s="14" t="n">
        <x:v>5891</x:v>
      </x:c>
      <x:c r="K120" s="14" t="n">
        <x:f>INT(H120*'공식·설정'!$B$10/'공식·설정'!$B$15)</x:f>
        <x:v>5891</x:v>
      </x:c>
      <x:c r="L120" s="68" t="n">
        <x:f>K120-J120</x:f>
        <x:v>0</x:v>
      </x:c>
      <x:c r="M120" s="65" t="n">
        <x:f>J120/'공식·설정'!$B$7</x:f>
        <x:v>23.01171875</x:v>
      </x:c>
      <x:c r="N120" s="65" t="n">
        <x:f>K120/'공식·설정'!$B$7</x:f>
        <x:v>23.01171875</x:v>
      </x:c>
      <x:c r="O120" s="14" t="n">
        <x:v>2</x:v>
      </x:c>
      <x:c r="P120" s="14" t="n">
        <x:f>MIN(32767,MAX(0,INT((K120+INT('공식·설정'!$B$12/2))/'공식·설정'!$B$12)))</x:f>
        <x:v>2</x:v>
      </x:c>
      <x:c r="Q120" s="68" t="n">
        <x:f>P120-O120</x:f>
        <x:v>0</x:v>
      </x:c>
      <x:c r="R120" s="14" t="n">
        <x:v>13568</x:v>
      </x:c>
      <x:c r="S120" s="14" t="n">
        <x:f>P120*'공식·설정'!$B$12+'공식·설정'!$B$14</x:f>
        <x:v>13568</x:v>
      </x:c>
      <x:c r="T120" s="68" t="n">
        <x:f>S120-R120</x:f>
        <x:v>0</x:v>
      </x:c>
      <x:c r="U120" s="65" t="n">
        <x:f>R120/'공식·설정'!$B$7</x:f>
        <x:v>53</x:v>
      </x:c>
      <x:c r="V120" s="65" t="n">
        <x:f>S120/'공식·설정'!$B$7</x:f>
        <x:v>53</x:v>
      </x:c>
      <x:c r="W120" s="14" t="n">
        <x:v>800</x:v>
      </x:c>
      <x:c r="X120" s="14" t="n">
        <x:f>INT(ABS(K121-K120)*'공식·설정'!$B$8/K120)</x:f>
        <x:v>800</x:v>
      </x:c>
      <x:c r="Y120" s="68" t="n">
        <x:f>X120-W120</x:f>
        <x:v>0</x:v>
      </x:c>
      <x:c r="Z120" s="66" t="n">
        <x:f>W120/'공식·설정'!$B$8</x:f>
        <x:v>0.01220703125</x:v>
      </x:c>
      <x:c r="AA120" s="66" t="n">
        <x:f>X120/'공식·설정'!$B$8</x:f>
        <x:v>0.01220703125</x:v>
      </x:c>
      <x:c r="AB120" s="67" t="str">
        <x:f>IF(AND(I120=0,L120=0,Q120=0,T120=0,Y120=0),"PASS","FAIL")</x:f>
        <x:v>PASS</x:v>
      </x:c>
    </x:row>
    <x:row r="121" ht="18" customHeight="1">
      <x:c r="A121" s="14" t="n">
        <x:v>224</x:v>
      </x:c>
      <x:c r="B121" s="14" t="n">
        <x:v>116</x:v>
      </x:c>
      <x:c r="C121" s="14" t="n">
        <x:v>224</x:v>
      </x:c>
      <x:c r="D121" s="14" t="n">
        <x:v>916</x:v>
      </x:c>
      <x:c r="E121" s="14" t="n">
        <x:v>238</x:v>
      </x:c>
      <x:c r="F121" s="14" t="n">
        <x:v>1080</x:v>
      </x:c>
      <x:c r="G121" s="14" t="n">
        <x:v>916</x:v>
      </x:c>
      <x:c r="H121" s="14" t="n">
        <x:f>INT((F121-D121)*(A121-C121)/(E121-C121))+D121</x:f>
        <x:v>916</x:v>
      </x:c>
      <x:c r="I121" s="68" t="n">
        <x:f>H121-G121</x:f>
        <x:v>0</x:v>
      </x:c>
      <x:c r="J121" s="14" t="n">
        <x:v>5963</x:v>
      </x:c>
      <x:c r="K121" s="14" t="n">
        <x:f>INT(H121*'공식·설정'!$B$10/'공식·설정'!$B$15)</x:f>
        <x:v>5963</x:v>
      </x:c>
      <x:c r="L121" s="68" t="n">
        <x:f>K121-J121</x:f>
        <x:v>0</x:v>
      </x:c>
      <x:c r="M121" s="65" t="n">
        <x:f>J121/'공식·설정'!$B$7</x:f>
        <x:v>23.29296875</x:v>
      </x:c>
      <x:c r="N121" s="65" t="n">
        <x:f>K121/'공식·설정'!$B$7</x:f>
        <x:v>23.29296875</x:v>
      </x:c>
      <x:c r="O121" s="14" t="n">
        <x:v>2</x:v>
      </x:c>
      <x:c r="P121" s="14" t="n">
        <x:f>MIN(32767,MAX(0,INT((K121+INT('공식·설정'!$B$12/2))/'공식·설정'!$B$12)))</x:f>
        <x:v>2</x:v>
      </x:c>
      <x:c r="Q121" s="68" t="n">
        <x:f>P121-O121</x:f>
        <x:v>0</x:v>
      </x:c>
      <x:c r="R121" s="14" t="n">
        <x:v>13568</x:v>
      </x:c>
      <x:c r="S121" s="14" t="n">
        <x:f>P121*'공식·설정'!$B$12+'공식·설정'!$B$14</x:f>
        <x:v>13568</x:v>
      </x:c>
      <x:c r="T121" s="68" t="n">
        <x:f>S121-R121</x:f>
        <x:v>0</x:v>
      </x:c>
      <x:c r="U121" s="65" t="n">
        <x:f>R121/'공식·설정'!$B$7</x:f>
        <x:v>53</x:v>
      </x:c>
      <x:c r="V121" s="65" t="n">
        <x:f>S121/'공식·설정'!$B$7</x:f>
        <x:v>53</x:v>
      </x:c>
      <x:c r="W121" s="14" t="n">
        <x:v>791</x:v>
      </x:c>
      <x:c r="X121" s="14" t="n">
        <x:f>INT(ABS(K122-K121)*'공식·설정'!$B$8/K121)</x:f>
        <x:v>791</x:v>
      </x:c>
      <x:c r="Y121" s="68" t="n">
        <x:f>X121-W121</x:f>
        <x:v>0</x:v>
      </x:c>
      <x:c r="Z121" s="66" t="n">
        <x:f>W121/'공식·설정'!$B$8</x:f>
        <x:v>0.0120697021484375</x:v>
      </x:c>
      <x:c r="AA121" s="66" t="n">
        <x:f>X121/'공식·설정'!$B$8</x:f>
        <x:v>0.0120697021484375</x:v>
      </x:c>
      <x:c r="AB121" s="67" t="str">
        <x:f>IF(AND(I121=0,L121=0,Q121=0,T121=0,Y121=0),"PASS","FAIL")</x:f>
        <x:v>PASS</x:v>
      </x:c>
    </x:row>
    <x:row r="122" ht="18" customHeight="1">
      <x:c r="A122" s="14" t="n">
        <x:v>225</x:v>
      </x:c>
      <x:c r="B122" s="14" t="n">
        <x:v>117</x:v>
      </x:c>
      <x:c r="C122" s="14" t="n">
        <x:v>224</x:v>
      </x:c>
      <x:c r="D122" s="14" t="n">
        <x:v>916</x:v>
      </x:c>
      <x:c r="E122" s="14" t="n">
        <x:v>238</x:v>
      </x:c>
      <x:c r="F122" s="14" t="n">
        <x:v>1080</x:v>
      </x:c>
      <x:c r="G122" s="14" t="n">
        <x:v>927</x:v>
      </x:c>
      <x:c r="H122" s="14" t="n">
        <x:f>INT((F122-D122)*(A122-C122)/(E122-C122))+D122</x:f>
        <x:v>927</x:v>
      </x:c>
      <x:c r="I122" s="68" t="n">
        <x:f>H122-G122</x:f>
        <x:v>0</x:v>
      </x:c>
      <x:c r="J122" s="14" t="n">
        <x:v>6035</x:v>
      </x:c>
      <x:c r="K122" s="14" t="n">
        <x:f>INT(H122*'공식·설정'!$B$10/'공식·설정'!$B$15)</x:f>
        <x:v>6035</x:v>
      </x:c>
      <x:c r="L122" s="68" t="n">
        <x:f>K122-J122</x:f>
        <x:v>0</x:v>
      </x:c>
      <x:c r="M122" s="65" t="n">
        <x:f>J122/'공식·설정'!$B$7</x:f>
        <x:v>23.57421875</x:v>
      </x:c>
      <x:c r="N122" s="65" t="n">
        <x:f>K122/'공식·설정'!$B$7</x:f>
        <x:v>23.57421875</x:v>
      </x:c>
      <x:c r="O122" s="14" t="n">
        <x:v>2</x:v>
      </x:c>
      <x:c r="P122" s="14" t="n">
        <x:f>MIN(32767,MAX(0,INT((K122+INT('공식·설정'!$B$12/2))/'공식·설정'!$B$12)))</x:f>
        <x:v>2</x:v>
      </x:c>
      <x:c r="Q122" s="68" t="n">
        <x:f>P122-O122</x:f>
        <x:v>0</x:v>
      </x:c>
      <x:c r="R122" s="14" t="n">
        <x:v>13568</x:v>
      </x:c>
      <x:c r="S122" s="14" t="n">
        <x:f>P122*'공식·설정'!$B$12+'공식·설정'!$B$14</x:f>
        <x:v>13568</x:v>
      </x:c>
      <x:c r="T122" s="68" t="n">
        <x:f>S122-R122</x:f>
        <x:v>0</x:v>
      </x:c>
      <x:c r="U122" s="65" t="n">
        <x:f>R122/'공식·설정'!$B$7</x:f>
        <x:v>53</x:v>
      </x:c>
      <x:c r="V122" s="65" t="n">
        <x:f>S122/'공식·설정'!$B$7</x:f>
        <x:v>53</x:v>
      </x:c>
      <x:c r="W122" s="14" t="n">
        <x:v>847</x:v>
      </x:c>
      <x:c r="X122" s="14" t="n">
        <x:f>INT(ABS(K123-K122)*'공식·설정'!$B$8/K122)</x:f>
        <x:v>847</x:v>
      </x:c>
      <x:c r="Y122" s="68" t="n">
        <x:f>X122-W122</x:f>
        <x:v>0</x:v>
      </x:c>
      <x:c r="Z122" s="66" t="n">
        <x:f>W122/'공식·설정'!$B$8</x:f>
        <x:v>0.0129241943359375</x:v>
      </x:c>
      <x:c r="AA122" s="66" t="n">
        <x:f>X122/'공식·설정'!$B$8</x:f>
        <x:v>0.0129241943359375</x:v>
      </x:c>
      <x:c r="AB122" s="67" t="str">
        <x:f>IF(AND(I122=0,L122=0,Q122=0,T122=0,Y122=0),"PASS","FAIL")</x:f>
        <x:v>PASS</x:v>
      </x:c>
    </x:row>
    <x:row r="123" ht="18" customHeight="1">
      <x:c r="A123" s="14" t="n">
        <x:v>226</x:v>
      </x:c>
      <x:c r="B123" s="14" t="n">
        <x:v>118</x:v>
      </x:c>
      <x:c r="C123" s="14" t="n">
        <x:v>224</x:v>
      </x:c>
      <x:c r="D123" s="14" t="n">
        <x:v>916</x:v>
      </x:c>
      <x:c r="E123" s="14" t="n">
        <x:v>238</x:v>
      </x:c>
      <x:c r="F123" s="14" t="n">
        <x:v>1080</x:v>
      </x:c>
      <x:c r="G123" s="14" t="n">
        <x:v>939</x:v>
      </x:c>
      <x:c r="H123" s="14" t="n">
        <x:f>INT((F123-D123)*(A123-C123)/(E123-C123))+D123</x:f>
        <x:v>939</x:v>
      </x:c>
      <x:c r="I123" s="68" t="n">
        <x:f>H123-G123</x:f>
        <x:v>0</x:v>
      </x:c>
      <x:c r="J123" s="14" t="n">
        <x:v>6113</x:v>
      </x:c>
      <x:c r="K123" s="14" t="n">
        <x:f>INT(H123*'공식·설정'!$B$10/'공식·설정'!$B$15)</x:f>
        <x:v>6113</x:v>
      </x:c>
      <x:c r="L123" s="68" t="n">
        <x:f>K123-J123</x:f>
        <x:v>0</x:v>
      </x:c>
      <x:c r="M123" s="65" t="n">
        <x:f>J123/'공식·설정'!$B$7</x:f>
        <x:v>23.87890625</x:v>
      </x:c>
      <x:c r="N123" s="65" t="n">
        <x:f>K123/'공식·설정'!$B$7</x:f>
        <x:v>23.87890625</x:v>
      </x:c>
      <x:c r="O123" s="14" t="n">
        <x:v>2</x:v>
      </x:c>
      <x:c r="P123" s="14" t="n">
        <x:f>MIN(32767,MAX(0,INT((K123+INT('공식·설정'!$B$12/2))/'공식·설정'!$B$12)))</x:f>
        <x:v>2</x:v>
      </x:c>
      <x:c r="Q123" s="68" t="n">
        <x:f>P123-O123</x:f>
        <x:v>0</x:v>
      </x:c>
      <x:c r="R123" s="14" t="n">
        <x:v>13568</x:v>
      </x:c>
      <x:c r="S123" s="14" t="n">
        <x:f>P123*'공식·설정'!$B$12+'공식·설정'!$B$14</x:f>
        <x:v>13568</x:v>
      </x:c>
      <x:c r="T123" s="68" t="n">
        <x:f>S123-R123</x:f>
        <x:v>0</x:v>
      </x:c>
      <x:c r="U123" s="65" t="n">
        <x:f>R123/'공식·설정'!$B$7</x:f>
        <x:v>53</x:v>
      </x:c>
      <x:c r="V123" s="65" t="n">
        <x:f>S123/'공식·설정'!$B$7</x:f>
        <x:v>53</x:v>
      </x:c>
      <x:c r="W123" s="14" t="n">
        <x:v>836</x:v>
      </x:c>
      <x:c r="X123" s="14" t="n">
        <x:f>INT(ABS(K124-K123)*'공식·설정'!$B$8/K123)</x:f>
        <x:v>836</x:v>
      </x:c>
      <x:c r="Y123" s="68" t="n">
        <x:f>X123-W123</x:f>
        <x:v>0</x:v>
      </x:c>
      <x:c r="Z123" s="66" t="n">
        <x:f>W123/'공식·설정'!$B$8</x:f>
        <x:v>0.01275634765625</x:v>
      </x:c>
      <x:c r="AA123" s="66" t="n">
        <x:f>X123/'공식·설정'!$B$8</x:f>
        <x:v>0.01275634765625</x:v>
      </x:c>
      <x:c r="AB123" s="67" t="str">
        <x:f>IF(AND(I123=0,L123=0,Q123=0,T123=0,Y123=0),"PASS","FAIL")</x:f>
        <x:v>PASS</x:v>
      </x:c>
    </x:row>
    <x:row r="124" ht="18" customHeight="1">
      <x:c r="A124" s="14" t="n">
        <x:v>227</x:v>
      </x:c>
      <x:c r="B124" s="14" t="n">
        <x:v>119</x:v>
      </x:c>
      <x:c r="C124" s="14" t="n">
        <x:v>224</x:v>
      </x:c>
      <x:c r="D124" s="14" t="n">
        <x:v>916</x:v>
      </x:c>
      <x:c r="E124" s="14" t="n">
        <x:v>238</x:v>
      </x:c>
      <x:c r="F124" s="14" t="n">
        <x:v>1080</x:v>
      </x:c>
      <x:c r="G124" s="14" t="n">
        <x:v>951</x:v>
      </x:c>
      <x:c r="H124" s="14" t="n">
        <x:f>INT((F124-D124)*(A124-C124)/(E124-C124))+D124</x:f>
        <x:v>951</x:v>
      </x:c>
      <x:c r="I124" s="68" t="n">
        <x:f>H124-G124</x:f>
        <x:v>0</x:v>
      </x:c>
      <x:c r="J124" s="14" t="n">
        <x:v>6191</x:v>
      </x:c>
      <x:c r="K124" s="14" t="n">
        <x:f>INT(H124*'공식·설정'!$B$10/'공식·설정'!$B$15)</x:f>
        <x:v>6191</x:v>
      </x:c>
      <x:c r="L124" s="68" t="n">
        <x:f>K124-J124</x:f>
        <x:v>0</x:v>
      </x:c>
      <x:c r="M124" s="65" t="n">
        <x:f>J124/'공식·설정'!$B$7</x:f>
        <x:v>24.18359375</x:v>
      </x:c>
      <x:c r="N124" s="65" t="n">
        <x:f>K124/'공식·설정'!$B$7</x:f>
        <x:v>24.18359375</x:v>
      </x:c>
      <x:c r="O124" s="14" t="n">
        <x:v>2</x:v>
      </x:c>
      <x:c r="P124" s="14" t="n">
        <x:f>MIN(32767,MAX(0,INT((K124+INT('공식·설정'!$B$12/2))/'공식·설정'!$B$12)))</x:f>
        <x:v>2</x:v>
      </x:c>
      <x:c r="Q124" s="68" t="n">
        <x:f>P124-O124</x:f>
        <x:v>0</x:v>
      </x:c>
      <x:c r="R124" s="14" t="n">
        <x:v>13568</x:v>
      </x:c>
      <x:c r="S124" s="14" t="n">
        <x:f>P124*'공식·설정'!$B$12+'공식·설정'!$B$14</x:f>
        <x:v>13568</x:v>
      </x:c>
      <x:c r="T124" s="68" t="n">
        <x:f>S124-R124</x:f>
        <x:v>0</x:v>
      </x:c>
      <x:c r="U124" s="65" t="n">
        <x:f>R124/'공식·설정'!$B$7</x:f>
        <x:v>53</x:v>
      </x:c>
      <x:c r="V124" s="65" t="n">
        <x:f>S124/'공식·설정'!$B$7</x:f>
        <x:v>53</x:v>
      </x:c>
      <x:c r="W124" s="14" t="n">
        <x:v>751</x:v>
      </x:c>
      <x:c r="X124" s="14" t="n">
        <x:f>INT(ABS(K125-K124)*'공식·설정'!$B$8/K124)</x:f>
        <x:v>751</x:v>
      </x:c>
      <x:c r="Y124" s="68" t="n">
        <x:f>X124-W124</x:f>
        <x:v>0</x:v>
      </x:c>
      <x:c r="Z124" s="66" t="n">
        <x:f>W124/'공식·설정'!$B$8</x:f>
        <x:v>0.0114593505859375</x:v>
      </x:c>
      <x:c r="AA124" s="66" t="n">
        <x:f>X124/'공식·설정'!$B$8</x:f>
        <x:v>0.0114593505859375</x:v>
      </x:c>
      <x:c r="AB124" s="67" t="str">
        <x:f>IF(AND(I124=0,L124=0,Q124=0,T124=0,Y124=0),"PASS","FAIL")</x:f>
        <x:v>PASS</x:v>
      </x:c>
    </x:row>
    <x:row r="125" ht="18" customHeight="1">
      <x:c r="A125" s="14" t="n">
        <x:v>228</x:v>
      </x:c>
      <x:c r="B125" s="14" t="n">
        <x:v>120</x:v>
      </x:c>
      <x:c r="C125" s="14" t="n">
        <x:v>224</x:v>
      </x:c>
      <x:c r="D125" s="14" t="n">
        <x:v>916</x:v>
      </x:c>
      <x:c r="E125" s="14" t="n">
        <x:v>238</x:v>
      </x:c>
      <x:c r="F125" s="14" t="n">
        <x:v>1080</x:v>
      </x:c>
      <x:c r="G125" s="14" t="n">
        <x:v>962</x:v>
      </x:c>
      <x:c r="H125" s="14" t="n">
        <x:f>INT((F125-D125)*(A125-C125)/(E125-C125))+D125</x:f>
        <x:v>962</x:v>
      </x:c>
      <x:c r="I125" s="68" t="n">
        <x:f>H125-G125</x:f>
        <x:v>0</x:v>
      </x:c>
      <x:c r="J125" s="14" t="n">
        <x:v>6262</x:v>
      </x:c>
      <x:c r="K125" s="14" t="n">
        <x:f>INT(H125*'공식·설정'!$B$10/'공식·설정'!$B$15)</x:f>
        <x:v>6262</x:v>
      </x:c>
      <x:c r="L125" s="68" t="n">
        <x:f>K125-J125</x:f>
        <x:v>0</x:v>
      </x:c>
      <x:c r="M125" s="65" t="n">
        <x:f>J125/'공식·설정'!$B$7</x:f>
        <x:v>24.4609375</x:v>
      </x:c>
      <x:c r="N125" s="65" t="n">
        <x:f>K125/'공식·설정'!$B$7</x:f>
        <x:v>24.4609375</x:v>
      </x:c>
      <x:c r="O125" s="14" t="n">
        <x:v>2</x:v>
      </x:c>
      <x:c r="P125" s="14" t="n">
        <x:f>MIN(32767,MAX(0,INT((K125+INT('공식·설정'!$B$12/2))/'공식·설정'!$B$12)))</x:f>
        <x:v>2</x:v>
      </x:c>
      <x:c r="Q125" s="68" t="n">
        <x:f>P125-O125</x:f>
        <x:v>0</x:v>
      </x:c>
      <x:c r="R125" s="14" t="n">
        <x:v>13568</x:v>
      </x:c>
      <x:c r="S125" s="14" t="n">
        <x:f>P125*'공식·설정'!$B$12+'공식·설정'!$B$14</x:f>
        <x:v>13568</x:v>
      </x:c>
      <x:c r="T125" s="68" t="n">
        <x:f>S125-R125</x:f>
        <x:v>0</x:v>
      </x:c>
      <x:c r="U125" s="65" t="n">
        <x:f>R125/'공식·설정'!$B$7</x:f>
        <x:v>53</x:v>
      </x:c>
      <x:c r="V125" s="65" t="n">
        <x:f>S125/'공식·설정'!$B$7</x:f>
        <x:v>53</x:v>
      </x:c>
      <x:c r="W125" s="14" t="n">
        <x:v>826</x:v>
      </x:c>
      <x:c r="X125" s="14" t="n">
        <x:f>INT(ABS(K126-K125)*'공식·설정'!$B$8/K125)</x:f>
        <x:v>826</x:v>
      </x:c>
      <x:c r="Y125" s="68" t="n">
        <x:f>X125-W125</x:f>
        <x:v>0</x:v>
      </x:c>
      <x:c r="Z125" s="66" t="n">
        <x:f>W125/'공식·설정'!$B$8</x:f>
        <x:v>0.012603759765625</x:v>
      </x:c>
      <x:c r="AA125" s="66" t="n">
        <x:f>X125/'공식·설정'!$B$8</x:f>
        <x:v>0.012603759765625</x:v>
      </x:c>
      <x:c r="AB125" s="67" t="str">
        <x:f>IF(AND(I125=0,L125=0,Q125=0,T125=0,Y125=0),"PASS","FAIL")</x:f>
        <x:v>PASS</x:v>
      </x:c>
    </x:row>
    <x:row r="126" ht="18" customHeight="1">
      <x:c r="A126" s="14" t="n">
        <x:v>229</x:v>
      </x:c>
      <x:c r="B126" s="14" t="n">
        <x:v>121</x:v>
      </x:c>
      <x:c r="C126" s="14" t="n">
        <x:v>224</x:v>
      </x:c>
      <x:c r="D126" s="14" t="n">
        <x:v>916</x:v>
      </x:c>
      <x:c r="E126" s="14" t="n">
        <x:v>238</x:v>
      </x:c>
      <x:c r="F126" s="14" t="n">
        <x:v>1080</x:v>
      </x:c>
      <x:c r="G126" s="14" t="n">
        <x:v>974</x:v>
      </x:c>
      <x:c r="H126" s="14" t="n">
        <x:f>INT((F126-D126)*(A126-C126)/(E126-C126))+D126</x:f>
        <x:v>974</x:v>
      </x:c>
      <x:c r="I126" s="68" t="n">
        <x:f>H126-G126</x:f>
        <x:v>0</x:v>
      </x:c>
      <x:c r="J126" s="14" t="n">
        <x:v>6341</x:v>
      </x:c>
      <x:c r="K126" s="14" t="n">
        <x:f>INT(H126*'공식·설정'!$B$10/'공식·설정'!$B$15)</x:f>
        <x:v>6341</x:v>
      </x:c>
      <x:c r="L126" s="68" t="n">
        <x:f>K126-J126</x:f>
        <x:v>0</x:v>
      </x:c>
      <x:c r="M126" s="65" t="n">
        <x:f>J126/'공식·설정'!$B$7</x:f>
        <x:v>24.76953125</x:v>
      </x:c>
      <x:c r="N126" s="65" t="n">
        <x:f>K126/'공식·설정'!$B$7</x:f>
        <x:v>24.76953125</x:v>
      </x:c>
      <x:c r="O126" s="14" t="n">
        <x:v>2</x:v>
      </x:c>
      <x:c r="P126" s="14" t="n">
        <x:f>MIN(32767,MAX(0,INT((K126+INT('공식·설정'!$B$12/2))/'공식·설정'!$B$12)))</x:f>
        <x:v>2</x:v>
      </x:c>
      <x:c r="Q126" s="68" t="n">
        <x:f>P126-O126</x:f>
        <x:v>0</x:v>
      </x:c>
      <x:c r="R126" s="14" t="n">
        <x:v>13568</x:v>
      </x:c>
      <x:c r="S126" s="14" t="n">
        <x:f>P126*'공식·설정'!$B$12+'공식·설정'!$B$14</x:f>
        <x:v>13568</x:v>
      </x:c>
      <x:c r="T126" s="68" t="n">
        <x:f>S126-R126</x:f>
        <x:v>0</x:v>
      </x:c>
      <x:c r="U126" s="65" t="n">
        <x:f>R126/'공식·설정'!$B$7</x:f>
        <x:v>53</x:v>
      </x:c>
      <x:c r="V126" s="65" t="n">
        <x:f>S126/'공식·설정'!$B$7</x:f>
        <x:v>53</x:v>
      </x:c>
      <x:c r="W126" s="14" t="n">
        <x:v>806</x:v>
      </x:c>
      <x:c r="X126" s="14" t="n">
        <x:f>INT(ABS(K127-K126)*'공식·설정'!$B$8/K126)</x:f>
        <x:v>806</x:v>
      </x:c>
      <x:c r="Y126" s="68" t="n">
        <x:f>X126-W126</x:f>
        <x:v>0</x:v>
      </x:c>
      <x:c r="Z126" s="66" t="n">
        <x:f>W126/'공식·설정'!$B$8</x:f>
        <x:v>0.012298583984375</x:v>
      </x:c>
      <x:c r="AA126" s="66" t="n">
        <x:f>X126/'공식·설정'!$B$8</x:f>
        <x:v>0.012298583984375</x:v>
      </x:c>
      <x:c r="AB126" s="67" t="str">
        <x:f>IF(AND(I126=0,L126=0,Q126=0,T126=0,Y126=0),"PASS","FAIL")</x:f>
        <x:v>PASS</x:v>
      </x:c>
    </x:row>
    <x:row r="127" ht="18" customHeight="1">
      <x:c r="A127" s="14" t="n">
        <x:v>230</x:v>
      </x:c>
      <x:c r="B127" s="14" t="n">
        <x:v>122</x:v>
      </x:c>
      <x:c r="C127" s="14" t="n">
        <x:v>224</x:v>
      </x:c>
      <x:c r="D127" s="14" t="n">
        <x:v>916</x:v>
      </x:c>
      <x:c r="E127" s="14" t="n">
        <x:v>238</x:v>
      </x:c>
      <x:c r="F127" s="14" t="n">
        <x:v>1080</x:v>
      </x:c>
      <x:c r="G127" s="14" t="n">
        <x:v>986</x:v>
      </x:c>
      <x:c r="H127" s="14" t="n">
        <x:f>INT((F127-D127)*(A127-C127)/(E127-C127))+D127</x:f>
        <x:v>986</x:v>
      </x:c>
      <x:c r="I127" s="68" t="n">
        <x:f>H127-G127</x:f>
        <x:v>0</x:v>
      </x:c>
      <x:c r="J127" s="14" t="n">
        <x:v>6419</x:v>
      </x:c>
      <x:c r="K127" s="14" t="n">
        <x:f>INT(H127*'공식·설정'!$B$10/'공식·설정'!$B$15)</x:f>
        <x:v>6419</x:v>
      </x:c>
      <x:c r="L127" s="68" t="n">
        <x:f>K127-J127</x:f>
        <x:v>0</x:v>
      </x:c>
      <x:c r="M127" s="65" t="n">
        <x:f>J127/'공식·설정'!$B$7</x:f>
        <x:v>25.07421875</x:v>
      </x:c>
      <x:c r="N127" s="65" t="n">
        <x:f>K127/'공식·설정'!$B$7</x:f>
        <x:v>25.07421875</x:v>
      </x:c>
      <x:c r="O127" s="14" t="n">
        <x:v>3</x:v>
      </x:c>
      <x:c r="P127" s="14" t="n">
        <x:f>MIN(32767,MAX(0,INT((K127+INT('공식·설정'!$B$12/2))/'공식·설정'!$B$12)))</x:f>
        <x:v>3</x:v>
      </x:c>
      <x:c r="Q127" s="68" t="n">
        <x:f>P127-O127</x:f>
        <x:v>0</x:v>
      </x:c>
      <x:c r="R127" s="14" t="n">
        <x:v>16128</x:v>
      </x:c>
      <x:c r="S127" s="14" t="n">
        <x:f>P127*'공식·설정'!$B$12+'공식·설정'!$B$14</x:f>
        <x:v>16128</x:v>
      </x:c>
      <x:c r="T127" s="68" t="n">
        <x:f>S127-R127</x:f>
        <x:v>0</x:v>
      </x:c>
      <x:c r="U127" s="65" t="n">
        <x:f>R127/'공식·설정'!$B$7</x:f>
        <x:v>63</x:v>
      </x:c>
      <x:c r="V127" s="65" t="n">
        <x:f>S127/'공식·설정'!$B$7</x:f>
        <x:v>63</x:v>
      </x:c>
      <x:c r="W127" s="14" t="n">
        <x:v>796</x:v>
      </x:c>
      <x:c r="X127" s="14" t="n">
        <x:f>INT(ABS(K128-K127)*'공식·설정'!$B$8/K127)</x:f>
        <x:v>796</x:v>
      </x:c>
      <x:c r="Y127" s="68" t="n">
        <x:f>X127-W127</x:f>
        <x:v>0</x:v>
      </x:c>
      <x:c r="Z127" s="66" t="n">
        <x:f>W127/'공식·설정'!$B$8</x:f>
        <x:v>0.01214599609375</x:v>
      </x:c>
      <x:c r="AA127" s="66" t="n">
        <x:f>X127/'공식·설정'!$B$8</x:f>
        <x:v>0.01214599609375</x:v>
      </x:c>
      <x:c r="AB127" s="67" t="str">
        <x:f>IF(AND(I127=0,L127=0,Q127=0,T127=0,Y127=0),"PASS","FAIL")</x:f>
        <x:v>PASS</x:v>
      </x:c>
    </x:row>
    <x:row r="128" ht="18" customHeight="1">
      <x:c r="A128" s="14" t="n">
        <x:v>231</x:v>
      </x:c>
      <x:c r="B128" s="14" t="n">
        <x:v>123</x:v>
      </x:c>
      <x:c r="C128" s="14" t="n">
        <x:v>224</x:v>
      </x:c>
      <x:c r="D128" s="14" t="n">
        <x:v>916</x:v>
      </x:c>
      <x:c r="E128" s="14" t="n">
        <x:v>238</x:v>
      </x:c>
      <x:c r="F128" s="14" t="n">
        <x:v>1080</x:v>
      </x:c>
      <x:c r="G128" s="14" t="n">
        <x:v>998</x:v>
      </x:c>
      <x:c r="H128" s="14" t="n">
        <x:f>INT((F128-D128)*(A128-C128)/(E128-C128))+D128</x:f>
        <x:v>998</x:v>
      </x:c>
      <x:c r="I128" s="68" t="n">
        <x:f>H128-G128</x:f>
        <x:v>0</x:v>
      </x:c>
      <x:c r="J128" s="14" t="n">
        <x:v>6497</x:v>
      </x:c>
      <x:c r="K128" s="14" t="n">
        <x:f>INT(H128*'공식·설정'!$B$10/'공식·설정'!$B$15)</x:f>
        <x:v>6497</x:v>
      </x:c>
      <x:c r="L128" s="68" t="n">
        <x:f>K128-J128</x:f>
        <x:v>0</x:v>
      </x:c>
      <x:c r="M128" s="65" t="n">
        <x:f>J128/'공식·설정'!$B$7</x:f>
        <x:v>25.37890625</x:v>
      </x:c>
      <x:c r="N128" s="65" t="n">
        <x:f>K128/'공식·설정'!$B$7</x:f>
        <x:v>25.37890625</x:v>
      </x:c>
      <x:c r="O128" s="14" t="n">
        <x:v>3</x:v>
      </x:c>
      <x:c r="P128" s="14" t="n">
        <x:f>MIN(32767,MAX(0,INT((K128+INT('공식·설정'!$B$12/2))/'공식·설정'!$B$12)))</x:f>
        <x:v>3</x:v>
      </x:c>
      <x:c r="Q128" s="68" t="n">
        <x:f>P128-O128</x:f>
        <x:v>0</x:v>
      </x:c>
      <x:c r="R128" s="14" t="n">
        <x:v>16128</x:v>
      </x:c>
      <x:c r="S128" s="14" t="n">
        <x:f>P128*'공식·설정'!$B$12+'공식·설정'!$B$14</x:f>
        <x:v>16128</x:v>
      </x:c>
      <x:c r="T128" s="68" t="n">
        <x:f>S128-R128</x:f>
        <x:v>0</x:v>
      </x:c>
      <x:c r="U128" s="65" t="n">
        <x:f>R128/'공식·설정'!$B$7</x:f>
        <x:v>63</x:v>
      </x:c>
      <x:c r="V128" s="65" t="n">
        <x:f>S128/'공식·설정'!$B$7</x:f>
        <x:v>63</x:v>
      </x:c>
      <x:c r="W128" s="14" t="n">
        <x:v>716</x:v>
      </x:c>
      <x:c r="X128" s="14" t="n">
        <x:f>INT(ABS(K129-K128)*'공식·설정'!$B$8/K128)</x:f>
        <x:v>716</x:v>
      </x:c>
      <x:c r="Y128" s="68" t="n">
        <x:f>X128-W128</x:f>
        <x:v>0</x:v>
      </x:c>
      <x:c r="Z128" s="66" t="n">
        <x:f>W128/'공식·설정'!$B$8</x:f>
        <x:v>0.01092529296875</x:v>
      </x:c>
      <x:c r="AA128" s="66" t="n">
        <x:f>X128/'공식·설정'!$B$8</x:f>
        <x:v>0.01092529296875</x:v>
      </x:c>
      <x:c r="AB128" s="67" t="str">
        <x:f>IF(AND(I128=0,L128=0,Q128=0,T128=0,Y128=0),"PASS","FAIL")</x:f>
        <x:v>PASS</x:v>
      </x:c>
    </x:row>
    <x:row r="129" ht="18" customHeight="1">
      <x:c r="A129" s="14" t="n">
        <x:v>232</x:v>
      </x:c>
      <x:c r="B129" s="14" t="n">
        <x:v>124</x:v>
      </x:c>
      <x:c r="C129" s="14" t="n">
        <x:v>224</x:v>
      </x:c>
      <x:c r="D129" s="14" t="n">
        <x:v>916</x:v>
      </x:c>
      <x:c r="E129" s="14" t="n">
        <x:v>238</x:v>
      </x:c>
      <x:c r="F129" s="14" t="n">
        <x:v>1080</x:v>
      </x:c>
      <x:c r="G129" s="14" t="n">
        <x:v>1009</x:v>
      </x:c>
      <x:c r="H129" s="14" t="n">
        <x:f>INT((F129-D129)*(A129-C129)/(E129-C129))+D129</x:f>
        <x:v>1009</x:v>
      </x:c>
      <x:c r="I129" s="68" t="n">
        <x:f>H129-G129</x:f>
        <x:v>0</x:v>
      </x:c>
      <x:c r="J129" s="14" t="n">
        <x:v>6568</x:v>
      </x:c>
      <x:c r="K129" s="14" t="n">
        <x:f>INT(H129*'공식·설정'!$B$10/'공식·설정'!$B$15)</x:f>
        <x:v>6568</x:v>
      </x:c>
      <x:c r="L129" s="68" t="n">
        <x:f>K129-J129</x:f>
        <x:v>0</x:v>
      </x:c>
      <x:c r="M129" s="65" t="n">
        <x:f>J129/'공식·설정'!$B$7</x:f>
        <x:v>25.65625</x:v>
      </x:c>
      <x:c r="N129" s="65" t="n">
        <x:f>K129/'공식·설정'!$B$7</x:f>
        <x:v>25.65625</x:v>
      </x:c>
      <x:c r="O129" s="14" t="n">
        <x:v>3</x:v>
      </x:c>
      <x:c r="P129" s="14" t="n">
        <x:f>MIN(32767,MAX(0,INT((K129+INT('공식·설정'!$B$12/2))/'공식·설정'!$B$12)))</x:f>
        <x:v>3</x:v>
      </x:c>
      <x:c r="Q129" s="68" t="n">
        <x:f>P129-O129</x:f>
        <x:v>0</x:v>
      </x:c>
      <x:c r="R129" s="14" t="n">
        <x:v>16128</x:v>
      </x:c>
      <x:c r="S129" s="14" t="n">
        <x:f>P129*'공식·설정'!$B$12+'공식·설정'!$B$14</x:f>
        <x:v>16128</x:v>
      </x:c>
      <x:c r="T129" s="68" t="n">
        <x:f>S129-R129</x:f>
        <x:v>0</x:v>
      </x:c>
      <x:c r="U129" s="65" t="n">
        <x:f>R129/'공식·설정'!$B$7</x:f>
        <x:v>63</x:v>
      </x:c>
      <x:c r="V129" s="65" t="n">
        <x:f>S129/'공식·설정'!$B$7</x:f>
        <x:v>63</x:v>
      </x:c>
      <x:c r="W129" s="14" t="n">
        <x:v>778</x:v>
      </x:c>
      <x:c r="X129" s="14" t="n">
        <x:f>INT(ABS(K130-K129)*'공식·설정'!$B$8/K129)</x:f>
        <x:v>778</x:v>
      </x:c>
      <x:c r="Y129" s="68" t="n">
        <x:f>X129-W129</x:f>
        <x:v>0</x:v>
      </x:c>
      <x:c r="Z129" s="66" t="n">
        <x:f>W129/'공식·설정'!$B$8</x:f>
        <x:v>0.011871337890625</x:v>
      </x:c>
      <x:c r="AA129" s="66" t="n">
        <x:f>X129/'공식·설정'!$B$8</x:f>
        <x:v>0.011871337890625</x:v>
      </x:c>
      <x:c r="AB129" s="67" t="str">
        <x:f>IF(AND(I129=0,L129=0,Q129=0,T129=0,Y129=0),"PASS","FAIL")</x:f>
        <x:v>PASS</x:v>
      </x:c>
    </x:row>
    <x:row r="130" ht="18" customHeight="1">
      <x:c r="A130" s="14" t="n">
        <x:v>233</x:v>
      </x:c>
      <x:c r="B130" s="14" t="n">
        <x:v>125</x:v>
      </x:c>
      <x:c r="C130" s="14" t="n">
        <x:v>224</x:v>
      </x:c>
      <x:c r="D130" s="14" t="n">
        <x:v>916</x:v>
      </x:c>
      <x:c r="E130" s="14" t="n">
        <x:v>238</x:v>
      </x:c>
      <x:c r="F130" s="14" t="n">
        <x:v>1080</x:v>
      </x:c>
      <x:c r="G130" s="14" t="n">
        <x:v>1021</x:v>
      </x:c>
      <x:c r="H130" s="14" t="n">
        <x:f>INT((F130-D130)*(A130-C130)/(E130-C130))+D130</x:f>
        <x:v>1021</x:v>
      </x:c>
      <x:c r="I130" s="68" t="n">
        <x:f>H130-G130</x:f>
        <x:v>0</x:v>
      </x:c>
      <x:c r="J130" s="14" t="n">
        <x:v>6646</x:v>
      </x:c>
      <x:c r="K130" s="14" t="n">
        <x:f>INT(H130*'공식·설정'!$B$10/'공식·설정'!$B$15)</x:f>
        <x:v>6646</x:v>
      </x:c>
      <x:c r="L130" s="68" t="n">
        <x:f>K130-J130</x:f>
        <x:v>0</x:v>
      </x:c>
      <x:c r="M130" s="65" t="n">
        <x:f>J130/'공식·설정'!$B$7</x:f>
        <x:v>25.9609375</x:v>
      </x:c>
      <x:c r="N130" s="65" t="n">
        <x:f>K130/'공식·설정'!$B$7</x:f>
        <x:v>25.9609375</x:v>
      </x:c>
      <x:c r="O130" s="14" t="n">
        <x:v>3</x:v>
      </x:c>
      <x:c r="P130" s="14" t="n">
        <x:f>MIN(32767,MAX(0,INT((K130+INT('공식·설정'!$B$12/2))/'공식·설정'!$B$12)))</x:f>
        <x:v>3</x:v>
      </x:c>
      <x:c r="Q130" s="68" t="n">
        <x:f>P130-O130</x:f>
        <x:v>0</x:v>
      </x:c>
      <x:c r="R130" s="14" t="n">
        <x:v>16128</x:v>
      </x:c>
      <x:c r="S130" s="14" t="n">
        <x:f>P130*'공식·설정'!$B$12+'공식·설정'!$B$14</x:f>
        <x:v>16128</x:v>
      </x:c>
      <x:c r="T130" s="68" t="n">
        <x:f>S130-R130</x:f>
        <x:v>0</x:v>
      </x:c>
      <x:c r="U130" s="65" t="n">
        <x:f>R130/'공식·설정'!$B$7</x:f>
        <x:v>63</x:v>
      </x:c>
      <x:c r="V130" s="65" t="n">
        <x:f>S130/'공식·설정'!$B$7</x:f>
        <x:v>63</x:v>
      </x:c>
      <x:c r="W130" s="14" t="n">
        <x:v>779</x:v>
      </x:c>
      <x:c r="X130" s="14" t="n">
        <x:f>INT(ABS(K131-K130)*'공식·설정'!$B$8/K130)</x:f>
        <x:v>779</x:v>
      </x:c>
      <x:c r="Y130" s="68" t="n">
        <x:f>X130-W130</x:f>
        <x:v>0</x:v>
      </x:c>
      <x:c r="Z130" s="66" t="n">
        <x:f>W130/'공식·설정'!$B$8</x:f>
        <x:v>0.0118865966796875</x:v>
      </x:c>
      <x:c r="AA130" s="66" t="n">
        <x:f>X130/'공식·설정'!$B$8</x:f>
        <x:v>0.0118865966796875</x:v>
      </x:c>
      <x:c r="AB130" s="67" t="str">
        <x:f>IF(AND(I130=0,L130=0,Q130=0,T130=0,Y130=0),"PASS","FAIL")</x:f>
        <x:v>PASS</x:v>
      </x:c>
    </x:row>
    <x:row r="131" ht="18" customHeight="1">
      <x:c r="A131" s="14" t="n">
        <x:v>234</x:v>
      </x:c>
      <x:c r="B131" s="14" t="n">
        <x:v>126</x:v>
      </x:c>
      <x:c r="C131" s="14" t="n">
        <x:v>224</x:v>
      </x:c>
      <x:c r="D131" s="14" t="n">
        <x:v>916</x:v>
      </x:c>
      <x:c r="E131" s="14" t="n">
        <x:v>238</x:v>
      </x:c>
      <x:c r="F131" s="14" t="n">
        <x:v>1080</x:v>
      </x:c>
      <x:c r="G131" s="14" t="n">
        <x:v>1033</x:v>
      </x:c>
      <x:c r="H131" s="14" t="n">
        <x:f>INT((F131-D131)*(A131-C131)/(E131-C131))+D131</x:f>
        <x:v>1033</x:v>
      </x:c>
      <x:c r="I131" s="68" t="n">
        <x:f>H131-G131</x:f>
        <x:v>0</x:v>
      </x:c>
      <x:c r="J131" s="14" t="n">
        <x:v>6725</x:v>
      </x:c>
      <x:c r="K131" s="14" t="n">
        <x:f>INT(H131*'공식·설정'!$B$10/'공식·설정'!$B$15)</x:f>
        <x:v>6725</x:v>
      </x:c>
      <x:c r="L131" s="68" t="n">
        <x:f>K131-J131</x:f>
        <x:v>0</x:v>
      </x:c>
      <x:c r="M131" s="65" t="n">
        <x:f>J131/'공식·설정'!$B$7</x:f>
        <x:v>26.26953125</x:v>
      </x:c>
      <x:c r="N131" s="65" t="n">
        <x:f>K131/'공식·설정'!$B$7</x:f>
        <x:v>26.26953125</x:v>
      </x:c>
      <x:c r="O131" s="14" t="n">
        <x:v>3</x:v>
      </x:c>
      <x:c r="P131" s="14" t="n">
        <x:f>MIN(32767,MAX(0,INT((K131+INT('공식·설정'!$B$12/2))/'공식·설정'!$B$12)))</x:f>
        <x:v>3</x:v>
      </x:c>
      <x:c r="Q131" s="68" t="n">
        <x:f>P131-O131</x:f>
        <x:v>0</x:v>
      </x:c>
      <x:c r="R131" s="14" t="n">
        <x:v>16128</x:v>
      </x:c>
      <x:c r="S131" s="14" t="n">
        <x:f>P131*'공식·설정'!$B$12+'공식·설정'!$B$14</x:f>
        <x:v>16128</x:v>
      </x:c>
      <x:c r="T131" s="68" t="n">
        <x:f>S131-R131</x:f>
        <x:v>0</x:v>
      </x:c>
      <x:c r="U131" s="65" t="n">
        <x:f>R131/'공식·설정'!$B$7</x:f>
        <x:v>63</x:v>
      </x:c>
      <x:c r="V131" s="65" t="n">
        <x:f>S131/'공식·설정'!$B$7</x:f>
        <x:v>63</x:v>
      </x:c>
      <x:c r="W131" s="14" t="n">
        <x:v>691</x:v>
      </x:c>
      <x:c r="X131" s="14" t="n">
        <x:f>INT(ABS(K132-K131)*'공식·설정'!$B$8/K131)</x:f>
        <x:v>691</x:v>
      </x:c>
      <x:c r="Y131" s="68" t="n">
        <x:f>X131-W131</x:f>
        <x:v>0</x:v>
      </x:c>
      <x:c r="Z131" s="66" t="n">
        <x:f>W131/'공식·설정'!$B$8</x:f>
        <x:v>0.0105438232421875</x:v>
      </x:c>
      <x:c r="AA131" s="66" t="n">
        <x:f>X131/'공식·설정'!$B$8</x:f>
        <x:v>0.0105438232421875</x:v>
      </x:c>
      <x:c r="AB131" s="67" t="str">
        <x:f>IF(AND(I131=0,L131=0,Q131=0,T131=0,Y131=0),"PASS","FAIL")</x:f>
        <x:v>PASS</x:v>
      </x:c>
    </x:row>
    <x:row r="132" ht="18" customHeight="1">
      <x:c r="A132" s="14" t="n">
        <x:v>235</x:v>
      </x:c>
      <x:c r="B132" s="14" t="n">
        <x:v>127</x:v>
      </x:c>
      <x:c r="C132" s="14" t="n">
        <x:v>224</x:v>
      </x:c>
      <x:c r="D132" s="14" t="n">
        <x:v>916</x:v>
      </x:c>
      <x:c r="E132" s="14" t="n">
        <x:v>238</x:v>
      </x:c>
      <x:c r="F132" s="14" t="n">
        <x:v>1080</x:v>
      </x:c>
      <x:c r="G132" s="14" t="n">
        <x:v>1044</x:v>
      </x:c>
      <x:c r="H132" s="14" t="n">
        <x:f>INT((F132-D132)*(A132-C132)/(E132-C132))+D132</x:f>
        <x:v>1044</x:v>
      </x:c>
      <x:c r="I132" s="68" t="n">
        <x:f>H132-G132</x:f>
        <x:v>0</x:v>
      </x:c>
      <x:c r="J132" s="14" t="n">
        <x:v>6796</x:v>
      </x:c>
      <x:c r="K132" s="14" t="n">
        <x:f>INT(H132*'공식·설정'!$B$10/'공식·설정'!$B$15)</x:f>
        <x:v>6796</x:v>
      </x:c>
      <x:c r="L132" s="68" t="n">
        <x:f>K132-J132</x:f>
        <x:v>0</x:v>
      </x:c>
      <x:c r="M132" s="65" t="n">
        <x:f>J132/'공식·설정'!$B$7</x:f>
        <x:v>26.546875</x:v>
      </x:c>
      <x:c r="N132" s="65" t="n">
        <x:f>K132/'공식·설정'!$B$7</x:f>
        <x:v>26.546875</x:v>
      </x:c>
      <x:c r="O132" s="14" t="n">
        <x:v>3</x:v>
      </x:c>
      <x:c r="P132" s="14" t="n">
        <x:f>MIN(32767,MAX(0,INT((K132+INT('공식·설정'!$B$12/2))/'공식·설정'!$B$12)))</x:f>
        <x:v>3</x:v>
      </x:c>
      <x:c r="Q132" s="68" t="n">
        <x:f>P132-O132</x:f>
        <x:v>0</x:v>
      </x:c>
      <x:c r="R132" s="14" t="n">
        <x:v>16128</x:v>
      </x:c>
      <x:c r="S132" s="14" t="n">
        <x:f>P132*'공식·설정'!$B$12+'공식·설정'!$B$14</x:f>
        <x:v>16128</x:v>
      </x:c>
      <x:c r="T132" s="68" t="n">
        <x:f>S132-R132</x:f>
        <x:v>0</x:v>
      </x:c>
      <x:c r="U132" s="65" t="n">
        <x:f>R132/'공식·설정'!$B$7</x:f>
        <x:v>63</x:v>
      </x:c>
      <x:c r="V132" s="65" t="n">
        <x:f>S132/'공식·설정'!$B$7</x:f>
        <x:v>63</x:v>
      </x:c>
      <x:c r="W132" s="14" t="n">
        <x:v>752</x:v>
      </x:c>
      <x:c r="X132" s="14" t="n">
        <x:f>INT(ABS(K133-K132)*'공식·설정'!$B$8/K132)</x:f>
        <x:v>752</x:v>
      </x:c>
      <x:c r="Y132" s="68" t="n">
        <x:f>X132-W132</x:f>
        <x:v>0</x:v>
      </x:c>
      <x:c r="Z132" s="66" t="n">
        <x:f>W132/'공식·설정'!$B$8</x:f>
        <x:v>0.011474609375</x:v>
      </x:c>
      <x:c r="AA132" s="66" t="n">
        <x:f>X132/'공식·설정'!$B$8</x:f>
        <x:v>0.011474609375</x:v>
      </x:c>
      <x:c r="AB132" s="67" t="str">
        <x:f>IF(AND(I132=0,L132=0,Q132=0,T132=0,Y132=0),"PASS","FAIL")</x:f>
        <x:v>PASS</x:v>
      </x:c>
    </x:row>
    <x:row r="133" ht="18" customHeight="1">
      <x:c r="A133" s="14" t="n">
        <x:v>236</x:v>
      </x:c>
      <x:c r="B133" s="14" t="n">
        <x:v>128</x:v>
      </x:c>
      <x:c r="C133" s="14" t="n">
        <x:v>224</x:v>
      </x:c>
      <x:c r="D133" s="14" t="n">
        <x:v>916</x:v>
      </x:c>
      <x:c r="E133" s="14" t="n">
        <x:v>238</x:v>
      </x:c>
      <x:c r="F133" s="14" t="n">
        <x:v>1080</x:v>
      </x:c>
      <x:c r="G133" s="14" t="n">
        <x:v>1056</x:v>
      </x:c>
      <x:c r="H133" s="14" t="n">
        <x:f>INT((F133-D133)*(A133-C133)/(E133-C133))+D133</x:f>
        <x:v>1056</x:v>
      </x:c>
      <x:c r="I133" s="68" t="n">
        <x:f>H133-G133</x:f>
        <x:v>0</x:v>
      </x:c>
      <x:c r="J133" s="14" t="n">
        <x:v>6874</x:v>
      </x:c>
      <x:c r="K133" s="14" t="n">
        <x:f>INT(H133*'공식·설정'!$B$10/'공식·설정'!$B$15)</x:f>
        <x:v>6874</x:v>
      </x:c>
      <x:c r="L133" s="68" t="n">
        <x:f>K133-J133</x:f>
        <x:v>0</x:v>
      </x:c>
      <x:c r="M133" s="65" t="n">
        <x:f>J133/'공식·설정'!$B$7</x:f>
        <x:v>26.8515625</x:v>
      </x:c>
      <x:c r="N133" s="65" t="n">
        <x:f>K133/'공식·설정'!$B$7</x:f>
        <x:v>26.8515625</x:v>
      </x:c>
      <x:c r="O133" s="14" t="n">
        <x:v>3</x:v>
      </x:c>
      <x:c r="P133" s="14" t="n">
        <x:f>MIN(32767,MAX(0,INT((K133+INT('공식·설정'!$B$12/2))/'공식·설정'!$B$12)))</x:f>
        <x:v>3</x:v>
      </x:c>
      <x:c r="Q133" s="68" t="n">
        <x:f>P133-O133</x:f>
        <x:v>0</x:v>
      </x:c>
      <x:c r="R133" s="14" t="n">
        <x:v>16128</x:v>
      </x:c>
      <x:c r="S133" s="14" t="n">
        <x:f>P133*'공식·설정'!$B$12+'공식·설정'!$B$14</x:f>
        <x:v>16128</x:v>
      </x:c>
      <x:c r="T133" s="68" t="n">
        <x:f>S133-R133</x:f>
        <x:v>0</x:v>
      </x:c>
      <x:c r="U133" s="65" t="n">
        <x:f>R133/'공식·설정'!$B$7</x:f>
        <x:v>63</x:v>
      </x:c>
      <x:c r="V133" s="65" t="n">
        <x:f>S133/'공식·설정'!$B$7</x:f>
        <x:v>63</x:v>
      </x:c>
      <x:c r="W133" s="14" t="n">
        <x:v>743</x:v>
      </x:c>
      <x:c r="X133" s="14" t="n">
        <x:f>INT(ABS(K134-K133)*'공식·설정'!$B$8/K133)</x:f>
        <x:v>743</x:v>
      </x:c>
      <x:c r="Y133" s="68" t="n">
        <x:f>X133-W133</x:f>
        <x:v>0</x:v>
      </x:c>
      <x:c r="Z133" s="66" t="n">
        <x:f>W133/'공식·설정'!$B$8</x:f>
        <x:v>0.0113372802734375</x:v>
      </x:c>
      <x:c r="AA133" s="66" t="n">
        <x:f>X133/'공식·설정'!$B$8</x:f>
        <x:v>0.0113372802734375</x:v>
      </x:c>
      <x:c r="AB133" s="67" t="str">
        <x:f>IF(AND(I133=0,L133=0,Q133=0,T133=0,Y133=0),"PASS","FAIL")</x:f>
        <x:v>PASS</x:v>
      </x:c>
    </x:row>
    <x:row r="134" ht="18" customHeight="1">
      <x:c r="A134" s="14" t="n">
        <x:v>237</x:v>
      </x:c>
      <x:c r="B134" s="14" t="n">
        <x:v>129</x:v>
      </x:c>
      <x:c r="C134" s="14" t="n">
        <x:v>224</x:v>
      </x:c>
      <x:c r="D134" s="14" t="n">
        <x:v>916</x:v>
      </x:c>
      <x:c r="E134" s="14" t="n">
        <x:v>238</x:v>
      </x:c>
      <x:c r="F134" s="14" t="n">
        <x:v>1080</x:v>
      </x:c>
      <x:c r="G134" s="14" t="n">
        <x:v>1068</x:v>
      </x:c>
      <x:c r="H134" s="14" t="n">
        <x:f>INT((F134-D134)*(A134-C134)/(E134-C134))+D134</x:f>
        <x:v>1068</x:v>
      </x:c>
      <x:c r="I134" s="68" t="n">
        <x:f>H134-G134</x:f>
        <x:v>0</x:v>
      </x:c>
      <x:c r="J134" s="14" t="n">
        <x:v>6952</x:v>
      </x:c>
      <x:c r="K134" s="14" t="n">
        <x:f>INT(H134*'공식·설정'!$B$10/'공식·설정'!$B$15)</x:f>
        <x:v>6952</x:v>
      </x:c>
      <x:c r="L134" s="68" t="n">
        <x:f>K134-J134</x:f>
        <x:v>0</x:v>
      </x:c>
      <x:c r="M134" s="65" t="n">
        <x:f>J134/'공식·설정'!$B$7</x:f>
        <x:v>27.15625</x:v>
      </x:c>
      <x:c r="N134" s="65" t="n">
        <x:f>K134/'공식·설정'!$B$7</x:f>
        <x:v>27.15625</x:v>
      </x:c>
      <x:c r="O134" s="14" t="n">
        <x:v>3</x:v>
      </x:c>
      <x:c r="P134" s="14" t="n">
        <x:f>MIN(32767,MAX(0,INT((K134+INT('공식·설정'!$B$12/2))/'공식·설정'!$B$12)))</x:f>
        <x:v>3</x:v>
      </x:c>
      <x:c r="Q134" s="68" t="n">
        <x:f>P134-O134</x:f>
        <x:v>0</x:v>
      </x:c>
      <x:c r="R134" s="14" t="n">
        <x:v>16128</x:v>
      </x:c>
      <x:c r="S134" s="14" t="n">
        <x:f>P134*'공식·설정'!$B$12+'공식·설정'!$B$14</x:f>
        <x:v>16128</x:v>
      </x:c>
      <x:c r="T134" s="68" t="n">
        <x:f>S134-R134</x:f>
        <x:v>0</x:v>
      </x:c>
      <x:c r="U134" s="65" t="n">
        <x:f>R134/'공식·설정'!$B$7</x:f>
        <x:v>63</x:v>
      </x:c>
      <x:c r="V134" s="65" t="n">
        <x:f>S134/'공식·설정'!$B$7</x:f>
        <x:v>63</x:v>
      </x:c>
      <x:c r="W134" s="14" t="n">
        <x:v>744</x:v>
      </x:c>
      <x:c r="X134" s="14" t="n">
        <x:f>INT(ABS(K135-K134)*'공식·설정'!$B$8/K134)</x:f>
        <x:v>744</x:v>
      </x:c>
      <x:c r="Y134" s="68" t="n">
        <x:f>X134-W134</x:f>
        <x:v>0</x:v>
      </x:c>
      <x:c r="Z134" s="66" t="n">
        <x:f>W134/'공식·설정'!$B$8</x:f>
        <x:v>0.0113525390625</x:v>
      </x:c>
      <x:c r="AA134" s="66" t="n">
        <x:f>X134/'공식·설정'!$B$8</x:f>
        <x:v>0.0113525390625</x:v>
      </x:c>
      <x:c r="AB134" s="67" t="str">
        <x:f>IF(AND(I134=0,L134=0,Q134=0,T134=0,Y134=0),"PASS","FAIL")</x:f>
        <x:v>PASS</x:v>
      </x:c>
    </x:row>
    <x:row r="135" ht="18" customHeight="1">
      <x:c r="A135" s="14" t="n">
        <x:v>238</x:v>
      </x:c>
      <x:c r="B135" s="14" t="n">
        <x:v>130</x:v>
      </x:c>
      <x:c r="C135" s="14" t="n">
        <x:v>238</x:v>
      </x:c>
      <x:c r="D135" s="14" t="n">
        <x:v>1080</x:v>
      </x:c>
      <x:c r="E135" s="14" t="n">
        <x:v>252</x:v>
      </x:c>
      <x:c r="F135" s="14" t="n">
        <x:v>1270</x:v>
      </x:c>
      <x:c r="G135" s="14" t="n">
        <x:v>1080</x:v>
      </x:c>
      <x:c r="H135" s="14" t="n">
        <x:f>INT((F135-D135)*(A135-C135)/(E135-C135))+D135</x:f>
        <x:v>1080</x:v>
      </x:c>
      <x:c r="I135" s="68" t="n">
        <x:f>H135-G135</x:f>
        <x:v>0</x:v>
      </x:c>
      <x:c r="J135" s="14" t="n">
        <x:v>7031</x:v>
      </x:c>
      <x:c r="K135" s="14" t="n">
        <x:f>INT(H135*'공식·설정'!$B$10/'공식·설정'!$B$15)</x:f>
        <x:v>7031</x:v>
      </x:c>
      <x:c r="L135" s="68" t="n">
        <x:f>K135-J135</x:f>
        <x:v>0</x:v>
      </x:c>
      <x:c r="M135" s="65" t="n">
        <x:f>J135/'공식·설정'!$B$7</x:f>
        <x:v>27.46484375</x:v>
      </x:c>
      <x:c r="N135" s="65" t="n">
        <x:f>K135/'공식·설정'!$B$7</x:f>
        <x:v>27.46484375</x:v>
      </x:c>
      <x:c r="O135" s="14" t="n">
        <x:v>3</x:v>
      </x:c>
      <x:c r="P135" s="14" t="n">
        <x:f>MIN(32767,MAX(0,INT((K135+INT('공식·설정'!$B$12/2))/'공식·설정'!$B$12)))</x:f>
        <x:v>3</x:v>
      </x:c>
      <x:c r="Q135" s="68" t="n">
        <x:f>P135-O135</x:f>
        <x:v>0</x:v>
      </x:c>
      <x:c r="R135" s="14" t="n">
        <x:v>16128</x:v>
      </x:c>
      <x:c r="S135" s="14" t="n">
        <x:f>P135*'공식·설정'!$B$12+'공식·설정'!$B$14</x:f>
        <x:v>16128</x:v>
      </x:c>
      <x:c r="T135" s="68" t="n">
        <x:f>S135-R135</x:f>
        <x:v>0</x:v>
      </x:c>
      <x:c r="U135" s="65" t="n">
        <x:f>R135/'공식·설정'!$B$7</x:f>
        <x:v>63</x:v>
      </x:c>
      <x:c r="V135" s="65" t="n">
        <x:f>S135/'공식·설정'!$B$7</x:f>
        <x:v>63</x:v>
      </x:c>
      <x:c r="W135" s="14" t="n">
        <x:v>782</x:v>
      </x:c>
      <x:c r="X135" s="14" t="n">
        <x:f>INT(ABS(K136-K135)*'공식·설정'!$B$8/K135)</x:f>
        <x:v>782</x:v>
      </x:c>
      <x:c r="Y135" s="68" t="n">
        <x:f>X135-W135</x:f>
        <x:v>0</x:v>
      </x:c>
      <x:c r="Z135" s="66" t="n">
        <x:f>W135/'공식·설정'!$B$8</x:f>
        <x:v>0.011932373046875</x:v>
      </x:c>
      <x:c r="AA135" s="66" t="n">
        <x:f>X135/'공식·설정'!$B$8</x:f>
        <x:v>0.011932373046875</x:v>
      </x:c>
      <x:c r="AB135" s="67" t="str">
        <x:f>IF(AND(I135=0,L135=0,Q135=0,T135=0,Y135=0),"PASS","FAIL")</x:f>
        <x:v>PASS</x:v>
      </x:c>
    </x:row>
    <x:row r="136" ht="18" customHeight="1">
      <x:c r="A136" s="14" t="n">
        <x:v>239</x:v>
      </x:c>
      <x:c r="B136" s="14" t="n">
        <x:v>131</x:v>
      </x:c>
      <x:c r="C136" s="14" t="n">
        <x:v>238</x:v>
      </x:c>
      <x:c r="D136" s="14" t="n">
        <x:v>1080</x:v>
      </x:c>
      <x:c r="E136" s="14" t="n">
        <x:v>252</x:v>
      </x:c>
      <x:c r="F136" s="14" t="n">
        <x:v>1270</x:v>
      </x:c>
      <x:c r="G136" s="14" t="n">
        <x:v>1093</x:v>
      </x:c>
      <x:c r="H136" s="14" t="n">
        <x:f>INT((F136-D136)*(A136-C136)/(E136-C136))+D136</x:f>
        <x:v>1093</x:v>
      </x:c>
      <x:c r="I136" s="68" t="n">
        <x:f>H136-G136</x:f>
        <x:v>0</x:v>
      </x:c>
      <x:c r="J136" s="14" t="n">
        <x:v>7115</x:v>
      </x:c>
      <x:c r="K136" s="14" t="n">
        <x:f>INT(H136*'공식·설정'!$B$10/'공식·설정'!$B$15)</x:f>
        <x:v>7115</x:v>
      </x:c>
      <x:c r="L136" s="68" t="n">
        <x:f>K136-J136</x:f>
        <x:v>0</x:v>
      </x:c>
      <x:c r="M136" s="65" t="n">
        <x:f>J136/'공식·설정'!$B$7</x:f>
        <x:v>27.79296875</x:v>
      </x:c>
      <x:c r="N136" s="65" t="n">
        <x:f>K136/'공식·설정'!$B$7</x:f>
        <x:v>27.79296875</x:v>
      </x:c>
      <x:c r="O136" s="14" t="n">
        <x:v>3</x:v>
      </x:c>
      <x:c r="P136" s="14" t="n">
        <x:f>MIN(32767,MAX(0,INT((K136+INT('공식·설정'!$B$12/2))/'공식·설정'!$B$12)))</x:f>
        <x:v>3</x:v>
      </x:c>
      <x:c r="Q136" s="68" t="n">
        <x:f>P136-O136</x:f>
        <x:v>0</x:v>
      </x:c>
      <x:c r="R136" s="14" t="n">
        <x:v>16128</x:v>
      </x:c>
      <x:c r="S136" s="14" t="n">
        <x:f>P136*'공식·설정'!$B$12+'공식·설정'!$B$14</x:f>
        <x:v>16128</x:v>
      </x:c>
      <x:c r="T136" s="68" t="n">
        <x:f>S136-R136</x:f>
        <x:v>0</x:v>
      </x:c>
      <x:c r="U136" s="65" t="n">
        <x:f>R136/'공식·설정'!$B$7</x:f>
        <x:v>63</x:v>
      </x:c>
      <x:c r="V136" s="65" t="n">
        <x:f>S136/'공식·설정'!$B$7</x:f>
        <x:v>63</x:v>
      </x:c>
      <x:c r="W136" s="14" t="n">
        <x:v>838</x:v>
      </x:c>
      <x:c r="X136" s="14" t="n">
        <x:f>INT(ABS(K137-K136)*'공식·설정'!$B$8/K136)</x:f>
        <x:v>838</x:v>
      </x:c>
      <x:c r="Y136" s="68" t="n">
        <x:f>X136-W136</x:f>
        <x:v>0</x:v>
      </x:c>
      <x:c r="Z136" s="66" t="n">
        <x:f>W136/'공식·설정'!$B$8</x:f>
        <x:v>0.012786865234375</x:v>
      </x:c>
      <x:c r="AA136" s="66" t="n">
        <x:f>X136/'공식·설정'!$B$8</x:f>
        <x:v>0.012786865234375</x:v>
      </x:c>
      <x:c r="AB136" s="67" t="str">
        <x:f>IF(AND(I136=0,L136=0,Q136=0,T136=0,Y136=0),"PASS","FAIL")</x:f>
        <x:v>PASS</x:v>
      </x:c>
    </x:row>
    <x:row r="137" ht="18" customHeight="1">
      <x:c r="A137" s="14" t="n">
        <x:v>240</x:v>
      </x:c>
      <x:c r="B137" s="14" t="n">
        <x:v>132</x:v>
      </x:c>
      <x:c r="C137" s="14" t="n">
        <x:v>238</x:v>
      </x:c>
      <x:c r="D137" s="14" t="n">
        <x:v>1080</x:v>
      </x:c>
      <x:c r="E137" s="14" t="n">
        <x:v>252</x:v>
      </x:c>
      <x:c r="F137" s="14" t="n">
        <x:v>1270</x:v>
      </x:c>
      <x:c r="G137" s="14" t="n">
        <x:v>1107</x:v>
      </x:c>
      <x:c r="H137" s="14" t="n">
        <x:f>INT((F137-D137)*(A137-C137)/(E137-C137))+D137</x:f>
        <x:v>1107</x:v>
      </x:c>
      <x:c r="I137" s="68" t="n">
        <x:f>H137-G137</x:f>
        <x:v>0</x:v>
      </x:c>
      <x:c r="J137" s="14" t="n">
        <x:v>7206</x:v>
      </x:c>
      <x:c r="K137" s="14" t="n">
        <x:f>INT(H137*'공식·설정'!$B$10/'공식·설정'!$B$15)</x:f>
        <x:v>7206</x:v>
      </x:c>
      <x:c r="L137" s="68" t="n">
        <x:f>K137-J137</x:f>
        <x:v>0</x:v>
      </x:c>
      <x:c r="M137" s="65" t="n">
        <x:f>J137/'공식·설정'!$B$7</x:f>
        <x:v>28.1484375</x:v>
      </x:c>
      <x:c r="N137" s="65" t="n">
        <x:f>K137/'공식·설정'!$B$7</x:f>
        <x:v>28.1484375</x:v>
      </x:c>
      <x:c r="O137" s="14" t="n">
        <x:v>3</x:v>
      </x:c>
      <x:c r="P137" s="14" t="n">
        <x:f>MIN(32767,MAX(0,INT((K137+INT('공식·설정'!$B$12/2))/'공식·설정'!$B$12)))</x:f>
        <x:v>3</x:v>
      </x:c>
      <x:c r="Q137" s="68" t="n">
        <x:f>P137-O137</x:f>
        <x:v>0</x:v>
      </x:c>
      <x:c r="R137" s="14" t="n">
        <x:v>16128</x:v>
      </x:c>
      <x:c r="S137" s="14" t="n">
        <x:f>P137*'공식·설정'!$B$12+'공식·설정'!$B$14</x:f>
        <x:v>16128</x:v>
      </x:c>
      <x:c r="T137" s="68" t="n">
        <x:f>S137-R137</x:f>
        <x:v>0</x:v>
      </x:c>
      <x:c r="U137" s="65" t="n">
        <x:f>R137/'공식·설정'!$B$7</x:f>
        <x:v>63</x:v>
      </x:c>
      <x:c r="V137" s="65" t="n">
        <x:f>S137/'공식·설정'!$B$7</x:f>
        <x:v>63</x:v>
      </x:c>
      <x:c r="W137" s="14" t="n">
        <x:v>773</x:v>
      </x:c>
      <x:c r="X137" s="14" t="n">
        <x:f>INT(ABS(K138-K137)*'공식·설정'!$B$8/K137)</x:f>
        <x:v>773</x:v>
      </x:c>
      <x:c r="Y137" s="68" t="n">
        <x:f>X137-W137</x:f>
        <x:v>0</x:v>
      </x:c>
      <x:c r="Z137" s="66" t="n">
        <x:f>W137/'공식·설정'!$B$8</x:f>
        <x:v>0.0117950439453125</x:v>
      </x:c>
      <x:c r="AA137" s="66" t="n">
        <x:f>X137/'공식·설정'!$B$8</x:f>
        <x:v>0.0117950439453125</x:v>
      </x:c>
      <x:c r="AB137" s="67" t="str">
        <x:f>IF(AND(I137=0,L137=0,Q137=0,T137=0,Y137=0),"PASS","FAIL")</x:f>
        <x:v>PASS</x:v>
      </x:c>
    </x:row>
    <x:row r="138" ht="18" customHeight="1">
      <x:c r="A138" s="14" t="n">
        <x:v>241</x:v>
      </x:c>
      <x:c r="B138" s="14" t="n">
        <x:v>133</x:v>
      </x:c>
      <x:c r="C138" s="14" t="n">
        <x:v>238</x:v>
      </x:c>
      <x:c r="D138" s="14" t="n">
        <x:v>1080</x:v>
      </x:c>
      <x:c r="E138" s="14" t="n">
        <x:v>252</x:v>
      </x:c>
      <x:c r="F138" s="14" t="n">
        <x:v>1270</x:v>
      </x:c>
      <x:c r="G138" s="14" t="n">
        <x:v>1120</x:v>
      </x:c>
      <x:c r="H138" s="14" t="n">
        <x:f>INT((F138-D138)*(A138-C138)/(E138-C138))+D138</x:f>
        <x:v>1120</x:v>
      </x:c>
      <x:c r="I138" s="68" t="n">
        <x:f>H138-G138</x:f>
        <x:v>0</x:v>
      </x:c>
      <x:c r="J138" s="14" t="n">
        <x:v>7291</x:v>
      </x:c>
      <x:c r="K138" s="14" t="n">
        <x:f>INT(H138*'공식·설정'!$B$10/'공식·설정'!$B$15)</x:f>
        <x:v>7291</x:v>
      </x:c>
      <x:c r="L138" s="68" t="n">
        <x:f>K138-J138</x:f>
        <x:v>0</x:v>
      </x:c>
      <x:c r="M138" s="65" t="n">
        <x:f>J138/'공식·설정'!$B$7</x:f>
        <x:v>28.48046875</x:v>
      </x:c>
      <x:c r="N138" s="65" t="n">
        <x:f>K138/'공식·설정'!$B$7</x:f>
        <x:v>28.48046875</x:v>
      </x:c>
      <x:c r="O138" s="14" t="n">
        <x:v>3</x:v>
      </x:c>
      <x:c r="P138" s="14" t="n">
        <x:f>MIN(32767,MAX(0,INT((K138+INT('공식·설정'!$B$12/2))/'공식·설정'!$B$12)))</x:f>
        <x:v>3</x:v>
      </x:c>
      <x:c r="Q138" s="68" t="n">
        <x:f>P138-O138</x:f>
        <x:v>0</x:v>
      </x:c>
      <x:c r="R138" s="14" t="n">
        <x:v>16128</x:v>
      </x:c>
      <x:c r="S138" s="14" t="n">
        <x:f>P138*'공식·설정'!$B$12+'공식·설정'!$B$14</x:f>
        <x:v>16128</x:v>
      </x:c>
      <x:c r="T138" s="68" t="n">
        <x:f>S138-R138</x:f>
        <x:v>0</x:v>
      </x:c>
      <x:c r="U138" s="65" t="n">
        <x:f>R138/'공식·설정'!$B$7</x:f>
        <x:v>63</x:v>
      </x:c>
      <x:c r="V138" s="65" t="n">
        <x:f>S138/'공식·설정'!$B$7</x:f>
        <x:v>63</x:v>
      </x:c>
      <x:c r="W138" s="14" t="n">
        <x:v>817</x:v>
      </x:c>
      <x:c r="X138" s="14" t="n">
        <x:f>INT(ABS(K139-K138)*'공식·설정'!$B$8/K138)</x:f>
        <x:v>817</x:v>
      </x:c>
      <x:c r="Y138" s="68" t="n">
        <x:f>X138-W138</x:f>
        <x:v>0</x:v>
      </x:c>
      <x:c r="Z138" s="66" t="n">
        <x:f>W138/'공식·설정'!$B$8</x:f>
        <x:v>0.0124664306640625</x:v>
      </x:c>
      <x:c r="AA138" s="66" t="n">
        <x:f>X138/'공식·설정'!$B$8</x:f>
        <x:v>0.0124664306640625</x:v>
      </x:c>
      <x:c r="AB138" s="67" t="str">
        <x:f>IF(AND(I138=0,L138=0,Q138=0,T138=0,Y138=0),"PASS","FAIL")</x:f>
        <x:v>PASS</x:v>
      </x:c>
    </x:row>
    <x:row r="139" ht="18" customHeight="1">
      <x:c r="A139" s="14" t="n">
        <x:v>242</x:v>
      </x:c>
      <x:c r="B139" s="14" t="n">
        <x:v>134</x:v>
      </x:c>
      <x:c r="C139" s="14" t="n">
        <x:v>238</x:v>
      </x:c>
      <x:c r="D139" s="14" t="n">
        <x:v>1080</x:v>
      </x:c>
      <x:c r="E139" s="14" t="n">
        <x:v>252</x:v>
      </x:c>
      <x:c r="F139" s="14" t="n">
        <x:v>1270</x:v>
      </x:c>
      <x:c r="G139" s="14" t="n">
        <x:v>1134</x:v>
      </x:c>
      <x:c r="H139" s="14" t="n">
        <x:f>INT((F139-D139)*(A139-C139)/(E139-C139))+D139</x:f>
        <x:v>1134</x:v>
      </x:c>
      <x:c r="I139" s="68" t="n">
        <x:f>H139-G139</x:f>
        <x:v>0</x:v>
      </x:c>
      <x:c r="J139" s="14" t="n">
        <x:v>7382</x:v>
      </x:c>
      <x:c r="K139" s="14" t="n">
        <x:f>INT(H139*'공식·설정'!$B$10/'공식·설정'!$B$15)</x:f>
        <x:v>7382</x:v>
      </x:c>
      <x:c r="L139" s="68" t="n">
        <x:f>K139-J139</x:f>
        <x:v>0</x:v>
      </x:c>
      <x:c r="M139" s="65" t="n">
        <x:f>J139/'공식·설정'!$B$7</x:f>
        <x:v>28.8359375</x:v>
      </x:c>
      <x:c r="N139" s="65" t="n">
        <x:f>K139/'공식·설정'!$B$7</x:f>
        <x:v>28.8359375</x:v>
      </x:c>
      <x:c r="O139" s="14" t="n">
        <x:v>3</x:v>
      </x:c>
      <x:c r="P139" s="14" t="n">
        <x:f>MIN(32767,MAX(0,INT((K139+INT('공식·설정'!$B$12/2))/'공식·설정'!$B$12)))</x:f>
        <x:v>3</x:v>
      </x:c>
      <x:c r="Q139" s="68" t="n">
        <x:f>P139-O139</x:f>
        <x:v>0</x:v>
      </x:c>
      <x:c r="R139" s="14" t="n">
        <x:v>16128</x:v>
      </x:c>
      <x:c r="S139" s="14" t="n">
        <x:f>P139*'공식·설정'!$B$12+'공식·설정'!$B$14</x:f>
        <x:v>16128</x:v>
      </x:c>
      <x:c r="T139" s="68" t="n">
        <x:f>S139-R139</x:f>
        <x:v>0</x:v>
      </x:c>
      <x:c r="U139" s="65" t="n">
        <x:f>R139/'공식·설정'!$B$7</x:f>
        <x:v>63</x:v>
      </x:c>
      <x:c r="V139" s="65" t="n">
        <x:f>S139/'공식·설정'!$B$7</x:f>
        <x:v>63</x:v>
      </x:c>
      <x:c r="W139" s="14" t="n">
        <x:v>754</x:v>
      </x:c>
      <x:c r="X139" s="14" t="n">
        <x:f>INT(ABS(K140-K139)*'공식·설정'!$B$8/K139)</x:f>
        <x:v>754</x:v>
      </x:c>
      <x:c r="Y139" s="68" t="n">
        <x:f>X139-W139</x:f>
        <x:v>0</x:v>
      </x:c>
      <x:c r="Z139" s="66" t="n">
        <x:f>W139/'공식·설정'!$B$8</x:f>
        <x:v>0.011505126953125</x:v>
      </x:c>
      <x:c r="AA139" s="66" t="n">
        <x:f>X139/'공식·설정'!$B$8</x:f>
        <x:v>0.011505126953125</x:v>
      </x:c>
      <x:c r="AB139" s="67" t="str">
        <x:f>IF(AND(I139=0,L139=0,Q139=0,T139=0,Y139=0),"PASS","FAIL")</x:f>
        <x:v>PASS</x:v>
      </x:c>
    </x:row>
    <x:row r="140" ht="18" customHeight="1">
      <x:c r="A140" s="14" t="n">
        <x:v>243</x:v>
      </x:c>
      <x:c r="B140" s="14" t="n">
        <x:v>135</x:v>
      </x:c>
      <x:c r="C140" s="14" t="n">
        <x:v>238</x:v>
      </x:c>
      <x:c r="D140" s="14" t="n">
        <x:v>1080</x:v>
      </x:c>
      <x:c r="E140" s="14" t="n">
        <x:v>252</x:v>
      </x:c>
      <x:c r="F140" s="14" t="n">
        <x:v>1270</x:v>
      </x:c>
      <x:c r="G140" s="14" t="n">
        <x:v>1147</x:v>
      </x:c>
      <x:c r="H140" s="14" t="n">
        <x:f>INT((F140-D140)*(A140-C140)/(E140-C140))+D140</x:f>
        <x:v>1147</x:v>
      </x:c>
      <x:c r="I140" s="68" t="n">
        <x:f>H140-G140</x:f>
        <x:v>0</x:v>
      </x:c>
      <x:c r="J140" s="14" t="n">
        <x:v>7467</x:v>
      </x:c>
      <x:c r="K140" s="14" t="n">
        <x:f>INT(H140*'공식·설정'!$B$10/'공식·설정'!$B$15)</x:f>
        <x:v>7467</x:v>
      </x:c>
      <x:c r="L140" s="68" t="n">
        <x:f>K140-J140</x:f>
        <x:v>0</x:v>
      </x:c>
      <x:c r="M140" s="65" t="n">
        <x:f>J140/'공식·설정'!$B$7</x:f>
        <x:v>29.16796875</x:v>
      </x:c>
      <x:c r="N140" s="65" t="n">
        <x:f>K140/'공식·설정'!$B$7</x:f>
        <x:v>29.16796875</x:v>
      </x:c>
      <x:c r="O140" s="14" t="n">
        <x:v>3</x:v>
      </x:c>
      <x:c r="P140" s="14" t="n">
        <x:f>MIN(32767,MAX(0,INT((K140+INT('공식·설정'!$B$12/2))/'공식·설정'!$B$12)))</x:f>
        <x:v>3</x:v>
      </x:c>
      <x:c r="Q140" s="68" t="n">
        <x:f>P140-O140</x:f>
        <x:v>0</x:v>
      </x:c>
      <x:c r="R140" s="14" t="n">
        <x:v>16128</x:v>
      </x:c>
      <x:c r="S140" s="14" t="n">
        <x:f>P140*'공식·설정'!$B$12+'공식·설정'!$B$14</x:f>
        <x:v>16128</x:v>
      </x:c>
      <x:c r="T140" s="68" t="n">
        <x:f>S140-R140</x:f>
        <x:v>0</x:v>
      </x:c>
      <x:c r="U140" s="65" t="n">
        <x:f>R140/'공식·설정'!$B$7</x:f>
        <x:v>63</x:v>
      </x:c>
      <x:c r="V140" s="65" t="n">
        <x:f>S140/'공식·설정'!$B$7</x:f>
        <x:v>63</x:v>
      </x:c>
      <x:c r="W140" s="14" t="n">
        <x:v>798</x:v>
      </x:c>
      <x:c r="X140" s="14" t="n">
        <x:f>INT(ABS(K141-K140)*'공식·설정'!$B$8/K140)</x:f>
        <x:v>798</x:v>
      </x:c>
      <x:c r="Y140" s="68" t="n">
        <x:f>X140-W140</x:f>
        <x:v>0</x:v>
      </x:c>
      <x:c r="Z140" s="66" t="n">
        <x:f>W140/'공식·설정'!$B$8</x:f>
        <x:v>0.012176513671875</x:v>
      </x:c>
      <x:c r="AA140" s="66" t="n">
        <x:f>X140/'공식·설정'!$B$8</x:f>
        <x:v>0.012176513671875</x:v>
      </x:c>
      <x:c r="AB140" s="67" t="str">
        <x:f>IF(AND(I140=0,L140=0,Q140=0,T140=0,Y140=0),"PASS","FAIL")</x:f>
        <x:v>PASS</x:v>
      </x:c>
    </x:row>
    <x:row r="141" ht="18" customHeight="1">
      <x:c r="A141" s="14" t="n">
        <x:v>244</x:v>
      </x:c>
      <x:c r="B141" s="14" t="n">
        <x:v>136</x:v>
      </x:c>
      <x:c r="C141" s="14" t="n">
        <x:v>238</x:v>
      </x:c>
      <x:c r="D141" s="14" t="n">
        <x:v>1080</x:v>
      </x:c>
      <x:c r="E141" s="14" t="n">
        <x:v>252</x:v>
      </x:c>
      <x:c r="F141" s="14" t="n">
        <x:v>1270</x:v>
      </x:c>
      <x:c r="G141" s="14" t="n">
        <x:v>1161</x:v>
      </x:c>
      <x:c r="H141" s="14" t="n">
        <x:f>INT((F141-D141)*(A141-C141)/(E141-C141))+D141</x:f>
        <x:v>1161</x:v>
      </x:c>
      <x:c r="I141" s="68" t="n">
        <x:f>H141-G141</x:f>
        <x:v>0</x:v>
      </x:c>
      <x:c r="J141" s="14" t="n">
        <x:v>7558</x:v>
      </x:c>
      <x:c r="K141" s="14" t="n">
        <x:f>INT(H141*'공식·설정'!$B$10/'공식·설정'!$B$15)</x:f>
        <x:v>7558</x:v>
      </x:c>
      <x:c r="L141" s="68" t="n">
        <x:f>K141-J141</x:f>
        <x:v>0</x:v>
      </x:c>
      <x:c r="M141" s="65" t="n">
        <x:f>J141/'공식·설정'!$B$7</x:f>
        <x:v>29.5234375</x:v>
      </x:c>
      <x:c r="N141" s="65" t="n">
        <x:f>K141/'공식·설정'!$B$7</x:f>
        <x:v>29.5234375</x:v>
      </x:c>
      <x:c r="O141" s="14" t="n">
        <x:v>3</x:v>
      </x:c>
      <x:c r="P141" s="14" t="n">
        <x:f>MIN(32767,MAX(0,INT((K141+INT('공식·설정'!$B$12/2))/'공식·설정'!$B$12)))</x:f>
        <x:v>3</x:v>
      </x:c>
      <x:c r="Q141" s="68" t="n">
        <x:f>P141-O141</x:f>
        <x:v>0</x:v>
      </x:c>
      <x:c r="R141" s="14" t="n">
        <x:v>16128</x:v>
      </x:c>
      <x:c r="S141" s="14" t="n">
        <x:f>P141*'공식·설정'!$B$12+'공식·설정'!$B$14</x:f>
        <x:v>16128</x:v>
      </x:c>
      <x:c r="T141" s="68" t="n">
        <x:f>S141-R141</x:f>
        <x:v>0</x:v>
      </x:c>
      <x:c r="U141" s="65" t="n">
        <x:f>R141/'공식·설정'!$B$7</x:f>
        <x:v>63</x:v>
      </x:c>
      <x:c r="V141" s="65" t="n">
        <x:f>S141/'공식·설정'!$B$7</x:f>
        <x:v>63</x:v>
      </x:c>
      <x:c r="W141" s="14" t="n">
        <x:v>789</x:v>
      </x:c>
      <x:c r="X141" s="14" t="n">
        <x:f>INT(ABS(K142-K141)*'공식·설정'!$B$8/K141)</x:f>
        <x:v>789</x:v>
      </x:c>
      <x:c r="Y141" s="68" t="n">
        <x:f>X141-W141</x:f>
        <x:v>0</x:v>
      </x:c>
      <x:c r="Z141" s="66" t="n">
        <x:f>W141/'공식·설정'!$B$8</x:f>
        <x:v>0.0120391845703125</x:v>
      </x:c>
      <x:c r="AA141" s="66" t="n">
        <x:f>X141/'공식·설정'!$B$8</x:f>
        <x:v>0.0120391845703125</x:v>
      </x:c>
      <x:c r="AB141" s="67" t="str">
        <x:f>IF(AND(I141=0,L141=0,Q141=0,T141=0,Y141=0),"PASS","FAIL")</x:f>
        <x:v>PASS</x:v>
      </x:c>
    </x:row>
    <x:row r="142" ht="18" customHeight="1">
      <x:c r="A142" s="14" t="n">
        <x:v>245</x:v>
      </x:c>
      <x:c r="B142" s="14" t="n">
        <x:v>137</x:v>
      </x:c>
      <x:c r="C142" s="14" t="n">
        <x:v>238</x:v>
      </x:c>
      <x:c r="D142" s="14" t="n">
        <x:v>1080</x:v>
      </x:c>
      <x:c r="E142" s="14" t="n">
        <x:v>252</x:v>
      </x:c>
      <x:c r="F142" s="14" t="n">
        <x:v>1270</x:v>
      </x:c>
      <x:c r="G142" s="14" t="n">
        <x:v>1175</x:v>
      </x:c>
      <x:c r="H142" s="14" t="n">
        <x:f>INT((F142-D142)*(A142-C142)/(E142-C142))+D142</x:f>
        <x:v>1175</x:v>
      </x:c>
      <x:c r="I142" s="68" t="n">
        <x:f>H142-G142</x:f>
        <x:v>0</x:v>
      </x:c>
      <x:c r="J142" s="14" t="n">
        <x:v>7649</x:v>
      </x:c>
      <x:c r="K142" s="14" t="n">
        <x:f>INT(H142*'공식·설정'!$B$10/'공식·설정'!$B$15)</x:f>
        <x:v>7649</x:v>
      </x:c>
      <x:c r="L142" s="68" t="n">
        <x:f>K142-J142</x:f>
        <x:v>0</x:v>
      </x:c>
      <x:c r="M142" s="65" t="n">
        <x:f>J142/'공식·설정'!$B$7</x:f>
        <x:v>29.87890625</x:v>
      </x:c>
      <x:c r="N142" s="65" t="n">
        <x:f>K142/'공식·설정'!$B$7</x:f>
        <x:v>29.87890625</x:v>
      </x:c>
      <x:c r="O142" s="14" t="n">
        <x:v>3</x:v>
      </x:c>
      <x:c r="P142" s="14" t="n">
        <x:f>MIN(32767,MAX(0,INT((K142+INT('공식·설정'!$B$12/2))/'공식·설정'!$B$12)))</x:f>
        <x:v>3</x:v>
      </x:c>
      <x:c r="Q142" s="68" t="n">
        <x:f>P142-O142</x:f>
        <x:v>0</x:v>
      </x:c>
      <x:c r="R142" s="14" t="n">
        <x:v>16128</x:v>
      </x:c>
      <x:c r="S142" s="14" t="n">
        <x:f>P142*'공식·설정'!$B$12+'공식·설정'!$B$14</x:f>
        <x:v>16128</x:v>
      </x:c>
      <x:c r="T142" s="68" t="n">
        <x:f>S142-R142</x:f>
        <x:v>0</x:v>
      </x:c>
      <x:c r="U142" s="65" t="n">
        <x:f>R142/'공식·설정'!$B$7</x:f>
        <x:v>63</x:v>
      </x:c>
      <x:c r="V142" s="65" t="n">
        <x:f>S142/'공식·설정'!$B$7</x:f>
        <x:v>63</x:v>
      </x:c>
      <x:c r="W142" s="14" t="n">
        <x:v>728</x:v>
      </x:c>
      <x:c r="X142" s="14" t="n">
        <x:f>INT(ABS(K143-K142)*'공식·설정'!$B$8/K142)</x:f>
        <x:v>728</x:v>
      </x:c>
      <x:c r="Y142" s="68" t="n">
        <x:f>X142-W142</x:f>
        <x:v>0</x:v>
      </x:c>
      <x:c r="Z142" s="66" t="n">
        <x:f>W142/'공식·설정'!$B$8</x:f>
        <x:v>0.0111083984375</x:v>
      </x:c>
      <x:c r="AA142" s="66" t="n">
        <x:f>X142/'공식·설정'!$B$8</x:f>
        <x:v>0.0111083984375</x:v>
      </x:c>
      <x:c r="AB142" s="67" t="str">
        <x:f>IF(AND(I142=0,L142=0,Q142=0,T142=0,Y142=0),"PASS","FAIL")</x:f>
        <x:v>PASS</x:v>
      </x:c>
    </x:row>
    <x:row r="143" ht="18" customHeight="1">
      <x:c r="A143" s="14" t="n">
        <x:v>246</x:v>
      </x:c>
      <x:c r="B143" s="14" t="n">
        <x:v>138</x:v>
      </x:c>
      <x:c r="C143" s="14" t="n">
        <x:v>238</x:v>
      </x:c>
      <x:c r="D143" s="14" t="n">
        <x:v>1080</x:v>
      </x:c>
      <x:c r="E143" s="14" t="n">
        <x:v>252</x:v>
      </x:c>
      <x:c r="F143" s="14" t="n">
        <x:v>1270</x:v>
      </x:c>
      <x:c r="G143" s="14" t="n">
        <x:v>1188</x:v>
      </x:c>
      <x:c r="H143" s="14" t="n">
        <x:f>INT((F143-D143)*(A143-C143)/(E143-C143))+D143</x:f>
        <x:v>1188</x:v>
      </x:c>
      <x:c r="I143" s="68" t="n">
        <x:f>H143-G143</x:f>
        <x:v>0</x:v>
      </x:c>
      <x:c r="J143" s="14" t="n">
        <x:v>7734</x:v>
      </x:c>
      <x:c r="K143" s="14" t="n">
        <x:f>INT(H143*'공식·설정'!$B$10/'공식·설정'!$B$15)</x:f>
        <x:v>7734</x:v>
      </x:c>
      <x:c r="L143" s="68" t="n">
        <x:f>K143-J143</x:f>
        <x:v>0</x:v>
      </x:c>
      <x:c r="M143" s="65" t="n">
        <x:f>J143/'공식·설정'!$B$7</x:f>
        <x:v>30.2109375</x:v>
      </x:c>
      <x:c r="N143" s="65" t="n">
        <x:f>K143/'공식·설정'!$B$7</x:f>
        <x:v>30.2109375</x:v>
      </x:c>
      <x:c r="O143" s="14" t="n">
        <x:v>3</x:v>
      </x:c>
      <x:c r="P143" s="14" t="n">
        <x:f>MIN(32767,MAX(0,INT((K143+INT('공식·설정'!$B$12/2))/'공식·설정'!$B$12)))</x:f>
        <x:v>3</x:v>
      </x:c>
      <x:c r="Q143" s="68" t="n">
        <x:f>P143-O143</x:f>
        <x:v>0</x:v>
      </x:c>
      <x:c r="R143" s="14" t="n">
        <x:v>16128</x:v>
      </x:c>
      <x:c r="S143" s="14" t="n">
        <x:f>P143*'공식·설정'!$B$12+'공식·설정'!$B$14</x:f>
        <x:v>16128</x:v>
      </x:c>
      <x:c r="T143" s="68" t="n">
        <x:f>S143-R143</x:f>
        <x:v>0</x:v>
      </x:c>
      <x:c r="U143" s="65" t="n">
        <x:f>R143/'공식·설정'!$B$7</x:f>
        <x:v>63</x:v>
      </x:c>
      <x:c r="V143" s="65" t="n">
        <x:f>S143/'공식·설정'!$B$7</x:f>
        <x:v>63</x:v>
      </x:c>
      <x:c r="W143" s="14" t="n">
        <x:v>771</x:v>
      </x:c>
      <x:c r="X143" s="14" t="n">
        <x:f>INT(ABS(K144-K143)*'공식·설정'!$B$8/K143)</x:f>
        <x:v>771</x:v>
      </x:c>
      <x:c r="Y143" s="68" t="n">
        <x:f>X143-W143</x:f>
        <x:v>0</x:v>
      </x:c>
      <x:c r="Z143" s="66" t="n">
        <x:f>W143/'공식·설정'!$B$8</x:f>
        <x:v>0.0117645263671875</x:v>
      </x:c>
      <x:c r="AA143" s="66" t="n">
        <x:f>X143/'공식·설정'!$B$8</x:f>
        <x:v>0.0117645263671875</x:v>
      </x:c>
      <x:c r="AB143" s="67" t="str">
        <x:f>IF(AND(I143=0,L143=0,Q143=0,T143=0,Y143=0),"PASS","FAIL")</x:f>
        <x:v>PASS</x:v>
      </x:c>
    </x:row>
    <x:row r="144" ht="18" customHeight="1">
      <x:c r="A144" s="14" t="n">
        <x:v>247</x:v>
      </x:c>
      <x:c r="B144" s="14" t="n">
        <x:v>139</x:v>
      </x:c>
      <x:c r="C144" s="14" t="n">
        <x:v>238</x:v>
      </x:c>
      <x:c r="D144" s="14" t="n">
        <x:v>1080</x:v>
      </x:c>
      <x:c r="E144" s="14" t="n">
        <x:v>252</x:v>
      </x:c>
      <x:c r="F144" s="14" t="n">
        <x:v>1270</x:v>
      </x:c>
      <x:c r="G144" s="14" t="n">
        <x:v>1202</x:v>
      </x:c>
      <x:c r="H144" s="14" t="n">
        <x:f>INT((F144-D144)*(A144-C144)/(E144-C144))+D144</x:f>
        <x:v>1202</x:v>
      </x:c>
      <x:c r="I144" s="68" t="n">
        <x:f>H144-G144</x:f>
        <x:v>0</x:v>
      </x:c>
      <x:c r="J144" s="14" t="n">
        <x:v>7825</x:v>
      </x:c>
      <x:c r="K144" s="14" t="n">
        <x:f>INT(H144*'공식·설정'!$B$10/'공식·설정'!$B$15)</x:f>
        <x:v>7825</x:v>
      </x:c>
      <x:c r="L144" s="68" t="n">
        <x:f>K144-J144</x:f>
        <x:v>0</x:v>
      </x:c>
      <x:c r="M144" s="65" t="n">
        <x:f>J144/'공식·설정'!$B$7</x:f>
        <x:v>30.56640625</x:v>
      </x:c>
      <x:c r="N144" s="65" t="n">
        <x:f>K144/'공식·설정'!$B$7</x:f>
        <x:v>30.56640625</x:v>
      </x:c>
      <x:c r="O144" s="14" t="n">
        <x:v>3</x:v>
      </x:c>
      <x:c r="P144" s="14" t="n">
        <x:f>MIN(32767,MAX(0,INT((K144+INT('공식·설정'!$B$12/2))/'공식·설정'!$B$12)))</x:f>
        <x:v>3</x:v>
      </x:c>
      <x:c r="Q144" s="68" t="n">
        <x:f>P144-O144</x:f>
        <x:v>0</x:v>
      </x:c>
      <x:c r="R144" s="14" t="n">
        <x:v>16128</x:v>
      </x:c>
      <x:c r="S144" s="14" t="n">
        <x:f>P144*'공식·설정'!$B$12+'공식·설정'!$B$14</x:f>
        <x:v>16128</x:v>
      </x:c>
      <x:c r="T144" s="68" t="n">
        <x:f>S144-R144</x:f>
        <x:v>0</x:v>
      </x:c>
      <x:c r="U144" s="65" t="n">
        <x:f>R144/'공식·설정'!$B$7</x:f>
        <x:v>63</x:v>
      </x:c>
      <x:c r="V144" s="65" t="n">
        <x:f>S144/'공식·설정'!$B$7</x:f>
        <x:v>63</x:v>
      </x:c>
      <x:c r="W144" s="14" t="n">
        <x:v>703</x:v>
      </x:c>
      <x:c r="X144" s="14" t="n">
        <x:f>INT(ABS(K145-K144)*'공식·설정'!$B$8/K144)</x:f>
        <x:v>703</x:v>
      </x:c>
      <x:c r="Y144" s="68" t="n">
        <x:f>X144-W144</x:f>
        <x:v>0</x:v>
      </x:c>
      <x:c r="Z144" s="66" t="n">
        <x:f>W144/'공식·설정'!$B$8</x:f>
        <x:v>0.0107269287109375</x:v>
      </x:c>
      <x:c r="AA144" s="66" t="n">
        <x:f>X144/'공식·설정'!$B$8</x:f>
        <x:v>0.0107269287109375</x:v>
      </x:c>
      <x:c r="AB144" s="67" t="str">
        <x:f>IF(AND(I144=0,L144=0,Q144=0,T144=0,Y144=0),"PASS","FAIL")</x:f>
        <x:v>PASS</x:v>
      </x:c>
    </x:row>
    <x:row r="145" ht="18" customHeight="1">
      <x:c r="A145" s="14" t="n">
        <x:v>248</x:v>
      </x:c>
      <x:c r="B145" s="14" t="n">
        <x:v>140</x:v>
      </x:c>
      <x:c r="C145" s="14" t="n">
        <x:v>238</x:v>
      </x:c>
      <x:c r="D145" s="14" t="n">
        <x:v>1080</x:v>
      </x:c>
      <x:c r="E145" s="14" t="n">
        <x:v>252</x:v>
      </x:c>
      <x:c r="F145" s="14" t="n">
        <x:v>1270</x:v>
      </x:c>
      <x:c r="G145" s="14" t="n">
        <x:v>1215</x:v>
      </x:c>
      <x:c r="H145" s="14" t="n">
        <x:f>INT((F145-D145)*(A145-C145)/(E145-C145))+D145</x:f>
        <x:v>1215</x:v>
      </x:c>
      <x:c r="I145" s="68" t="n">
        <x:f>H145-G145</x:f>
        <x:v>0</x:v>
      </x:c>
      <x:c r="J145" s="14" t="n">
        <x:v>7909</x:v>
      </x:c>
      <x:c r="K145" s="14" t="n">
        <x:f>INT(H145*'공식·설정'!$B$10/'공식·설정'!$B$15)</x:f>
        <x:v>7909</x:v>
      </x:c>
      <x:c r="L145" s="68" t="n">
        <x:f>K145-J145</x:f>
        <x:v>0</x:v>
      </x:c>
      <x:c r="M145" s="65" t="n">
        <x:f>J145/'공식·설정'!$B$7</x:f>
        <x:v>30.89453125</x:v>
      </x:c>
      <x:c r="N145" s="65" t="n">
        <x:f>K145/'공식·설정'!$B$7</x:f>
        <x:v>30.89453125</x:v>
      </x:c>
      <x:c r="O145" s="14" t="n">
        <x:v>3</x:v>
      </x:c>
      <x:c r="P145" s="14" t="n">
        <x:f>MIN(32767,MAX(0,INT((K145+INT('공식·설정'!$B$12/2))/'공식·설정'!$B$12)))</x:f>
        <x:v>3</x:v>
      </x:c>
      <x:c r="Q145" s="68" t="n">
        <x:f>P145-O145</x:f>
        <x:v>0</x:v>
      </x:c>
      <x:c r="R145" s="14" t="n">
        <x:v>16128</x:v>
      </x:c>
      <x:c r="S145" s="14" t="n">
        <x:f>P145*'공식·설정'!$B$12+'공식·설정'!$B$14</x:f>
        <x:v>16128</x:v>
      </x:c>
      <x:c r="T145" s="68" t="n">
        <x:f>S145-R145</x:f>
        <x:v>0</x:v>
      </x:c>
      <x:c r="U145" s="65" t="n">
        <x:f>R145/'공식·설정'!$B$7</x:f>
        <x:v>63</x:v>
      </x:c>
      <x:c r="V145" s="65" t="n">
        <x:f>S145/'공식·설정'!$B$7</x:f>
        <x:v>63</x:v>
      </x:c>
      <x:c r="W145" s="14" t="n">
        <x:v>762</x:v>
      </x:c>
      <x:c r="X145" s="14" t="n">
        <x:f>INT(ABS(K146-K145)*'공식·설정'!$B$8/K145)</x:f>
        <x:v>762</x:v>
      </x:c>
      <x:c r="Y145" s="68" t="n">
        <x:f>X145-W145</x:f>
        <x:v>0</x:v>
      </x:c>
      <x:c r="Z145" s="66" t="n">
        <x:f>W145/'공식·설정'!$B$8</x:f>
        <x:v>0.011627197265625</x:v>
      </x:c>
      <x:c r="AA145" s="66" t="n">
        <x:f>X145/'공식·설정'!$B$8</x:f>
        <x:v>0.011627197265625</x:v>
      </x:c>
      <x:c r="AB145" s="67" t="str">
        <x:f>IF(AND(I145=0,L145=0,Q145=0,T145=0,Y145=0),"PASS","FAIL")</x:f>
        <x:v>PASS</x:v>
      </x:c>
    </x:row>
    <x:row r="146" ht="18" customHeight="1">
      <x:c r="A146" s="14" t="n">
        <x:v>249</x:v>
      </x:c>
      <x:c r="B146" s="14" t="n">
        <x:v>141</x:v>
      </x:c>
      <x:c r="C146" s="14" t="n">
        <x:v>238</x:v>
      </x:c>
      <x:c r="D146" s="14" t="n">
        <x:v>1080</x:v>
      </x:c>
      <x:c r="E146" s="14" t="n">
        <x:v>252</x:v>
      </x:c>
      <x:c r="F146" s="14" t="n">
        <x:v>1270</x:v>
      </x:c>
      <x:c r="G146" s="14" t="n">
        <x:v>1229</x:v>
      </x:c>
      <x:c r="H146" s="14" t="n">
        <x:f>INT((F146-D146)*(A146-C146)/(E146-C146))+D146</x:f>
        <x:v>1229</x:v>
      </x:c>
      <x:c r="I146" s="68" t="n">
        <x:f>H146-G146</x:f>
        <x:v>0</x:v>
      </x:c>
      <x:c r="J146" s="14" t="n">
        <x:v>8001</x:v>
      </x:c>
      <x:c r="K146" s="14" t="n">
        <x:f>INT(H146*'공식·설정'!$B$10/'공식·설정'!$B$15)</x:f>
        <x:v>8001</x:v>
      </x:c>
      <x:c r="L146" s="68" t="n">
        <x:f>K146-J146</x:f>
        <x:v>0</x:v>
      </x:c>
      <x:c r="M146" s="65" t="n">
        <x:f>J146/'공식·설정'!$B$7</x:f>
        <x:v>31.25390625</x:v>
      </x:c>
      <x:c r="N146" s="65" t="n">
        <x:f>K146/'공식·설정'!$B$7</x:f>
        <x:v>31.25390625</x:v>
      </x:c>
      <x:c r="O146" s="14" t="n">
        <x:v>3</x:v>
      </x:c>
      <x:c r="P146" s="14" t="n">
        <x:f>MIN(32767,MAX(0,INT((K146+INT('공식·설정'!$B$12/2))/'공식·설정'!$B$12)))</x:f>
        <x:v>3</x:v>
      </x:c>
      <x:c r="Q146" s="68" t="n">
        <x:f>P146-O146</x:f>
        <x:v>0</x:v>
      </x:c>
      <x:c r="R146" s="14" t="n">
        <x:v>16128</x:v>
      </x:c>
      <x:c r="S146" s="14" t="n">
        <x:f>P146*'공식·설정'!$B$12+'공식·설정'!$B$14</x:f>
        <x:v>16128</x:v>
      </x:c>
      <x:c r="T146" s="68" t="n">
        <x:f>S146-R146</x:f>
        <x:v>0</x:v>
      </x:c>
      <x:c r="U146" s="65" t="n">
        <x:f>R146/'공식·설정'!$B$7</x:f>
        <x:v>63</x:v>
      </x:c>
      <x:c r="V146" s="65" t="n">
        <x:f>S146/'공식·설정'!$B$7</x:f>
        <x:v>63</x:v>
      </x:c>
      <x:c r="W146" s="14" t="n">
        <x:v>688</x:v>
      </x:c>
      <x:c r="X146" s="14" t="n">
        <x:f>INT(ABS(K147-K146)*'공식·설정'!$B$8/K146)</x:f>
        <x:v>688</x:v>
      </x:c>
      <x:c r="Y146" s="68" t="n">
        <x:f>X146-W146</x:f>
        <x:v>0</x:v>
      </x:c>
      <x:c r="Z146" s="66" t="n">
        <x:f>W146/'공식·설정'!$B$8</x:f>
        <x:v>0.010498046875</x:v>
      </x:c>
      <x:c r="AA146" s="66" t="n">
        <x:f>X146/'공식·설정'!$B$8</x:f>
        <x:v>0.010498046875</x:v>
      </x:c>
      <x:c r="AB146" s="67" t="str">
        <x:f>IF(AND(I146=0,L146=0,Q146=0,T146=0,Y146=0),"PASS","FAIL")</x:f>
        <x:v>PASS</x:v>
      </x:c>
    </x:row>
    <x:row r="147" ht="18" customHeight="1">
      <x:c r="A147" s="14" t="n">
        <x:v>250</x:v>
      </x:c>
      <x:c r="B147" s="14" t="n">
        <x:v>142</x:v>
      </x:c>
      <x:c r="C147" s="14" t="n">
        <x:v>238</x:v>
      </x:c>
      <x:c r="D147" s="14" t="n">
        <x:v>1080</x:v>
      </x:c>
      <x:c r="E147" s="14" t="n">
        <x:v>252</x:v>
      </x:c>
      <x:c r="F147" s="14" t="n">
        <x:v>1270</x:v>
      </x:c>
      <x:c r="G147" s="14" t="n">
        <x:v>1242</x:v>
      </x:c>
      <x:c r="H147" s="14" t="n">
        <x:f>INT((F147-D147)*(A147-C147)/(E147-C147))+D147</x:f>
        <x:v>1242</x:v>
      </x:c>
      <x:c r="I147" s="68" t="n">
        <x:f>H147-G147</x:f>
        <x:v>0</x:v>
      </x:c>
      <x:c r="J147" s="14" t="n">
        <x:v>8085</x:v>
      </x:c>
      <x:c r="K147" s="14" t="n">
        <x:f>INT(H147*'공식·설정'!$B$10/'공식·설정'!$B$15)</x:f>
        <x:v>8085</x:v>
      </x:c>
      <x:c r="L147" s="68" t="n">
        <x:f>K147-J147</x:f>
        <x:v>0</x:v>
      </x:c>
      <x:c r="M147" s="65" t="n">
        <x:f>J147/'공식·설정'!$B$7</x:f>
        <x:v>31.58203125</x:v>
      </x:c>
      <x:c r="N147" s="65" t="n">
        <x:f>K147/'공식·설정'!$B$7</x:f>
        <x:v>31.58203125</x:v>
      </x:c>
      <x:c r="O147" s="14" t="n">
        <x:v>3</x:v>
      </x:c>
      <x:c r="P147" s="14" t="n">
        <x:f>MIN(32767,MAX(0,INT((K147+INT('공식·설정'!$B$12/2))/'공식·설정'!$B$12)))</x:f>
        <x:v>3</x:v>
      </x:c>
      <x:c r="Q147" s="68" t="n">
        <x:f>P147-O147</x:f>
        <x:v>0</x:v>
      </x:c>
      <x:c r="R147" s="14" t="n">
        <x:v>16128</x:v>
      </x:c>
      <x:c r="S147" s="14" t="n">
        <x:f>P147*'공식·설정'!$B$12+'공식·설정'!$B$14</x:f>
        <x:v>16128</x:v>
      </x:c>
      <x:c r="T147" s="68" t="n">
        <x:f>S147-R147</x:f>
        <x:v>0</x:v>
      </x:c>
      <x:c r="U147" s="65" t="n">
        <x:f>R147/'공식·설정'!$B$7</x:f>
        <x:v>63</x:v>
      </x:c>
      <x:c r="V147" s="65" t="n">
        <x:f>S147/'공식·설정'!$B$7</x:f>
        <x:v>63</x:v>
      </x:c>
      <x:c r="W147" s="14" t="n">
        <x:v>737</x:v>
      </x:c>
      <x:c r="X147" s="14" t="n">
        <x:f>INT(ABS(K148-K147)*'공식·설정'!$B$8/K147)</x:f>
        <x:v>737</x:v>
      </x:c>
      <x:c r="Y147" s="68" t="n">
        <x:f>X147-W147</x:f>
        <x:v>0</x:v>
      </x:c>
      <x:c r="Z147" s="66" t="n">
        <x:f>W147/'공식·설정'!$B$8</x:f>
        <x:v>0.0112457275390625</x:v>
      </x:c>
      <x:c r="AA147" s="66" t="n">
        <x:f>X147/'공식·설정'!$B$8</x:f>
        <x:v>0.0112457275390625</x:v>
      </x:c>
      <x:c r="AB147" s="67" t="str">
        <x:f>IF(AND(I147=0,L147=0,Q147=0,T147=0,Y147=0),"PASS","FAIL")</x:f>
        <x:v>PASS</x:v>
      </x:c>
    </x:row>
    <x:row r="148" ht="18" customHeight="1">
      <x:c r="A148" s="14" t="n">
        <x:v>251</x:v>
      </x:c>
      <x:c r="B148" s="14" t="n">
        <x:v>143</x:v>
      </x:c>
      <x:c r="C148" s="14" t="n">
        <x:v>238</x:v>
      </x:c>
      <x:c r="D148" s="14" t="n">
        <x:v>1080</x:v>
      </x:c>
      <x:c r="E148" s="14" t="n">
        <x:v>252</x:v>
      </x:c>
      <x:c r="F148" s="14" t="n">
        <x:v>1270</x:v>
      </x:c>
      <x:c r="G148" s="14" t="n">
        <x:v>1256</x:v>
      </x:c>
      <x:c r="H148" s="14" t="n">
        <x:f>INT((F148-D148)*(A148-C148)/(E148-C148))+D148</x:f>
        <x:v>1256</x:v>
      </x:c>
      <x:c r="I148" s="68" t="n">
        <x:f>H148-G148</x:f>
        <x:v>0</x:v>
      </x:c>
      <x:c r="J148" s="14" t="n">
        <x:v>8176</x:v>
      </x:c>
      <x:c r="K148" s="14" t="n">
        <x:f>INT(H148*'공식·설정'!$B$10/'공식·설정'!$B$15)</x:f>
        <x:v>8176</x:v>
      </x:c>
      <x:c r="L148" s="68" t="n">
        <x:f>K148-J148</x:f>
        <x:v>0</x:v>
      </x:c>
      <x:c r="M148" s="65" t="n">
        <x:f>J148/'공식·설정'!$B$7</x:f>
        <x:v>31.9375</x:v>
      </x:c>
      <x:c r="N148" s="65" t="n">
        <x:f>K148/'공식·설정'!$B$7</x:f>
        <x:v>31.9375</x:v>
      </x:c>
      <x:c r="O148" s="14" t="n">
        <x:v>3</x:v>
      </x:c>
      <x:c r="P148" s="14" t="n">
        <x:f>MIN(32767,MAX(0,INT((K148+INT('공식·설정'!$B$12/2))/'공식·설정'!$B$12)))</x:f>
        <x:v>3</x:v>
      </x:c>
      <x:c r="Q148" s="68" t="n">
        <x:f>P148-O148</x:f>
        <x:v>0</x:v>
      </x:c>
      <x:c r="R148" s="14" t="n">
        <x:v>16128</x:v>
      </x:c>
      <x:c r="S148" s="14" t="n">
        <x:f>P148*'공식·설정'!$B$12+'공식·설정'!$B$14</x:f>
        <x:v>16128</x:v>
      </x:c>
      <x:c r="T148" s="68" t="n">
        <x:f>S148-R148</x:f>
        <x:v>0</x:v>
      </x:c>
      <x:c r="U148" s="65" t="n">
        <x:f>R148/'공식·설정'!$B$7</x:f>
        <x:v>63</x:v>
      </x:c>
      <x:c r="V148" s="65" t="n">
        <x:f>S148/'공식·설정'!$B$7</x:f>
        <x:v>63</x:v>
      </x:c>
      <x:c r="W148" s="14" t="n">
        <x:v>737</x:v>
      </x:c>
      <x:c r="X148" s="14" t="n">
        <x:f>INT(ABS(K149-K148)*'공식·설정'!$B$8/K148)</x:f>
        <x:v>737</x:v>
      </x:c>
      <x:c r="Y148" s="68" t="n">
        <x:f>X148-W148</x:f>
        <x:v>0</x:v>
      </x:c>
      <x:c r="Z148" s="66" t="n">
        <x:f>W148/'공식·설정'!$B$8</x:f>
        <x:v>0.0112457275390625</x:v>
      </x:c>
      <x:c r="AA148" s="66" t="n">
        <x:f>X148/'공식·설정'!$B$8</x:f>
        <x:v>0.0112457275390625</x:v>
      </x:c>
      <x:c r="AB148" s="67" t="str">
        <x:f>IF(AND(I148=0,L148=0,Q148=0,T148=0,Y148=0),"PASS","FAIL")</x:f>
        <x:v>PASS</x:v>
      </x:c>
    </x:row>
    <x:row r="149" ht="18" customHeight="1">
      <x:c r="A149" s="14" t="n">
        <x:v>252</x:v>
      </x:c>
      <x:c r="B149" s="14" t="n">
        <x:v>144</x:v>
      </x:c>
      <x:c r="C149" s="14" t="n">
        <x:v>252</x:v>
      </x:c>
      <x:c r="D149" s="14" t="n">
        <x:v>1270</x:v>
      </x:c>
      <x:c r="E149" s="14" t="n">
        <x:v>266</x:v>
      </x:c>
      <x:c r="F149" s="14" t="n">
        <x:v>1492</x:v>
      </x:c>
      <x:c r="G149" s="14" t="n">
        <x:v>1270</x:v>
      </x:c>
      <x:c r="H149" s="14" t="n">
        <x:f>INT((F149-D149)*(A149-C149)/(E149-C149))+D149</x:f>
        <x:v>1270</x:v>
      </x:c>
      <x:c r="I149" s="68" t="n">
        <x:f>H149-G149</x:f>
        <x:v>0</x:v>
      </x:c>
      <x:c r="J149" s="14" t="n">
        <x:v>8268</x:v>
      </x:c>
      <x:c r="K149" s="14" t="n">
        <x:f>INT(H149*'공식·설정'!$B$10/'공식·설정'!$B$15)</x:f>
        <x:v>8268</x:v>
      </x:c>
      <x:c r="L149" s="68" t="n">
        <x:f>K149-J149</x:f>
        <x:v>0</x:v>
      </x:c>
      <x:c r="M149" s="65" t="n">
        <x:f>J149/'공식·설정'!$B$7</x:f>
        <x:v>32.296875</x:v>
      </x:c>
      <x:c r="N149" s="65" t="n">
        <x:f>K149/'공식·설정'!$B$7</x:f>
        <x:v>32.296875</x:v>
      </x:c>
      <x:c r="O149" s="14" t="n">
        <x:v>3</x:v>
      </x:c>
      <x:c r="P149" s="14" t="n">
        <x:f>MIN(32767,MAX(0,INT((K149+INT('공식·설정'!$B$12/2))/'공식·설정'!$B$12)))</x:f>
        <x:v>3</x:v>
      </x:c>
      <x:c r="Q149" s="68" t="n">
        <x:f>P149-O149</x:f>
        <x:v>0</x:v>
      </x:c>
      <x:c r="R149" s="14" t="n">
        <x:v>16128</x:v>
      </x:c>
      <x:c r="S149" s="14" t="n">
        <x:f>P149*'공식·설정'!$B$12+'공식·설정'!$B$14</x:f>
        <x:v>16128</x:v>
      </x:c>
      <x:c r="T149" s="68" t="n">
        <x:f>S149-R149</x:f>
        <x:v>0</x:v>
      </x:c>
      <x:c r="U149" s="65" t="n">
        <x:f>R149/'공식·설정'!$B$7</x:f>
        <x:v>63</x:v>
      </x:c>
      <x:c r="V149" s="65" t="n">
        <x:f>S149/'공식·설정'!$B$7</x:f>
        <x:v>63</x:v>
      </x:c>
      <x:c r="W149" s="14" t="n">
        <x:v>768</x:v>
      </x:c>
      <x:c r="X149" s="14" t="n">
        <x:f>INT(ABS(K150-K149)*'공식·설정'!$B$8/K149)</x:f>
        <x:v>768</x:v>
      </x:c>
      <x:c r="Y149" s="68" t="n">
        <x:f>X149-W149</x:f>
        <x:v>0</x:v>
      </x:c>
      <x:c r="Z149" s="66" t="n">
        <x:f>W149/'공식·설정'!$B$8</x:f>
        <x:v>0.01171875</x:v>
      </x:c>
      <x:c r="AA149" s="66" t="n">
        <x:f>X149/'공식·설정'!$B$8</x:f>
        <x:v>0.01171875</x:v>
      </x:c>
      <x:c r="AB149" s="67" t="str">
        <x:f>IF(AND(I149=0,L149=0,Q149=0,T149=0,Y149=0),"PASS","FAIL")</x:f>
        <x:v>PASS</x:v>
      </x:c>
    </x:row>
    <x:row r="150" ht="18" customHeight="1">
      <x:c r="A150" s="14" t="n">
        <x:v>253</x:v>
      </x:c>
      <x:c r="B150" s="14" t="n">
        <x:v>145</x:v>
      </x:c>
      <x:c r="C150" s="14" t="n">
        <x:v>252</x:v>
      </x:c>
      <x:c r="D150" s="14" t="n">
        <x:v>1270</x:v>
      </x:c>
      <x:c r="E150" s="14" t="n">
        <x:v>266</x:v>
      </x:c>
      <x:c r="F150" s="14" t="n">
        <x:v>1492</x:v>
      </x:c>
      <x:c r="G150" s="14" t="n">
        <x:v>1285</x:v>
      </x:c>
      <x:c r="H150" s="14" t="n">
        <x:f>INT((F150-D150)*(A150-C150)/(E150-C150))+D150</x:f>
        <x:v>1285</x:v>
      </x:c>
      <x:c r="I150" s="68" t="n">
        <x:f>H150-G150</x:f>
        <x:v>0</x:v>
      </x:c>
      <x:c r="J150" s="14" t="n">
        <x:v>8365</x:v>
      </x:c>
      <x:c r="K150" s="14" t="n">
        <x:f>INT(H150*'공식·설정'!$B$10/'공식·설정'!$B$15)</x:f>
        <x:v>8365</x:v>
      </x:c>
      <x:c r="L150" s="68" t="n">
        <x:f>K150-J150</x:f>
        <x:v>0</x:v>
      </x:c>
      <x:c r="M150" s="65" t="n">
        <x:f>J150/'공식·설정'!$B$7</x:f>
        <x:v>32.67578125</x:v>
      </x:c>
      <x:c r="N150" s="65" t="n">
        <x:f>K150/'공식·설정'!$B$7</x:f>
        <x:v>32.67578125</x:v>
      </x:c>
      <x:c r="O150" s="14" t="n">
        <x:v>3</x:v>
      </x:c>
      <x:c r="P150" s="14" t="n">
        <x:f>MIN(32767,MAX(0,INT((K150+INT('공식·설정'!$B$12/2))/'공식·설정'!$B$12)))</x:f>
        <x:v>3</x:v>
      </x:c>
      <x:c r="Q150" s="68" t="n">
        <x:f>P150-O150</x:f>
        <x:v>0</x:v>
      </x:c>
      <x:c r="R150" s="14" t="n">
        <x:v>16128</x:v>
      </x:c>
      <x:c r="S150" s="14" t="n">
        <x:f>P150*'공식·설정'!$B$12+'공식·설정'!$B$14</x:f>
        <x:v>16128</x:v>
      </x:c>
      <x:c r="T150" s="68" t="n">
        <x:f>S150-R150</x:f>
        <x:v>0</x:v>
      </x:c>
      <x:c r="U150" s="65" t="n">
        <x:f>R150/'공식·설정'!$B$7</x:f>
        <x:v>63</x:v>
      </x:c>
      <x:c r="V150" s="65" t="n">
        <x:f>S150/'공식·설정'!$B$7</x:f>
        <x:v>63</x:v>
      </x:c>
      <x:c r="W150" s="14" t="n">
        <x:v>814</x:v>
      </x:c>
      <x:c r="X150" s="14" t="n">
        <x:f>INT(ABS(K151-K150)*'공식·설정'!$B$8/K150)</x:f>
        <x:v>814</x:v>
      </x:c>
      <x:c r="Y150" s="68" t="n">
        <x:f>X150-W150</x:f>
        <x:v>0</x:v>
      </x:c>
      <x:c r="Z150" s="66" t="n">
        <x:f>W150/'공식·설정'!$B$8</x:f>
        <x:v>0.012420654296875</x:v>
      </x:c>
      <x:c r="AA150" s="66" t="n">
        <x:f>X150/'공식·설정'!$B$8</x:f>
        <x:v>0.012420654296875</x:v>
      </x:c>
      <x:c r="AB150" s="67" t="str">
        <x:f>IF(AND(I150=0,L150=0,Q150=0,T150=0,Y150=0),"PASS","FAIL")</x:f>
        <x:v>PASS</x:v>
      </x:c>
    </x:row>
    <x:row r="151" ht="18" customHeight="1">
      <x:c r="A151" s="14" t="n">
        <x:v>254</x:v>
      </x:c>
      <x:c r="B151" s="14" t="n">
        <x:v>146</x:v>
      </x:c>
      <x:c r="C151" s="14" t="n">
        <x:v>252</x:v>
      </x:c>
      <x:c r="D151" s="14" t="n">
        <x:v>1270</x:v>
      </x:c>
      <x:c r="E151" s="14" t="n">
        <x:v>266</x:v>
      </x:c>
      <x:c r="F151" s="14" t="n">
        <x:v>1492</x:v>
      </x:c>
      <x:c r="G151" s="14" t="n">
        <x:v>1301</x:v>
      </x:c>
      <x:c r="H151" s="14" t="n">
        <x:f>INT((F151-D151)*(A151-C151)/(E151-C151))+D151</x:f>
        <x:v>1301</x:v>
      </x:c>
      <x:c r="I151" s="68" t="n">
        <x:f>H151-G151</x:f>
        <x:v>0</x:v>
      </x:c>
      <x:c r="J151" s="14" t="n">
        <x:v>8469</x:v>
      </x:c>
      <x:c r="K151" s="14" t="n">
        <x:f>INT(H151*'공식·설정'!$B$10/'공식·설정'!$B$15)</x:f>
        <x:v>8469</x:v>
      </x:c>
      <x:c r="L151" s="68" t="n">
        <x:f>K151-J151</x:f>
        <x:v>0</x:v>
      </x:c>
      <x:c r="M151" s="65" t="n">
        <x:f>J151/'공식·설정'!$B$7</x:f>
        <x:v>33.08203125</x:v>
      </x:c>
      <x:c r="N151" s="65" t="n">
        <x:f>K151/'공식·설정'!$B$7</x:f>
        <x:v>33.08203125</x:v>
      </x:c>
      <x:c r="O151" s="14" t="n">
        <x:v>3</x:v>
      </x:c>
      <x:c r="P151" s="14" t="n">
        <x:f>MIN(32767,MAX(0,INT((K151+INT('공식·설정'!$B$12/2))/'공식·설정'!$B$12)))</x:f>
        <x:v>3</x:v>
      </x:c>
      <x:c r="Q151" s="68" t="n">
        <x:f>P151-O151</x:f>
        <x:v>0</x:v>
      </x:c>
      <x:c r="R151" s="14" t="n">
        <x:v>16128</x:v>
      </x:c>
      <x:c r="S151" s="14" t="n">
        <x:f>P151*'공식·설정'!$B$12+'공식·설정'!$B$14</x:f>
        <x:v>16128</x:v>
      </x:c>
      <x:c r="T151" s="68" t="n">
        <x:f>S151-R151</x:f>
        <x:v>0</x:v>
      </x:c>
      <x:c r="U151" s="65" t="n">
        <x:f>R151/'공식·설정'!$B$7</x:f>
        <x:v>63</x:v>
      </x:c>
      <x:c r="V151" s="65" t="n">
        <x:f>S151/'공식·설정'!$B$7</x:f>
        <x:v>63</x:v>
      </x:c>
      <x:c r="W151" s="14" t="n">
        <x:v>812</x:v>
      </x:c>
      <x:c r="X151" s="14" t="n">
        <x:f>INT(ABS(K152-K151)*'공식·설정'!$B$8/K151)</x:f>
        <x:v>812</x:v>
      </x:c>
      <x:c r="Y151" s="68" t="n">
        <x:f>X151-W151</x:f>
        <x:v>0</x:v>
      </x:c>
      <x:c r="Z151" s="66" t="n">
        <x:f>W151/'공식·설정'!$B$8</x:f>
        <x:v>0.01239013671875</x:v>
      </x:c>
      <x:c r="AA151" s="66" t="n">
        <x:f>X151/'공식·설정'!$B$8</x:f>
        <x:v>0.01239013671875</x:v>
      </x:c>
      <x:c r="AB151" s="67" t="str">
        <x:f>IF(AND(I151=0,L151=0,Q151=0,T151=0,Y151=0),"PASS","FAIL")</x:f>
        <x:v>PASS</x:v>
      </x:c>
    </x:row>
    <x:row r="152" ht="18" customHeight="1">
      <x:c r="A152" s="14" t="n">
        <x:v>255</x:v>
      </x:c>
      <x:c r="B152" s="14" t="n">
        <x:v>147</x:v>
      </x:c>
      <x:c r="C152" s="14" t="n">
        <x:v>252</x:v>
      </x:c>
      <x:c r="D152" s="14" t="n">
        <x:v>1270</x:v>
      </x:c>
      <x:c r="E152" s="14" t="n">
        <x:v>266</x:v>
      </x:c>
      <x:c r="F152" s="14" t="n">
        <x:v>1492</x:v>
      </x:c>
      <x:c r="G152" s="14" t="n">
        <x:v>1317</x:v>
      </x:c>
      <x:c r="H152" s="14" t="n">
        <x:f>INT((F152-D152)*(A152-C152)/(E152-C152))+D152</x:f>
        <x:v>1317</x:v>
      </x:c>
      <x:c r="I152" s="68" t="n">
        <x:f>H152-G152</x:f>
        <x:v>0</x:v>
      </x:c>
      <x:c r="J152" s="14" t="n">
        <x:v>8574</x:v>
      </x:c>
      <x:c r="K152" s="14" t="n">
        <x:f>INT(H152*'공식·설정'!$B$10/'공식·설정'!$B$15)</x:f>
        <x:v>8574</x:v>
      </x:c>
      <x:c r="L152" s="68" t="n">
        <x:f>K152-J152</x:f>
        <x:v>0</x:v>
      </x:c>
      <x:c r="M152" s="65" t="n">
        <x:f>J152/'공식·설정'!$B$7</x:f>
        <x:v>33.4921875</x:v>
      </x:c>
      <x:c r="N152" s="65" t="n">
        <x:f>K152/'공식·설정'!$B$7</x:f>
        <x:v>33.4921875</x:v>
      </x:c>
      <x:c r="O152" s="14" t="n">
        <x:v>3</x:v>
      </x:c>
      <x:c r="P152" s="14" t="n">
        <x:f>MIN(32767,MAX(0,INT((K152+INT('공식·설정'!$B$12/2))/'공식·설정'!$B$12)))</x:f>
        <x:v>3</x:v>
      </x:c>
      <x:c r="Q152" s="68" t="n">
        <x:f>P152-O152</x:f>
        <x:v>0</x:v>
      </x:c>
      <x:c r="R152" s="14" t="n">
        <x:v>16128</x:v>
      </x:c>
      <x:c r="S152" s="14" t="n">
        <x:f>P152*'공식·설정'!$B$12+'공식·설정'!$B$14</x:f>
        <x:v>16128</x:v>
      </x:c>
      <x:c r="T152" s="68" t="n">
        <x:f>S152-R152</x:f>
        <x:v>0</x:v>
      </x:c>
      <x:c r="U152" s="65" t="n">
        <x:f>R152/'공식·설정'!$B$7</x:f>
        <x:v>63</x:v>
      </x:c>
      <x:c r="V152" s="65" t="n">
        <x:f>S152/'공식·설정'!$B$7</x:f>
        <x:v>63</x:v>
      </x:c>
      <x:c r="W152" s="14" t="n">
        <x:v>794</x:v>
      </x:c>
      <x:c r="X152" s="14" t="n">
        <x:f>INT(ABS(K153-K152)*'공식·설정'!$B$8/K152)</x:f>
        <x:v>794</x:v>
      </x:c>
      <x:c r="Y152" s="68" t="n">
        <x:f>X152-W152</x:f>
        <x:v>0</x:v>
      </x:c>
      <x:c r="Z152" s="66" t="n">
        <x:f>W152/'공식·설정'!$B$8</x:f>
        <x:v>0.012115478515625</x:v>
      </x:c>
      <x:c r="AA152" s="66" t="n">
        <x:f>X152/'공식·설정'!$B$8</x:f>
        <x:v>0.012115478515625</x:v>
      </x:c>
      <x:c r="AB152" s="67" t="str">
        <x:f>IF(AND(I152=0,L152=0,Q152=0,T152=0,Y152=0),"PASS","FAIL")</x:f>
        <x:v>PASS</x:v>
      </x:c>
    </x:row>
    <x:row r="153" ht="18" customHeight="1">
      <x:c r="A153" s="14" t="n">
        <x:v>256</x:v>
      </x:c>
      <x:c r="B153" s="14" t="n">
        <x:v>148</x:v>
      </x:c>
      <x:c r="C153" s="14" t="n">
        <x:v>252</x:v>
      </x:c>
      <x:c r="D153" s="14" t="n">
        <x:v>1270</x:v>
      </x:c>
      <x:c r="E153" s="14" t="n">
        <x:v>266</x:v>
      </x:c>
      <x:c r="F153" s="14" t="n">
        <x:v>1492</x:v>
      </x:c>
      <x:c r="G153" s="14" t="n">
        <x:v>1333</x:v>
      </x:c>
      <x:c r="H153" s="14" t="n">
        <x:f>INT((F153-D153)*(A153-C153)/(E153-C153))+D153</x:f>
        <x:v>1333</x:v>
      </x:c>
      <x:c r="I153" s="68" t="n">
        <x:f>H153-G153</x:f>
        <x:v>0</x:v>
      </x:c>
      <x:c r="J153" s="14" t="n">
        <x:v>8678</x:v>
      </x:c>
      <x:c r="K153" s="14" t="n">
        <x:f>INT(H153*'공식·설정'!$B$10/'공식·설정'!$B$15)</x:f>
        <x:v>8678</x:v>
      </x:c>
      <x:c r="L153" s="68" t="n">
        <x:f>K153-J153</x:f>
        <x:v>0</x:v>
      </x:c>
      <x:c r="M153" s="65" t="n">
        <x:f>J153/'공식·설정'!$B$7</x:f>
        <x:v>33.8984375</x:v>
      </x:c>
      <x:c r="N153" s="65" t="n">
        <x:f>K153/'공식·설정'!$B$7</x:f>
        <x:v>33.8984375</x:v>
      </x:c>
      <x:c r="O153" s="14" t="n">
        <x:v>3</x:v>
      </x:c>
      <x:c r="P153" s="14" t="n">
        <x:f>MIN(32767,MAX(0,INT((K153+INT('공식·설정'!$B$12/2))/'공식·설정'!$B$12)))</x:f>
        <x:v>3</x:v>
      </x:c>
      <x:c r="Q153" s="68" t="n">
        <x:f>P153-O153</x:f>
        <x:v>0</x:v>
      </x:c>
      <x:c r="R153" s="14" t="n">
        <x:v>16128</x:v>
      </x:c>
      <x:c r="S153" s="14" t="n">
        <x:f>P153*'공식·설정'!$B$12+'공식·설정'!$B$14</x:f>
        <x:v>16128</x:v>
      </x:c>
      <x:c r="T153" s="68" t="n">
        <x:f>S153-R153</x:f>
        <x:v>0</x:v>
      </x:c>
      <x:c r="U153" s="65" t="n">
        <x:f>R153/'공식·설정'!$B$7</x:f>
        <x:v>63</x:v>
      </x:c>
      <x:c r="V153" s="65" t="n">
        <x:f>S153/'공식·설정'!$B$7</x:f>
        <x:v>63</x:v>
      </x:c>
      <x:c r="W153" s="14" t="n">
        <x:v>785</x:v>
      </x:c>
      <x:c r="X153" s="14" t="n">
        <x:f>INT(ABS(K154-K153)*'공식·설정'!$B$8/K153)</x:f>
        <x:v>785</x:v>
      </x:c>
      <x:c r="Y153" s="68" t="n">
        <x:f>X153-W153</x:f>
        <x:v>0</x:v>
      </x:c>
      <x:c r="Z153" s="66" t="n">
        <x:f>W153/'공식·설정'!$B$8</x:f>
        <x:v>0.0119781494140625</x:v>
      </x:c>
      <x:c r="AA153" s="66" t="n">
        <x:f>X153/'공식·설정'!$B$8</x:f>
        <x:v>0.0119781494140625</x:v>
      </x:c>
      <x:c r="AB153" s="67" t="str">
        <x:f>IF(AND(I153=0,L153=0,Q153=0,T153=0,Y153=0),"PASS","FAIL")</x:f>
        <x:v>PASS</x:v>
      </x:c>
    </x:row>
    <x:row r="154" ht="18" customHeight="1">
      <x:c r="A154" s="14" t="n">
        <x:v>257</x:v>
      </x:c>
      <x:c r="B154" s="14" t="n">
        <x:v>149</x:v>
      </x:c>
      <x:c r="C154" s="14" t="n">
        <x:v>252</x:v>
      </x:c>
      <x:c r="D154" s="14" t="n">
        <x:v>1270</x:v>
      </x:c>
      <x:c r="E154" s="14" t="n">
        <x:v>266</x:v>
      </x:c>
      <x:c r="F154" s="14" t="n">
        <x:v>1492</x:v>
      </x:c>
      <x:c r="G154" s="14" t="n">
        <x:v>1349</x:v>
      </x:c>
      <x:c r="H154" s="14" t="n">
        <x:f>INT((F154-D154)*(A154-C154)/(E154-C154))+D154</x:f>
        <x:v>1349</x:v>
      </x:c>
      <x:c r="I154" s="68" t="n">
        <x:f>H154-G154</x:f>
        <x:v>0</x:v>
      </x:c>
      <x:c r="J154" s="14" t="n">
        <x:v>8782</x:v>
      </x:c>
      <x:c r="K154" s="14" t="n">
        <x:f>INT(H154*'공식·설정'!$B$10/'공식·설정'!$B$15)</x:f>
        <x:v>8782</x:v>
      </x:c>
      <x:c r="L154" s="68" t="n">
        <x:f>K154-J154</x:f>
        <x:v>0</x:v>
      </x:c>
      <x:c r="M154" s="65" t="n">
        <x:f>J154/'공식·설정'!$B$7</x:f>
        <x:v>34.3046875</x:v>
      </x:c>
      <x:c r="N154" s="65" t="n">
        <x:f>K154/'공식·설정'!$B$7</x:f>
        <x:v>34.3046875</x:v>
      </x:c>
      <x:c r="O154" s="14" t="n">
        <x:v>3</x:v>
      </x:c>
      <x:c r="P154" s="14" t="n">
        <x:f>MIN(32767,MAX(0,INT((K154+INT('공식·설정'!$B$12/2))/'공식·설정'!$B$12)))</x:f>
        <x:v>3</x:v>
      </x:c>
      <x:c r="Q154" s="68" t="n">
        <x:f>P154-O154</x:f>
        <x:v>0</x:v>
      </x:c>
      <x:c r="R154" s="14" t="n">
        <x:v>16128</x:v>
      </x:c>
      <x:c r="S154" s="14" t="n">
        <x:f>P154*'공식·설정'!$B$12+'공식·설정'!$B$14</x:f>
        <x:v>16128</x:v>
      </x:c>
      <x:c r="T154" s="68" t="n">
        <x:f>S154-R154</x:f>
        <x:v>0</x:v>
      </x:c>
      <x:c r="U154" s="65" t="n">
        <x:f>R154/'공식·설정'!$B$7</x:f>
        <x:v>63</x:v>
      </x:c>
      <x:c r="V154" s="65" t="n">
        <x:f>S154/'공식·설정'!$B$7</x:f>
        <x:v>63</x:v>
      </x:c>
      <x:c r="W154" s="14" t="n">
        <x:v>776</x:v>
      </x:c>
      <x:c r="X154" s="14" t="n">
        <x:f>INT(ABS(K155-K154)*'공식·설정'!$B$8/K154)</x:f>
        <x:v>776</x:v>
      </x:c>
      <x:c r="Y154" s="68" t="n">
        <x:f>X154-W154</x:f>
        <x:v>0</x:v>
      </x:c>
      <x:c r="Z154" s="66" t="n">
        <x:f>W154/'공식·설정'!$B$8</x:f>
        <x:v>0.0118408203125</x:v>
      </x:c>
      <x:c r="AA154" s="66" t="n">
        <x:f>X154/'공식·설정'!$B$8</x:f>
        <x:v>0.0118408203125</x:v>
      </x:c>
      <x:c r="AB154" s="67" t="str">
        <x:f>IF(AND(I154=0,L154=0,Q154=0,T154=0,Y154=0),"PASS","FAIL")</x:f>
        <x:v>PASS</x:v>
      </x:c>
    </x:row>
    <x:row r="155" ht="18" customHeight="1">
      <x:c r="A155" s="14" t="n">
        <x:v>258</x:v>
      </x:c>
      <x:c r="B155" s="14" t="n">
        <x:v>150</x:v>
      </x:c>
      <x:c r="C155" s="14" t="n">
        <x:v>252</x:v>
      </x:c>
      <x:c r="D155" s="14" t="n">
        <x:v>1270</x:v>
      </x:c>
      <x:c r="E155" s="14" t="n">
        <x:v>266</x:v>
      </x:c>
      <x:c r="F155" s="14" t="n">
        <x:v>1492</x:v>
      </x:c>
      <x:c r="G155" s="14" t="n">
        <x:v>1365</x:v>
      </x:c>
      <x:c r="H155" s="14" t="n">
        <x:f>INT((F155-D155)*(A155-C155)/(E155-C155))+D155</x:f>
        <x:v>1365</x:v>
      </x:c>
      <x:c r="I155" s="68" t="n">
        <x:f>H155-G155</x:f>
        <x:v>0</x:v>
      </x:c>
      <x:c r="J155" s="14" t="n">
        <x:v>8886</x:v>
      </x:c>
      <x:c r="K155" s="14" t="n">
        <x:f>INT(H155*'공식·설정'!$B$10/'공식·설정'!$B$15)</x:f>
        <x:v>8886</x:v>
      </x:c>
      <x:c r="L155" s="68" t="n">
        <x:f>K155-J155</x:f>
        <x:v>0</x:v>
      </x:c>
      <x:c r="M155" s="65" t="n">
        <x:f>J155/'공식·설정'!$B$7</x:f>
        <x:v>34.7109375</x:v>
      </x:c>
      <x:c r="N155" s="65" t="n">
        <x:f>K155/'공식·설정'!$B$7</x:f>
        <x:v>34.7109375</x:v>
      </x:c>
      <x:c r="O155" s="14" t="n">
        <x:v>3</x:v>
      </x:c>
      <x:c r="P155" s="14" t="n">
        <x:f>MIN(32767,MAX(0,INT((K155+INT('공식·설정'!$B$12/2))/'공식·설정'!$B$12)))</x:f>
        <x:v>3</x:v>
      </x:c>
      <x:c r="Q155" s="68" t="n">
        <x:f>P155-O155</x:f>
        <x:v>0</x:v>
      </x:c>
      <x:c r="R155" s="14" t="n">
        <x:v>16128</x:v>
      </x:c>
      <x:c r="S155" s="14" t="n">
        <x:f>P155*'공식·설정'!$B$12+'공식·설정'!$B$14</x:f>
        <x:v>16128</x:v>
      </x:c>
      <x:c r="T155" s="68" t="n">
        <x:f>S155-R155</x:f>
        <x:v>0</x:v>
      </x:c>
      <x:c r="U155" s="65" t="n">
        <x:f>R155/'공식·설정'!$B$7</x:f>
        <x:v>63</x:v>
      </x:c>
      <x:c r="V155" s="65" t="n">
        <x:f>S155/'공식·설정'!$B$7</x:f>
        <x:v>63</x:v>
      </x:c>
      <x:c r="W155" s="14" t="n">
        <x:v>767</x:v>
      </x:c>
      <x:c r="X155" s="14" t="n">
        <x:f>INT(ABS(K156-K155)*'공식·설정'!$B$8/K155)</x:f>
        <x:v>767</x:v>
      </x:c>
      <x:c r="Y155" s="68" t="n">
        <x:f>X155-W155</x:f>
        <x:v>0</x:v>
      </x:c>
      <x:c r="Z155" s="66" t="n">
        <x:f>W155/'공식·설정'!$B$8</x:f>
        <x:v>0.0117034912109375</x:v>
      </x:c>
      <x:c r="AA155" s="66" t="n">
        <x:f>X155/'공식·설정'!$B$8</x:f>
        <x:v>0.0117034912109375</x:v>
      </x:c>
      <x:c r="AB155" s="67" t="str">
        <x:f>IF(AND(I155=0,L155=0,Q155=0,T155=0,Y155=0),"PASS","FAIL")</x:f>
        <x:v>PASS</x:v>
      </x:c>
    </x:row>
    <x:row r="156" ht="18" customHeight="1">
      <x:c r="A156" s="14" t="n">
        <x:v>259</x:v>
      </x:c>
      <x:c r="B156" s="14" t="n">
        <x:v>151</x:v>
      </x:c>
      <x:c r="C156" s="14" t="n">
        <x:v>252</x:v>
      </x:c>
      <x:c r="D156" s="14" t="n">
        <x:v>1270</x:v>
      </x:c>
      <x:c r="E156" s="14" t="n">
        <x:v>266</x:v>
      </x:c>
      <x:c r="F156" s="14" t="n">
        <x:v>1492</x:v>
      </x:c>
      <x:c r="G156" s="14" t="n">
        <x:v>1381</x:v>
      </x:c>
      <x:c r="H156" s="14" t="n">
        <x:f>INT((F156-D156)*(A156-C156)/(E156-C156))+D156</x:f>
        <x:v>1381</x:v>
      </x:c>
      <x:c r="I156" s="68" t="n">
        <x:f>H156-G156</x:f>
        <x:v>0</x:v>
      </x:c>
      <x:c r="J156" s="14" t="n">
        <x:v>8990</x:v>
      </x:c>
      <x:c r="K156" s="14" t="n">
        <x:f>INT(H156*'공식·설정'!$B$10/'공식·설정'!$B$15)</x:f>
        <x:v>8990</x:v>
      </x:c>
      <x:c r="L156" s="68" t="n">
        <x:f>K156-J156</x:f>
        <x:v>0</x:v>
      </x:c>
      <x:c r="M156" s="65" t="n">
        <x:f>J156/'공식·설정'!$B$7</x:f>
        <x:v>35.1171875</x:v>
      </x:c>
      <x:c r="N156" s="65" t="n">
        <x:f>K156/'공식·설정'!$B$7</x:f>
        <x:v>35.1171875</x:v>
      </x:c>
      <x:c r="O156" s="14" t="n">
        <x:v>4</x:v>
      </x:c>
      <x:c r="P156" s="14" t="n">
        <x:f>MIN(32767,MAX(0,INT((K156+INT('공식·설정'!$B$12/2))/'공식·설정'!$B$12)))</x:f>
        <x:v>4</x:v>
      </x:c>
      <x:c r="Q156" s="68" t="n">
        <x:f>P156-O156</x:f>
        <x:v>0</x:v>
      </x:c>
      <x:c r="R156" s="14" t="n">
        <x:v>18688</x:v>
      </x:c>
      <x:c r="S156" s="14" t="n">
        <x:f>P156*'공식·설정'!$B$12+'공식·설정'!$B$14</x:f>
        <x:v>18688</x:v>
      </x:c>
      <x:c r="T156" s="68" t="n">
        <x:f>S156-R156</x:f>
        <x:v>0</x:v>
      </x:c>
      <x:c r="U156" s="65" t="n">
        <x:f>R156/'공식·설정'!$B$7</x:f>
        <x:v>73</x:v>
      </x:c>
      <x:c r="V156" s="65" t="n">
        <x:f>S156/'공식·설정'!$B$7</x:f>
        <x:v>73</x:v>
      </x:c>
      <x:c r="W156" s="14" t="n">
        <x:v>714</x:v>
      </x:c>
      <x:c r="X156" s="14" t="n">
        <x:f>INT(ABS(K157-K156)*'공식·설정'!$B$8/K156)</x:f>
        <x:v>714</x:v>
      </x:c>
      <x:c r="Y156" s="68" t="n">
        <x:f>X156-W156</x:f>
        <x:v>0</x:v>
      </x:c>
      <x:c r="Z156" s="66" t="n">
        <x:f>W156/'공식·설정'!$B$8</x:f>
        <x:v>0.010894775390625</x:v>
      </x:c>
      <x:c r="AA156" s="66" t="n">
        <x:f>X156/'공식·설정'!$B$8</x:f>
        <x:v>0.010894775390625</x:v>
      </x:c>
      <x:c r="AB156" s="67" t="str">
        <x:f>IF(AND(I156=0,L156=0,Q156=0,T156=0,Y156=0),"PASS","FAIL")</x:f>
        <x:v>PASS</x:v>
      </x:c>
    </x:row>
    <x:row r="157" ht="18" customHeight="1">
      <x:c r="A157" s="14" t="n">
        <x:v>260</x:v>
      </x:c>
      <x:c r="B157" s="14" t="n">
        <x:v>152</x:v>
      </x:c>
      <x:c r="C157" s="14" t="n">
        <x:v>252</x:v>
      </x:c>
      <x:c r="D157" s="14" t="n">
        <x:v>1270</x:v>
      </x:c>
      <x:c r="E157" s="14" t="n">
        <x:v>266</x:v>
      </x:c>
      <x:c r="F157" s="14" t="n">
        <x:v>1492</x:v>
      </x:c>
      <x:c r="G157" s="14" t="n">
        <x:v>1396</x:v>
      </x:c>
      <x:c r="H157" s="14" t="n">
        <x:f>INT((F157-D157)*(A157-C157)/(E157-C157))+D157</x:f>
        <x:v>1396</x:v>
      </x:c>
      <x:c r="I157" s="68" t="n">
        <x:f>H157-G157</x:f>
        <x:v>0</x:v>
      </x:c>
      <x:c r="J157" s="14" t="n">
        <x:v>9088</x:v>
      </x:c>
      <x:c r="K157" s="14" t="n">
        <x:f>INT(H157*'공식·설정'!$B$10/'공식·설정'!$B$15)</x:f>
        <x:v>9088</x:v>
      </x:c>
      <x:c r="L157" s="68" t="n">
        <x:f>K157-J157</x:f>
        <x:v>0</x:v>
      </x:c>
      <x:c r="M157" s="65" t="n">
        <x:f>J157/'공식·설정'!$B$7</x:f>
        <x:v>35.5</x:v>
      </x:c>
      <x:c r="N157" s="65" t="n">
        <x:f>K157/'공식·설정'!$B$7</x:f>
        <x:v>35.5</x:v>
      </x:c>
      <x:c r="O157" s="14" t="n">
        <x:v>4</x:v>
      </x:c>
      <x:c r="P157" s="14" t="n">
        <x:f>MIN(32767,MAX(0,INT((K157+INT('공식·설정'!$B$12/2))/'공식·설정'!$B$12)))</x:f>
        <x:v>4</x:v>
      </x:c>
      <x:c r="Q157" s="68" t="n">
        <x:f>P157-O157</x:f>
        <x:v>0</x:v>
      </x:c>
      <x:c r="R157" s="14" t="n">
        <x:v>18688</x:v>
      </x:c>
      <x:c r="S157" s="14" t="n">
        <x:f>P157*'공식·설정'!$B$12+'공식·설정'!$B$14</x:f>
        <x:v>18688</x:v>
      </x:c>
      <x:c r="T157" s="68" t="n">
        <x:f>S157-R157</x:f>
        <x:v>0</x:v>
      </x:c>
      <x:c r="U157" s="65" t="n">
        <x:f>R157/'공식·설정'!$B$7</x:f>
        <x:v>73</x:v>
      </x:c>
      <x:c r="V157" s="65" t="n">
        <x:f>S157/'공식·설정'!$B$7</x:f>
        <x:v>73</x:v>
      </x:c>
      <x:c r="W157" s="14" t="n">
        <x:v>749</x:v>
      </x:c>
      <x:c r="X157" s="14" t="n">
        <x:f>INT(ABS(K158-K157)*'공식·설정'!$B$8/K157)</x:f>
        <x:v>749</x:v>
      </x:c>
      <x:c r="Y157" s="68" t="n">
        <x:f>X157-W157</x:f>
        <x:v>0</x:v>
      </x:c>
      <x:c r="Z157" s="66" t="n">
        <x:f>W157/'공식·설정'!$B$8</x:f>
        <x:v>0.0114288330078125</x:v>
      </x:c>
      <x:c r="AA157" s="66" t="n">
        <x:f>X157/'공식·설정'!$B$8</x:f>
        <x:v>0.0114288330078125</x:v>
      </x:c>
      <x:c r="AB157" s="67" t="str">
        <x:f>IF(AND(I157=0,L157=0,Q157=0,T157=0,Y157=0),"PASS","FAIL")</x:f>
        <x:v>PASS</x:v>
      </x:c>
    </x:row>
    <x:row r="158" ht="18" customHeight="1">
      <x:c r="A158" s="14" t="n">
        <x:v>261</x:v>
      </x:c>
      <x:c r="B158" s="14" t="n">
        <x:v>153</x:v>
      </x:c>
      <x:c r="C158" s="14" t="n">
        <x:v>252</x:v>
      </x:c>
      <x:c r="D158" s="14" t="n">
        <x:v>1270</x:v>
      </x:c>
      <x:c r="E158" s="14" t="n">
        <x:v>266</x:v>
      </x:c>
      <x:c r="F158" s="14" t="n">
        <x:v>1492</x:v>
      </x:c>
      <x:c r="G158" s="14" t="n">
        <x:v>1412</x:v>
      </x:c>
      <x:c r="H158" s="14" t="n">
        <x:f>INT((F158-D158)*(A158-C158)/(E158-C158))+D158</x:f>
        <x:v>1412</x:v>
      </x:c>
      <x:c r="I158" s="68" t="n">
        <x:f>H158-G158</x:f>
        <x:v>0</x:v>
      </x:c>
      <x:c r="J158" s="14" t="n">
        <x:v>9192</x:v>
      </x:c>
      <x:c r="K158" s="14" t="n">
        <x:f>INT(H158*'공식·설정'!$B$10/'공식·설정'!$B$15)</x:f>
        <x:v>9192</x:v>
      </x:c>
      <x:c r="L158" s="68" t="n">
        <x:f>K158-J158</x:f>
        <x:v>0</x:v>
      </x:c>
      <x:c r="M158" s="65" t="n">
        <x:f>J158/'공식·설정'!$B$7</x:f>
        <x:v>35.90625</x:v>
      </x:c>
      <x:c r="N158" s="65" t="n">
        <x:f>K158/'공식·설정'!$B$7</x:f>
        <x:v>35.90625</x:v>
      </x:c>
      <x:c r="O158" s="14" t="n">
        <x:v>4</x:v>
      </x:c>
      <x:c r="P158" s="14" t="n">
        <x:f>MIN(32767,MAX(0,INT((K158+INT('공식·설정'!$B$12/2))/'공식·설정'!$B$12)))</x:f>
        <x:v>4</x:v>
      </x:c>
      <x:c r="Q158" s="68" t="n">
        <x:f>P158-O158</x:f>
        <x:v>0</x:v>
      </x:c>
      <x:c r="R158" s="14" t="n">
        <x:v>18688</x:v>
      </x:c>
      <x:c r="S158" s="14" t="n">
        <x:f>P158*'공식·설정'!$B$12+'공식·설정'!$B$14</x:f>
        <x:v>18688</x:v>
      </x:c>
      <x:c r="T158" s="68" t="n">
        <x:f>S158-R158</x:f>
        <x:v>0</x:v>
      </x:c>
      <x:c r="U158" s="65" t="n">
        <x:f>R158/'공식·설정'!$B$7</x:f>
        <x:v>73</x:v>
      </x:c>
      <x:c r="V158" s="65" t="n">
        <x:f>S158/'공식·설정'!$B$7</x:f>
        <x:v>73</x:v>
      </x:c>
      <x:c r="W158" s="14" t="n">
        <x:v>741</x:v>
      </x:c>
      <x:c r="X158" s="14" t="n">
        <x:f>INT(ABS(K159-K158)*'공식·설정'!$B$8/K158)</x:f>
        <x:v>741</x:v>
      </x:c>
      <x:c r="Y158" s="68" t="n">
        <x:f>X158-W158</x:f>
        <x:v>0</x:v>
      </x:c>
      <x:c r="Z158" s="66" t="n">
        <x:f>W158/'공식·설정'!$B$8</x:f>
        <x:v>0.0113067626953125</x:v>
      </x:c>
      <x:c r="AA158" s="66" t="n">
        <x:f>X158/'공식·설정'!$B$8</x:f>
        <x:v>0.0113067626953125</x:v>
      </x:c>
      <x:c r="AB158" s="67" t="str">
        <x:f>IF(AND(I158=0,L158=0,Q158=0,T158=0,Y158=0),"PASS","FAIL")</x:f>
        <x:v>PASS</x:v>
      </x:c>
    </x:row>
    <x:row r="159" ht="18" customHeight="1">
      <x:c r="A159" s="14" t="n">
        <x:v>262</x:v>
      </x:c>
      <x:c r="B159" s="14" t="n">
        <x:v>154</x:v>
      </x:c>
      <x:c r="C159" s="14" t="n">
        <x:v>252</x:v>
      </x:c>
      <x:c r="D159" s="14" t="n">
        <x:v>1270</x:v>
      </x:c>
      <x:c r="E159" s="14" t="n">
        <x:v>266</x:v>
      </x:c>
      <x:c r="F159" s="14" t="n">
        <x:v>1492</x:v>
      </x:c>
      <x:c r="G159" s="14" t="n">
        <x:v>1428</x:v>
      </x:c>
      <x:c r="H159" s="14" t="n">
        <x:f>INT((F159-D159)*(A159-C159)/(E159-C159))+D159</x:f>
        <x:v>1428</x:v>
      </x:c>
      <x:c r="I159" s="68" t="n">
        <x:f>H159-G159</x:f>
        <x:v>0</x:v>
      </x:c>
      <x:c r="J159" s="14" t="n">
        <x:v>9296</x:v>
      </x:c>
      <x:c r="K159" s="14" t="n">
        <x:f>INT(H159*'공식·설정'!$B$10/'공식·설정'!$B$15)</x:f>
        <x:v>9296</x:v>
      </x:c>
      <x:c r="L159" s="68" t="n">
        <x:f>K159-J159</x:f>
        <x:v>0</x:v>
      </x:c>
      <x:c r="M159" s="65" t="n">
        <x:f>J159/'공식·설정'!$B$7</x:f>
        <x:v>36.3125</x:v>
      </x:c>
      <x:c r="N159" s="65" t="n">
        <x:f>K159/'공식·설정'!$B$7</x:f>
        <x:v>36.3125</x:v>
      </x:c>
      <x:c r="O159" s="14" t="n">
        <x:v>4</x:v>
      </x:c>
      <x:c r="P159" s="14" t="n">
        <x:f>MIN(32767,MAX(0,INT((K159+INT('공식·설정'!$B$12/2))/'공식·설정'!$B$12)))</x:f>
        <x:v>4</x:v>
      </x:c>
      <x:c r="Q159" s="68" t="n">
        <x:f>P159-O159</x:f>
        <x:v>0</x:v>
      </x:c>
      <x:c r="R159" s="14" t="n">
        <x:v>18688</x:v>
      </x:c>
      <x:c r="S159" s="14" t="n">
        <x:f>P159*'공식·설정'!$B$12+'공식·설정'!$B$14</x:f>
        <x:v>18688</x:v>
      </x:c>
      <x:c r="T159" s="68" t="n">
        <x:f>S159-R159</x:f>
        <x:v>0</x:v>
      </x:c>
      <x:c r="U159" s="65" t="n">
        <x:f>R159/'공식·설정'!$B$7</x:f>
        <x:v>73</x:v>
      </x:c>
      <x:c r="V159" s="65" t="n">
        <x:f>S159/'공식·설정'!$B$7</x:f>
        <x:v>73</x:v>
      </x:c>
      <x:c r="W159" s="14" t="n">
        <x:v>733</x:v>
      </x:c>
      <x:c r="X159" s="14" t="n">
        <x:f>INT(ABS(K160-K159)*'공식·설정'!$B$8/K159)</x:f>
        <x:v>733</x:v>
      </x:c>
      <x:c r="Y159" s="68" t="n">
        <x:f>X159-W159</x:f>
        <x:v>0</x:v>
      </x:c>
      <x:c r="Z159" s="66" t="n">
        <x:f>W159/'공식·설정'!$B$8</x:f>
        <x:v>0.0111846923828125</x:v>
      </x:c>
      <x:c r="AA159" s="66" t="n">
        <x:f>X159/'공식·설정'!$B$8</x:f>
        <x:v>0.0111846923828125</x:v>
      </x:c>
      <x:c r="AB159" s="67" t="str">
        <x:f>IF(AND(I159=0,L159=0,Q159=0,T159=0,Y159=0),"PASS","FAIL")</x:f>
        <x:v>PASS</x:v>
      </x:c>
    </x:row>
    <x:row r="160" ht="18" customHeight="1">
      <x:c r="A160" s="14" t="n">
        <x:v>263</x:v>
      </x:c>
      <x:c r="B160" s="14" t="n">
        <x:v>155</x:v>
      </x:c>
      <x:c r="C160" s="14" t="n">
        <x:v>252</x:v>
      </x:c>
      <x:c r="D160" s="14" t="n">
        <x:v>1270</x:v>
      </x:c>
      <x:c r="E160" s="14" t="n">
        <x:v>266</x:v>
      </x:c>
      <x:c r="F160" s="14" t="n">
        <x:v>1492</x:v>
      </x:c>
      <x:c r="G160" s="14" t="n">
        <x:v>1444</x:v>
      </x:c>
      <x:c r="H160" s="14" t="n">
        <x:f>INT((F160-D160)*(A160-C160)/(E160-C160))+D160</x:f>
        <x:v>1444</x:v>
      </x:c>
      <x:c r="I160" s="68" t="n">
        <x:f>H160-G160</x:f>
        <x:v>0</x:v>
      </x:c>
      <x:c r="J160" s="14" t="n">
        <x:v>9400</x:v>
      </x:c>
      <x:c r="K160" s="14" t="n">
        <x:f>INT(H160*'공식·설정'!$B$10/'공식·설정'!$B$15)</x:f>
        <x:v>9400</x:v>
      </x:c>
      <x:c r="L160" s="68" t="n">
        <x:f>K160-J160</x:f>
        <x:v>0</x:v>
      </x:c>
      <x:c r="M160" s="65" t="n">
        <x:f>J160/'공식·설정'!$B$7</x:f>
        <x:v>36.71875</x:v>
      </x:c>
      <x:c r="N160" s="65" t="n">
        <x:f>K160/'공식·설정'!$B$7</x:f>
        <x:v>36.71875</x:v>
      </x:c>
      <x:c r="O160" s="14" t="n">
        <x:v>4</x:v>
      </x:c>
      <x:c r="P160" s="14" t="n">
        <x:f>MIN(32767,MAX(0,INT((K160+INT('공식·설정'!$B$12/2))/'공식·설정'!$B$12)))</x:f>
        <x:v>4</x:v>
      </x:c>
      <x:c r="Q160" s="68" t="n">
        <x:f>P160-O160</x:f>
        <x:v>0</x:v>
      </x:c>
      <x:c r="R160" s="14" t="n">
        <x:v>18688</x:v>
      </x:c>
      <x:c r="S160" s="14" t="n">
        <x:f>P160*'공식·설정'!$B$12+'공식·설정'!$B$14</x:f>
        <x:v>18688</x:v>
      </x:c>
      <x:c r="T160" s="68" t="n">
        <x:f>S160-R160</x:f>
        <x:v>0</x:v>
      </x:c>
      <x:c r="U160" s="65" t="n">
        <x:f>R160/'공식·설정'!$B$7</x:f>
        <x:v>73</x:v>
      </x:c>
      <x:c r="V160" s="65" t="n">
        <x:f>S160/'공식·설정'!$B$7</x:f>
        <x:v>73</x:v>
      </x:c>
      <x:c r="W160" s="14" t="n">
        <x:v>732</x:v>
      </x:c>
      <x:c r="X160" s="14" t="n">
        <x:f>INT(ABS(K161-K160)*'공식·설정'!$B$8/K160)</x:f>
        <x:v>732</x:v>
      </x:c>
      <x:c r="Y160" s="68" t="n">
        <x:f>X160-W160</x:f>
        <x:v>0</x:v>
      </x:c>
      <x:c r="Z160" s="66" t="n">
        <x:f>W160/'공식·설정'!$B$8</x:f>
        <x:v>0.01116943359375</x:v>
      </x:c>
      <x:c r="AA160" s="66" t="n">
        <x:f>X160/'공식·설정'!$B$8</x:f>
        <x:v>0.01116943359375</x:v>
      </x:c>
      <x:c r="AB160" s="67" t="str">
        <x:f>IF(AND(I160=0,L160=0,Q160=0,T160=0,Y160=0),"PASS","FAIL")</x:f>
        <x:v>PASS</x:v>
      </x:c>
    </x:row>
    <x:row r="161" ht="18" customHeight="1">
      <x:c r="A161" s="14" t="n">
        <x:v>264</x:v>
      </x:c>
      <x:c r="B161" s="14" t="n">
        <x:v>156</x:v>
      </x:c>
      <x:c r="C161" s="14" t="n">
        <x:v>252</x:v>
      </x:c>
      <x:c r="D161" s="14" t="n">
        <x:v>1270</x:v>
      </x:c>
      <x:c r="E161" s="14" t="n">
        <x:v>266</x:v>
      </x:c>
      <x:c r="F161" s="14" t="n">
        <x:v>1492</x:v>
      </x:c>
      <x:c r="G161" s="14" t="n">
        <x:v>1460</x:v>
      </x:c>
      <x:c r="H161" s="14" t="n">
        <x:f>INT((F161-D161)*(A161-C161)/(E161-C161))+D161</x:f>
        <x:v>1460</x:v>
      </x:c>
      <x:c r="I161" s="68" t="n">
        <x:f>H161-G161</x:f>
        <x:v>0</x:v>
      </x:c>
      <x:c r="J161" s="14" t="n">
        <x:v>9505</x:v>
      </x:c>
      <x:c r="K161" s="14" t="n">
        <x:f>INT(H161*'공식·설정'!$B$10/'공식·설정'!$B$15)</x:f>
        <x:v>9505</x:v>
      </x:c>
      <x:c r="L161" s="68" t="n">
        <x:f>K161-J161</x:f>
        <x:v>0</x:v>
      </x:c>
      <x:c r="M161" s="65" t="n">
        <x:f>J161/'공식·설정'!$B$7</x:f>
        <x:v>37.12890625</x:v>
      </x:c>
      <x:c r="N161" s="65" t="n">
        <x:f>K161/'공식·설정'!$B$7</x:f>
        <x:v>37.12890625</x:v>
      </x:c>
      <x:c r="O161" s="14" t="n">
        <x:v>4</x:v>
      </x:c>
      <x:c r="P161" s="14" t="n">
        <x:f>MIN(32767,MAX(0,INT((K161+INT('공식·설정'!$B$12/2))/'공식·설정'!$B$12)))</x:f>
        <x:v>4</x:v>
      </x:c>
      <x:c r="Q161" s="68" t="n">
        <x:f>P161-O161</x:f>
        <x:v>0</x:v>
      </x:c>
      <x:c r="R161" s="14" t="n">
        <x:v>18688</x:v>
      </x:c>
      <x:c r="S161" s="14" t="n">
        <x:f>P161*'공식·설정'!$B$12+'공식·설정'!$B$14</x:f>
        <x:v>18688</x:v>
      </x:c>
      <x:c r="T161" s="68" t="n">
        <x:f>S161-R161</x:f>
        <x:v>0</x:v>
      </x:c>
      <x:c r="U161" s="65" t="n">
        <x:f>R161/'공식·설정'!$B$7</x:f>
        <x:v>73</x:v>
      </x:c>
      <x:c r="V161" s="65" t="n">
        <x:f>S161/'공식·설정'!$B$7</x:f>
        <x:v>73</x:v>
      </x:c>
      <x:c r="W161" s="14" t="n">
        <x:v>717</x:v>
      </x:c>
      <x:c r="X161" s="14" t="n">
        <x:f>INT(ABS(K162-K161)*'공식·설정'!$B$8/K161)</x:f>
        <x:v>717</x:v>
      </x:c>
      <x:c r="Y161" s="68" t="n">
        <x:f>X161-W161</x:f>
        <x:v>0</x:v>
      </x:c>
      <x:c r="Z161" s="66" t="n">
        <x:f>W161/'공식·설정'!$B$8</x:f>
        <x:v>0.0109405517578125</x:v>
      </x:c>
      <x:c r="AA161" s="66" t="n">
        <x:f>X161/'공식·설정'!$B$8</x:f>
        <x:v>0.0109405517578125</x:v>
      </x:c>
      <x:c r="AB161" s="67" t="str">
        <x:f>IF(AND(I161=0,L161=0,Q161=0,T161=0,Y161=0),"PASS","FAIL")</x:f>
        <x:v>PASS</x:v>
      </x:c>
    </x:row>
    <x:row r="162" ht="18" customHeight="1">
      <x:c r="A162" s="14" t="n">
        <x:v>265</x:v>
      </x:c>
      <x:c r="B162" s="14" t="n">
        <x:v>157</x:v>
      </x:c>
      <x:c r="C162" s="14" t="n">
        <x:v>252</x:v>
      </x:c>
      <x:c r="D162" s="14" t="n">
        <x:v>1270</x:v>
      </x:c>
      <x:c r="E162" s="14" t="n">
        <x:v>266</x:v>
      </x:c>
      <x:c r="F162" s="14" t="n">
        <x:v>1492</x:v>
      </x:c>
      <x:c r="G162" s="14" t="n">
        <x:v>1476</x:v>
      </x:c>
      <x:c r="H162" s="14" t="n">
        <x:f>INT((F162-D162)*(A162-C162)/(E162-C162))+D162</x:f>
        <x:v>1476</x:v>
      </x:c>
      <x:c r="I162" s="68" t="n">
        <x:f>H162-G162</x:f>
        <x:v>0</x:v>
      </x:c>
      <x:c r="J162" s="14" t="n">
        <x:v>9609</x:v>
      </x:c>
      <x:c r="K162" s="14" t="n">
        <x:f>INT(H162*'공식·설정'!$B$10/'공식·설정'!$B$15)</x:f>
        <x:v>9609</x:v>
      </x:c>
      <x:c r="L162" s="68" t="n">
        <x:f>K162-J162</x:f>
        <x:v>0</x:v>
      </x:c>
      <x:c r="M162" s="65" t="n">
        <x:f>J162/'공식·설정'!$B$7</x:f>
        <x:v>37.53515625</x:v>
      </x:c>
      <x:c r="N162" s="65" t="n">
        <x:f>K162/'공식·설정'!$B$7</x:f>
        <x:v>37.53515625</x:v>
      </x:c>
      <x:c r="O162" s="14" t="n">
        <x:v>4</x:v>
      </x:c>
      <x:c r="P162" s="14" t="n">
        <x:f>MIN(32767,MAX(0,INT((K162+INT('공식·설정'!$B$12/2))/'공식·설정'!$B$12)))</x:f>
        <x:v>4</x:v>
      </x:c>
      <x:c r="Q162" s="68" t="n">
        <x:f>P162-O162</x:f>
        <x:v>0</x:v>
      </x:c>
      <x:c r="R162" s="14" t="n">
        <x:v>18688</x:v>
      </x:c>
      <x:c r="S162" s="14" t="n">
        <x:f>P162*'공식·설정'!$B$12+'공식·설정'!$B$14</x:f>
        <x:v>18688</x:v>
      </x:c>
      <x:c r="T162" s="68" t="n">
        <x:f>S162-R162</x:f>
        <x:v>0</x:v>
      </x:c>
      <x:c r="U162" s="65" t="n">
        <x:f>R162/'공식·설정'!$B$7</x:f>
        <x:v>73</x:v>
      </x:c>
      <x:c r="V162" s="65" t="n">
        <x:f>S162/'공식·설정'!$B$7</x:f>
        <x:v>73</x:v>
      </x:c>
      <x:c r="W162" s="14" t="n">
        <x:v>709</x:v>
      </x:c>
      <x:c r="X162" s="14" t="n">
        <x:f>INT(ABS(K163-K162)*'공식·설정'!$B$8/K162)</x:f>
        <x:v>709</x:v>
      </x:c>
      <x:c r="Y162" s="68" t="n">
        <x:f>X162-W162</x:f>
        <x:v>0</x:v>
      </x:c>
      <x:c r="Z162" s="66" t="n">
        <x:f>W162/'공식·설정'!$B$8</x:f>
        <x:v>0.0108184814453125</x:v>
      </x:c>
      <x:c r="AA162" s="66" t="n">
        <x:f>X162/'공식·설정'!$B$8</x:f>
        <x:v>0.0108184814453125</x:v>
      </x:c>
      <x:c r="AB162" s="67" t="str">
        <x:f>IF(AND(I162=0,L162=0,Q162=0,T162=0,Y162=0),"PASS","FAIL")</x:f>
        <x:v>PASS</x:v>
      </x:c>
    </x:row>
    <x:row r="163" ht="18" customHeight="1">
      <x:c r="A163" s="14" t="n">
        <x:v>266</x:v>
      </x:c>
      <x:c r="B163" s="14" t="n">
        <x:v>158</x:v>
      </x:c>
      <x:c r="C163" s="14" t="n">
        <x:v>266</x:v>
      </x:c>
      <x:c r="D163" s="14" t="n">
        <x:v>1492</x:v>
      </x:c>
      <x:c r="E163" s="14" t="n">
        <x:v>280</x:v>
      </x:c>
      <x:c r="F163" s="14" t="n">
        <x:v>1750</x:v>
      </x:c>
      <x:c r="G163" s="14" t="n">
        <x:v>1492</x:v>
      </x:c>
      <x:c r="H163" s="14" t="n">
        <x:f>INT((F163-D163)*(A163-C163)/(E163-C163))+D163</x:f>
        <x:v>1492</x:v>
      </x:c>
      <x:c r="I163" s="68" t="n">
        <x:f>H163-G163</x:f>
        <x:v>0</x:v>
      </x:c>
      <x:c r="J163" s="14" t="n">
        <x:v>9713</x:v>
      </x:c>
      <x:c r="K163" s="14" t="n">
        <x:f>INT(H163*'공식·설정'!$B$10/'공식·설정'!$B$15)</x:f>
        <x:v>9713</x:v>
      </x:c>
      <x:c r="L163" s="68" t="n">
        <x:f>K163-J163</x:f>
        <x:v>0</x:v>
      </x:c>
      <x:c r="M163" s="65" t="n">
        <x:f>J163/'공식·설정'!$B$7</x:f>
        <x:v>37.94140625</x:v>
      </x:c>
      <x:c r="N163" s="65" t="n">
        <x:f>K163/'공식·설정'!$B$7</x:f>
        <x:v>37.94140625</x:v>
      </x:c>
      <x:c r="O163" s="14" t="n">
        <x:v>4</x:v>
      </x:c>
      <x:c r="P163" s="14" t="n">
        <x:f>MIN(32767,MAX(0,INT((K163+INT('공식·설정'!$B$12/2))/'공식·설정'!$B$12)))</x:f>
        <x:v>4</x:v>
      </x:c>
      <x:c r="Q163" s="68" t="n">
        <x:f>P163-O163</x:f>
        <x:v>0</x:v>
      </x:c>
      <x:c r="R163" s="14" t="n">
        <x:v>18688</x:v>
      </x:c>
      <x:c r="S163" s="14" t="n">
        <x:f>P163*'공식·설정'!$B$12+'공식·설정'!$B$14</x:f>
        <x:v>18688</x:v>
      </x:c>
      <x:c r="T163" s="68" t="n">
        <x:f>S163-R163</x:f>
        <x:v>0</x:v>
      </x:c>
      <x:c r="U163" s="65" t="n">
        <x:f>R163/'공식·설정'!$B$7</x:f>
        <x:v>73</x:v>
      </x:c>
      <x:c r="V163" s="65" t="n">
        <x:f>S163/'공식·설정'!$B$7</x:f>
        <x:v>73</x:v>
      </x:c>
      <x:c r="W163" s="14" t="n">
        <x:v>789</x:v>
      </x:c>
      <x:c r="X163" s="14" t="n">
        <x:f>INT(ABS(K164-K163)*'공식·설정'!$B$8/K163)</x:f>
        <x:v>789</x:v>
      </x:c>
      <x:c r="Y163" s="68" t="n">
        <x:f>X163-W163</x:f>
        <x:v>0</x:v>
      </x:c>
      <x:c r="Z163" s="66" t="n">
        <x:f>W163/'공식·설정'!$B$8</x:f>
        <x:v>0.0120391845703125</x:v>
      </x:c>
      <x:c r="AA163" s="66" t="n">
        <x:f>X163/'공식·설정'!$B$8</x:f>
        <x:v>0.0120391845703125</x:v>
      </x:c>
      <x:c r="AB163" s="67" t="str">
        <x:f>IF(AND(I163=0,L163=0,Q163=0,T163=0,Y163=0),"PASS","FAIL")</x:f>
        <x:v>PASS</x:v>
      </x:c>
    </x:row>
    <x:row r="164" ht="18" customHeight="1">
      <x:c r="A164" s="14" t="n">
        <x:v>267</x:v>
      </x:c>
      <x:c r="B164" s="14" t="n">
        <x:v>159</x:v>
      </x:c>
      <x:c r="C164" s="14" t="n">
        <x:v>266</x:v>
      </x:c>
      <x:c r="D164" s="14" t="n">
        <x:v>1492</x:v>
      </x:c>
      <x:c r="E164" s="14" t="n">
        <x:v>280</x:v>
      </x:c>
      <x:c r="F164" s="14" t="n">
        <x:v>1750</x:v>
      </x:c>
      <x:c r="G164" s="14" t="n">
        <x:v>1510</x:v>
      </x:c>
      <x:c r="H164" s="14" t="n">
        <x:f>INT((F164-D164)*(A164-C164)/(E164-C164))+D164</x:f>
        <x:v>1510</x:v>
      </x:c>
      <x:c r="I164" s="68" t="n">
        <x:f>H164-G164</x:f>
        <x:v>0</x:v>
      </x:c>
      <x:c r="J164" s="14" t="n">
        <x:v>9830</x:v>
      </x:c>
      <x:c r="K164" s="14" t="n">
        <x:f>INT(H164*'공식·설정'!$B$10/'공식·설정'!$B$15)</x:f>
        <x:v>9830</x:v>
      </x:c>
      <x:c r="L164" s="68" t="n">
        <x:f>K164-J164</x:f>
        <x:v>0</x:v>
      </x:c>
      <x:c r="M164" s="65" t="n">
        <x:f>J164/'공식·설정'!$B$7</x:f>
        <x:v>38.3984375</x:v>
      </x:c>
      <x:c r="N164" s="65" t="n">
        <x:f>K164/'공식·설정'!$B$7</x:f>
        <x:v>38.3984375</x:v>
      </x:c>
      <x:c r="O164" s="14" t="n">
        <x:v>4</x:v>
      </x:c>
      <x:c r="P164" s="14" t="n">
        <x:f>MIN(32767,MAX(0,INT((K164+INT('공식·설정'!$B$12/2))/'공식·설정'!$B$12)))</x:f>
        <x:v>4</x:v>
      </x:c>
      <x:c r="Q164" s="68" t="n">
        <x:f>P164-O164</x:f>
        <x:v>0</x:v>
      </x:c>
      <x:c r="R164" s="14" t="n">
        <x:v>18688</x:v>
      </x:c>
      <x:c r="S164" s="14" t="n">
        <x:f>P164*'공식·설정'!$B$12+'공식·설정'!$B$14</x:f>
        <x:v>18688</x:v>
      </x:c>
      <x:c r="T164" s="68" t="n">
        <x:f>S164-R164</x:f>
        <x:v>0</x:v>
      </x:c>
      <x:c r="U164" s="65" t="n">
        <x:f>R164/'공식·설정'!$B$7</x:f>
        <x:v>73</x:v>
      </x:c>
      <x:c r="V164" s="65" t="n">
        <x:f>S164/'공식·설정'!$B$7</x:f>
        <x:v>73</x:v>
      </x:c>
      <x:c r="W164" s="14" t="n">
        <x:v>780</x:v>
      </x:c>
      <x:c r="X164" s="14" t="n">
        <x:f>INT(ABS(K165-K164)*'공식·설정'!$B$8/K164)</x:f>
        <x:v>780</x:v>
      </x:c>
      <x:c r="Y164" s="68" t="n">
        <x:f>X164-W164</x:f>
        <x:v>0</x:v>
      </x:c>
      <x:c r="Z164" s="66" t="n">
        <x:f>W164/'공식·설정'!$B$8</x:f>
        <x:v>0.01190185546875</x:v>
      </x:c>
      <x:c r="AA164" s="66" t="n">
        <x:f>X164/'공식·설정'!$B$8</x:f>
        <x:v>0.01190185546875</x:v>
      </x:c>
      <x:c r="AB164" s="67" t="str">
        <x:f>IF(AND(I164=0,L164=0,Q164=0,T164=0,Y164=0),"PASS","FAIL")</x:f>
        <x:v>PASS</x:v>
      </x:c>
    </x:row>
    <x:row r="165" ht="18" customHeight="1">
      <x:c r="A165" s="14" t="n">
        <x:v>268</x:v>
      </x:c>
      <x:c r="B165" s="14" t="n">
        <x:v>160</x:v>
      </x:c>
      <x:c r="C165" s="14" t="n">
        <x:v>266</x:v>
      </x:c>
      <x:c r="D165" s="14" t="n">
        <x:v>1492</x:v>
      </x:c>
      <x:c r="E165" s="14" t="n">
        <x:v>280</x:v>
      </x:c>
      <x:c r="F165" s="14" t="n">
        <x:v>1750</x:v>
      </x:c>
      <x:c r="G165" s="14" t="n">
        <x:v>1528</x:v>
      </x:c>
      <x:c r="H165" s="14" t="n">
        <x:f>INT((F165-D165)*(A165-C165)/(E165-C165))+D165</x:f>
        <x:v>1528</x:v>
      </x:c>
      <x:c r="I165" s="68" t="n">
        <x:f>H165-G165</x:f>
        <x:v>0</x:v>
      </x:c>
      <x:c r="J165" s="14" t="n">
        <x:v>9947</x:v>
      </x:c>
      <x:c r="K165" s="14" t="n">
        <x:f>INT(H165*'공식·설정'!$B$10/'공식·설정'!$B$15)</x:f>
        <x:v>9947</x:v>
      </x:c>
      <x:c r="L165" s="68" t="n">
        <x:f>K165-J165</x:f>
        <x:v>0</x:v>
      </x:c>
      <x:c r="M165" s="65" t="n">
        <x:f>J165/'공식·설정'!$B$7</x:f>
        <x:v>38.85546875</x:v>
      </x:c>
      <x:c r="N165" s="65" t="n">
        <x:f>K165/'공식·설정'!$B$7</x:f>
        <x:v>38.85546875</x:v>
      </x:c>
      <x:c r="O165" s="14" t="n">
        <x:v>4</x:v>
      </x:c>
      <x:c r="P165" s="14" t="n">
        <x:f>MIN(32767,MAX(0,INT((K165+INT('공식·설정'!$B$12/2))/'공식·설정'!$B$12)))</x:f>
        <x:v>4</x:v>
      </x:c>
      <x:c r="Q165" s="68" t="n">
        <x:f>P165-O165</x:f>
        <x:v>0</x:v>
      </x:c>
      <x:c r="R165" s="14" t="n">
        <x:v>18688</x:v>
      </x:c>
      <x:c r="S165" s="14" t="n">
        <x:f>P165*'공식·설정'!$B$12+'공식·설정'!$B$14</x:f>
        <x:v>18688</x:v>
      </x:c>
      <x:c r="T165" s="68" t="n">
        <x:f>S165-R165</x:f>
        <x:v>0</x:v>
      </x:c>
      <x:c r="U165" s="65" t="n">
        <x:f>R165/'공식·설정'!$B$7</x:f>
        <x:v>73</x:v>
      </x:c>
      <x:c r="V165" s="65" t="n">
        <x:f>S165/'공식·설정'!$B$7</x:f>
        <x:v>73</x:v>
      </x:c>
      <x:c r="W165" s="14" t="n">
        <x:v>816</x:v>
      </x:c>
      <x:c r="X165" s="14" t="n">
        <x:f>INT(ABS(K166-K165)*'공식·설정'!$B$8/K165)</x:f>
        <x:v>816</x:v>
      </x:c>
      <x:c r="Y165" s="68" t="n">
        <x:f>X165-W165</x:f>
        <x:v>0</x:v>
      </x:c>
      <x:c r="Z165" s="66" t="n">
        <x:f>W165/'공식·설정'!$B$8</x:f>
        <x:v>0.012451171875</x:v>
      </x:c>
      <x:c r="AA165" s="66" t="n">
        <x:f>X165/'공식·설정'!$B$8</x:f>
        <x:v>0.012451171875</x:v>
      </x:c>
      <x:c r="AB165" s="67" t="str">
        <x:f>IF(AND(I165=0,L165=0,Q165=0,T165=0,Y165=0),"PASS","FAIL")</x:f>
        <x:v>PASS</x:v>
      </x:c>
    </x:row>
    <x:row r="166" ht="18" customHeight="1">
      <x:c r="A166" s="14" t="n">
        <x:v>269</x:v>
      </x:c>
      <x:c r="B166" s="14" t="n">
        <x:v>161</x:v>
      </x:c>
      <x:c r="C166" s="14" t="n">
        <x:v>266</x:v>
      </x:c>
      <x:c r="D166" s="14" t="n">
        <x:v>1492</x:v>
      </x:c>
      <x:c r="E166" s="14" t="n">
        <x:v>280</x:v>
      </x:c>
      <x:c r="F166" s="14" t="n">
        <x:v>1750</x:v>
      </x:c>
      <x:c r="G166" s="14" t="n">
        <x:v>1547</x:v>
      </x:c>
      <x:c r="H166" s="14" t="n">
        <x:f>INT((F166-D166)*(A166-C166)/(E166-C166))+D166</x:f>
        <x:v>1547</x:v>
      </x:c>
      <x:c r="I166" s="68" t="n">
        <x:f>H166-G166</x:f>
        <x:v>0</x:v>
      </x:c>
      <x:c r="J166" s="14" t="n">
        <x:v>10071</x:v>
      </x:c>
      <x:c r="K166" s="14" t="n">
        <x:f>INT(H166*'공식·설정'!$B$10/'공식·설정'!$B$15)</x:f>
        <x:v>10071</x:v>
      </x:c>
      <x:c r="L166" s="68" t="n">
        <x:f>K166-J166</x:f>
        <x:v>0</x:v>
      </x:c>
      <x:c r="M166" s="65" t="n">
        <x:f>J166/'공식·설정'!$B$7</x:f>
        <x:v>39.33984375</x:v>
      </x:c>
      <x:c r="N166" s="65" t="n">
        <x:f>K166/'공식·설정'!$B$7</x:f>
        <x:v>39.33984375</x:v>
      </x:c>
      <x:c r="O166" s="14" t="n">
        <x:v>4</x:v>
      </x:c>
      <x:c r="P166" s="14" t="n">
        <x:f>MIN(32767,MAX(0,INT((K166+INT('공식·설정'!$B$12/2))/'공식·설정'!$B$12)))</x:f>
        <x:v>4</x:v>
      </x:c>
      <x:c r="Q166" s="68" t="n">
        <x:f>P166-O166</x:f>
        <x:v>0</x:v>
      </x:c>
      <x:c r="R166" s="14" t="n">
        <x:v>18688</x:v>
      </x:c>
      <x:c r="S166" s="14" t="n">
        <x:f>P166*'공식·설정'!$B$12+'공식·설정'!$B$14</x:f>
        <x:v>18688</x:v>
      </x:c>
      <x:c r="T166" s="68" t="n">
        <x:f>S166-R166</x:f>
        <x:v>0</x:v>
      </x:c>
      <x:c r="U166" s="65" t="n">
        <x:f>R166/'공식·설정'!$B$7</x:f>
        <x:v>73</x:v>
      </x:c>
      <x:c r="V166" s="65" t="n">
        <x:f>S166/'공식·설정'!$B$7</x:f>
        <x:v>73</x:v>
      </x:c>
      <x:c r="W166" s="14" t="n">
        <x:v>761</x:v>
      </x:c>
      <x:c r="X166" s="14" t="n">
        <x:f>INT(ABS(K167-K166)*'공식·설정'!$B$8/K166)</x:f>
        <x:v>761</x:v>
      </x:c>
      <x:c r="Y166" s="68" t="n">
        <x:f>X166-W166</x:f>
        <x:v>0</x:v>
      </x:c>
      <x:c r="Z166" s="66" t="n">
        <x:f>W166/'공식·설정'!$B$8</x:f>
        <x:v>0.0116119384765625</x:v>
      </x:c>
      <x:c r="AA166" s="66" t="n">
        <x:f>X166/'공식·설정'!$B$8</x:f>
        <x:v>0.0116119384765625</x:v>
      </x:c>
      <x:c r="AB166" s="67" t="str">
        <x:f>IF(AND(I166=0,L166=0,Q166=0,T166=0,Y166=0),"PASS","FAIL")</x:f>
        <x:v>PASS</x:v>
      </x:c>
    </x:row>
    <x:row r="167" ht="18" customHeight="1">
      <x:c r="A167" s="14" t="n">
        <x:v>270</x:v>
      </x:c>
      <x:c r="B167" s="14" t="n">
        <x:v>162</x:v>
      </x:c>
      <x:c r="C167" s="14" t="n">
        <x:v>266</x:v>
      </x:c>
      <x:c r="D167" s="14" t="n">
        <x:v>1492</x:v>
      </x:c>
      <x:c r="E167" s="14" t="n">
        <x:v>280</x:v>
      </x:c>
      <x:c r="F167" s="14" t="n">
        <x:v>1750</x:v>
      </x:c>
      <x:c r="G167" s="14" t="n">
        <x:v>1565</x:v>
      </x:c>
      <x:c r="H167" s="14" t="n">
        <x:f>INT((F167-D167)*(A167-C167)/(E167-C167))+D167</x:f>
        <x:v>1565</x:v>
      </x:c>
      <x:c r="I167" s="68" t="n">
        <x:f>H167-G167</x:f>
        <x:v>0</x:v>
      </x:c>
      <x:c r="J167" s="14" t="n">
        <x:v>10188</x:v>
      </x:c>
      <x:c r="K167" s="14" t="n">
        <x:f>INT(H167*'공식·설정'!$B$10/'공식·설정'!$B$15)</x:f>
        <x:v>10188</x:v>
      </x:c>
      <x:c r="L167" s="68" t="n">
        <x:f>K167-J167</x:f>
        <x:v>0</x:v>
      </x:c>
      <x:c r="M167" s="65" t="n">
        <x:f>J167/'공식·설정'!$B$7</x:f>
        <x:v>39.796875</x:v>
      </x:c>
      <x:c r="N167" s="65" t="n">
        <x:f>K167/'공식·설정'!$B$7</x:f>
        <x:v>39.796875</x:v>
      </x:c>
      <x:c r="O167" s="14" t="n">
        <x:v>4</x:v>
      </x:c>
      <x:c r="P167" s="14" t="n">
        <x:f>MIN(32767,MAX(0,INT((K167+INT('공식·설정'!$B$12/2))/'공식·설정'!$B$12)))</x:f>
        <x:v>4</x:v>
      </x:c>
      <x:c r="Q167" s="68" t="n">
        <x:f>P167-O167</x:f>
        <x:v>0</x:v>
      </x:c>
      <x:c r="R167" s="14" t="n">
        <x:v>18688</x:v>
      </x:c>
      <x:c r="S167" s="14" t="n">
        <x:f>P167*'공식·설정'!$B$12+'공식·설정'!$B$14</x:f>
        <x:v>18688</x:v>
      </x:c>
      <x:c r="T167" s="68" t="n">
        <x:f>S167-R167</x:f>
        <x:v>0</x:v>
      </x:c>
      <x:c r="U167" s="65" t="n">
        <x:f>R167/'공식·설정'!$B$7</x:f>
        <x:v>73</x:v>
      </x:c>
      <x:c r="V167" s="65" t="n">
        <x:f>S167/'공식·설정'!$B$7</x:f>
        <x:v>73</x:v>
      </x:c>
      <x:c r="W167" s="14" t="n">
        <x:v>797</x:v>
      </x:c>
      <x:c r="X167" s="14" t="n">
        <x:f>INT(ABS(K168-K167)*'공식·설정'!$B$8/K167)</x:f>
        <x:v>797</x:v>
      </x:c>
      <x:c r="Y167" s="68" t="n">
        <x:f>X167-W167</x:f>
        <x:v>0</x:v>
      </x:c>
      <x:c r="Z167" s="66" t="n">
        <x:f>W167/'공식·설정'!$B$8</x:f>
        <x:v>0.0121612548828125</x:v>
      </x:c>
      <x:c r="AA167" s="66" t="n">
        <x:f>X167/'공식·설정'!$B$8</x:f>
        <x:v>0.0121612548828125</x:v>
      </x:c>
      <x:c r="AB167" s="67" t="str">
        <x:f>IF(AND(I167=0,L167=0,Q167=0,T167=0,Y167=0),"PASS","FAIL")</x:f>
        <x:v>PASS</x:v>
      </x:c>
    </x:row>
    <x:row r="168" ht="18" customHeight="1">
      <x:c r="A168" s="14" t="n">
        <x:v>271</x:v>
      </x:c>
      <x:c r="B168" s="14" t="n">
        <x:v>163</x:v>
      </x:c>
      <x:c r="C168" s="14" t="n">
        <x:v>266</x:v>
      </x:c>
      <x:c r="D168" s="14" t="n">
        <x:v>1492</x:v>
      </x:c>
      <x:c r="E168" s="14" t="n">
        <x:v>280</x:v>
      </x:c>
      <x:c r="F168" s="14" t="n">
        <x:v>1750</x:v>
      </x:c>
      <x:c r="G168" s="14" t="n">
        <x:v>1584</x:v>
      </x:c>
      <x:c r="H168" s="14" t="n">
        <x:f>INT((F168-D168)*(A168-C168)/(E168-C168))+D168</x:f>
        <x:v>1584</x:v>
      </x:c>
      <x:c r="I168" s="68" t="n">
        <x:f>H168-G168</x:f>
        <x:v>0</x:v>
      </x:c>
      <x:c r="J168" s="14" t="n">
        <x:v>10312</x:v>
      </x:c>
      <x:c r="K168" s="14" t="n">
        <x:f>INT(H168*'공식·설정'!$B$10/'공식·설정'!$B$15)</x:f>
        <x:v>10312</x:v>
      </x:c>
      <x:c r="L168" s="68" t="n">
        <x:f>K168-J168</x:f>
        <x:v>0</x:v>
      </x:c>
      <x:c r="M168" s="65" t="n">
        <x:f>J168/'공식·설정'!$B$7</x:f>
        <x:v>40.28125</x:v>
      </x:c>
      <x:c r="N168" s="65" t="n">
        <x:f>K168/'공식·설정'!$B$7</x:f>
        <x:v>40.28125</x:v>
      </x:c>
      <x:c r="O168" s="14" t="n">
        <x:v>4</x:v>
      </x:c>
      <x:c r="P168" s="14" t="n">
        <x:f>MIN(32767,MAX(0,INT((K168+INT('공식·설정'!$B$12/2))/'공식·설정'!$B$12)))</x:f>
        <x:v>4</x:v>
      </x:c>
      <x:c r="Q168" s="68" t="n">
        <x:f>P168-O168</x:f>
        <x:v>0</x:v>
      </x:c>
      <x:c r="R168" s="14" t="n">
        <x:v>18688</x:v>
      </x:c>
      <x:c r="S168" s="14" t="n">
        <x:f>P168*'공식·설정'!$B$12+'공식·설정'!$B$14</x:f>
        <x:v>18688</x:v>
      </x:c>
      <x:c r="T168" s="68" t="n">
        <x:f>S168-R168</x:f>
        <x:v>0</x:v>
      </x:c>
      <x:c r="U168" s="65" t="n">
        <x:f>R168/'공식·설정'!$B$7</x:f>
        <x:v>73</x:v>
      </x:c>
      <x:c r="V168" s="65" t="n">
        <x:f>S168/'공식·설정'!$B$7</x:f>
        <x:v>73</x:v>
      </x:c>
      <x:c r="W168" s="14" t="n">
        <x:v>743</x:v>
      </x:c>
      <x:c r="X168" s="14" t="n">
        <x:f>INT(ABS(K169-K168)*'공식·설정'!$B$8/K168)</x:f>
        <x:v>743</x:v>
      </x:c>
      <x:c r="Y168" s="68" t="n">
        <x:f>X168-W168</x:f>
        <x:v>0</x:v>
      </x:c>
      <x:c r="Z168" s="66" t="n">
        <x:f>W168/'공식·설정'!$B$8</x:f>
        <x:v>0.0113372802734375</x:v>
      </x:c>
      <x:c r="AA168" s="66" t="n">
        <x:f>X168/'공식·설정'!$B$8</x:f>
        <x:v>0.0113372802734375</x:v>
      </x:c>
      <x:c r="AB168" s="67" t="str">
        <x:f>IF(AND(I168=0,L168=0,Q168=0,T168=0,Y168=0),"PASS","FAIL")</x:f>
        <x:v>PASS</x:v>
      </x:c>
    </x:row>
    <x:row r="169" ht="18" customHeight="1">
      <x:c r="A169" s="14" t="n">
        <x:v>272</x:v>
      </x:c>
      <x:c r="B169" s="14" t="n">
        <x:v>164</x:v>
      </x:c>
      <x:c r="C169" s="14" t="n">
        <x:v>266</x:v>
      </x:c>
      <x:c r="D169" s="14" t="n">
        <x:v>1492</x:v>
      </x:c>
      <x:c r="E169" s="14" t="n">
        <x:v>280</x:v>
      </x:c>
      <x:c r="F169" s="14" t="n">
        <x:v>1750</x:v>
      </x:c>
      <x:c r="G169" s="14" t="n">
        <x:v>1602</x:v>
      </x:c>
      <x:c r="H169" s="14" t="n">
        <x:f>INT((F169-D169)*(A169-C169)/(E169-C169))+D169</x:f>
        <x:v>1602</x:v>
      </x:c>
      <x:c r="I169" s="68" t="n">
        <x:f>H169-G169</x:f>
        <x:v>0</x:v>
      </x:c>
      <x:c r="J169" s="14" t="n">
        <x:v>10429</x:v>
      </x:c>
      <x:c r="K169" s="14" t="n">
        <x:f>INT(H169*'공식·설정'!$B$10/'공식·설정'!$B$15)</x:f>
        <x:v>10429</x:v>
      </x:c>
      <x:c r="L169" s="68" t="n">
        <x:f>K169-J169</x:f>
        <x:v>0</x:v>
      </x:c>
      <x:c r="M169" s="65" t="n">
        <x:f>J169/'공식·설정'!$B$7</x:f>
        <x:v>40.73828125</x:v>
      </x:c>
      <x:c r="N169" s="65" t="n">
        <x:f>K169/'공식·설정'!$B$7</x:f>
        <x:v>40.73828125</x:v>
      </x:c>
      <x:c r="O169" s="14" t="n">
        <x:v>4</x:v>
      </x:c>
      <x:c r="P169" s="14" t="n">
        <x:f>MIN(32767,MAX(0,INT((K169+INT('공식·설정'!$B$12/2))/'공식·설정'!$B$12)))</x:f>
        <x:v>4</x:v>
      </x:c>
      <x:c r="Q169" s="68" t="n">
        <x:f>P169-O169</x:f>
        <x:v>0</x:v>
      </x:c>
      <x:c r="R169" s="14" t="n">
        <x:v>18688</x:v>
      </x:c>
      <x:c r="S169" s="14" t="n">
        <x:f>P169*'공식·설정'!$B$12+'공식·설정'!$B$14</x:f>
        <x:v>18688</x:v>
      </x:c>
      <x:c r="T169" s="68" t="n">
        <x:f>S169-R169</x:f>
        <x:v>0</x:v>
      </x:c>
      <x:c r="U169" s="65" t="n">
        <x:f>R169/'공식·설정'!$B$7</x:f>
        <x:v>73</x:v>
      </x:c>
      <x:c r="V169" s="65" t="n">
        <x:f>S169/'공식·설정'!$B$7</x:f>
        <x:v>73</x:v>
      </x:c>
      <x:c r="W169" s="14" t="n">
        <x:v>779</x:v>
      </x:c>
      <x:c r="X169" s="14" t="n">
        <x:f>INT(ABS(K170-K169)*'공식·설정'!$B$8/K169)</x:f>
        <x:v>779</x:v>
      </x:c>
      <x:c r="Y169" s="68" t="n">
        <x:f>X169-W169</x:f>
        <x:v>0</x:v>
      </x:c>
      <x:c r="Z169" s="66" t="n">
        <x:f>W169/'공식·설정'!$B$8</x:f>
        <x:v>0.0118865966796875</x:v>
      </x:c>
      <x:c r="AA169" s="66" t="n">
        <x:f>X169/'공식·설정'!$B$8</x:f>
        <x:v>0.0118865966796875</x:v>
      </x:c>
      <x:c r="AB169" s="67" t="str">
        <x:f>IF(AND(I169=0,L169=0,Q169=0,T169=0,Y169=0),"PASS","FAIL")</x:f>
        <x:v>PASS</x:v>
      </x:c>
    </x:row>
    <x:row r="170" ht="18" customHeight="1">
      <x:c r="A170" s="14" t="n">
        <x:v>273</x:v>
      </x:c>
      <x:c r="B170" s="14" t="n">
        <x:v>165</x:v>
      </x:c>
      <x:c r="C170" s="14" t="n">
        <x:v>266</x:v>
      </x:c>
      <x:c r="D170" s="14" t="n">
        <x:v>1492</x:v>
      </x:c>
      <x:c r="E170" s="14" t="n">
        <x:v>280</x:v>
      </x:c>
      <x:c r="F170" s="14" t="n">
        <x:v>1750</x:v>
      </x:c>
      <x:c r="G170" s="14" t="n">
        <x:v>1621</x:v>
      </x:c>
      <x:c r="H170" s="14" t="n">
        <x:f>INT((F170-D170)*(A170-C170)/(E170-C170))+D170</x:f>
        <x:v>1621</x:v>
      </x:c>
      <x:c r="I170" s="68" t="n">
        <x:f>H170-G170</x:f>
        <x:v>0</x:v>
      </x:c>
      <x:c r="J170" s="14" t="n">
        <x:v>10553</x:v>
      </x:c>
      <x:c r="K170" s="14" t="n">
        <x:f>INT(H170*'공식·설정'!$B$10/'공식·설정'!$B$15)</x:f>
        <x:v>10553</x:v>
      </x:c>
      <x:c r="L170" s="68" t="n">
        <x:f>K170-J170</x:f>
        <x:v>0</x:v>
      </x:c>
      <x:c r="M170" s="65" t="n">
        <x:f>J170/'공식·설정'!$B$7</x:f>
        <x:v>41.22265625</x:v>
      </x:c>
      <x:c r="N170" s="65" t="n">
        <x:f>K170/'공식·설정'!$B$7</x:f>
        <x:v>41.22265625</x:v>
      </x:c>
      <x:c r="O170" s="14" t="n">
        <x:v>4</x:v>
      </x:c>
      <x:c r="P170" s="14" t="n">
        <x:f>MIN(32767,MAX(0,INT((K170+INT('공식·설정'!$B$12/2))/'공식·설정'!$B$12)))</x:f>
        <x:v>4</x:v>
      </x:c>
      <x:c r="Q170" s="68" t="n">
        <x:f>P170-O170</x:f>
        <x:v>0</x:v>
      </x:c>
      <x:c r="R170" s="14" t="n">
        <x:v>18688</x:v>
      </x:c>
      <x:c r="S170" s="14" t="n">
        <x:f>P170*'공식·설정'!$B$12+'공식·설정'!$B$14</x:f>
        <x:v>18688</x:v>
      </x:c>
      <x:c r="T170" s="68" t="n">
        <x:f>S170-R170</x:f>
        <x:v>0</x:v>
      </x:c>
      <x:c r="U170" s="65" t="n">
        <x:f>R170/'공식·설정'!$B$7</x:f>
        <x:v>73</x:v>
      </x:c>
      <x:c r="V170" s="65" t="n">
        <x:f>S170/'공식·설정'!$B$7</x:f>
        <x:v>73</x:v>
      </x:c>
      <x:c r="W170" s="14" t="n">
        <x:v>726</x:v>
      </x:c>
      <x:c r="X170" s="14" t="n">
        <x:f>INT(ABS(K171-K170)*'공식·설정'!$B$8/K170)</x:f>
        <x:v>726</x:v>
      </x:c>
      <x:c r="Y170" s="68" t="n">
        <x:f>X170-W170</x:f>
        <x:v>0</x:v>
      </x:c>
      <x:c r="Z170" s="66" t="n">
        <x:f>W170/'공식·설정'!$B$8</x:f>
        <x:v>0.011077880859375</x:v>
      </x:c>
      <x:c r="AA170" s="66" t="n">
        <x:f>X170/'공식·설정'!$B$8</x:f>
        <x:v>0.011077880859375</x:v>
      </x:c>
      <x:c r="AB170" s="67" t="str">
        <x:f>IF(AND(I170=0,L170=0,Q170=0,T170=0,Y170=0),"PASS","FAIL")</x:f>
        <x:v>PASS</x:v>
      </x:c>
    </x:row>
    <x:row r="171" ht="18" customHeight="1">
      <x:c r="A171" s="14" t="n">
        <x:v>274</x:v>
      </x:c>
      <x:c r="B171" s="14" t="n">
        <x:v>166</x:v>
      </x:c>
      <x:c r="C171" s="14" t="n">
        <x:v>266</x:v>
      </x:c>
      <x:c r="D171" s="14" t="n">
        <x:v>1492</x:v>
      </x:c>
      <x:c r="E171" s="14" t="n">
        <x:v>280</x:v>
      </x:c>
      <x:c r="F171" s="14" t="n">
        <x:v>1750</x:v>
      </x:c>
      <x:c r="G171" s="14" t="n">
        <x:v>1639</x:v>
      </x:c>
      <x:c r="H171" s="14" t="n">
        <x:f>INT((F171-D171)*(A171-C171)/(E171-C171))+D171</x:f>
        <x:v>1639</x:v>
      </x:c>
      <x:c r="I171" s="68" t="n">
        <x:f>H171-G171</x:f>
        <x:v>0</x:v>
      </x:c>
      <x:c r="J171" s="14" t="n">
        <x:v>10670</x:v>
      </x:c>
      <x:c r="K171" s="14" t="n">
        <x:f>INT(H171*'공식·설정'!$B$10/'공식·설정'!$B$15)</x:f>
        <x:v>10670</x:v>
      </x:c>
      <x:c r="L171" s="68" t="n">
        <x:f>K171-J171</x:f>
        <x:v>0</x:v>
      </x:c>
      <x:c r="M171" s="65" t="n">
        <x:f>J171/'공식·설정'!$B$7</x:f>
        <x:v>41.6796875</x:v>
      </x:c>
      <x:c r="N171" s="65" t="n">
        <x:f>K171/'공식·설정'!$B$7</x:f>
        <x:v>41.6796875</x:v>
      </x:c>
      <x:c r="O171" s="14" t="n">
        <x:v>4</x:v>
      </x:c>
      <x:c r="P171" s="14" t="n">
        <x:f>MIN(32767,MAX(0,INT((K171+INT('공식·설정'!$B$12/2))/'공식·설정'!$B$12)))</x:f>
        <x:v>4</x:v>
      </x:c>
      <x:c r="Q171" s="68" t="n">
        <x:f>P171-O171</x:f>
        <x:v>0</x:v>
      </x:c>
      <x:c r="R171" s="14" t="n">
        <x:v>18688</x:v>
      </x:c>
      <x:c r="S171" s="14" t="n">
        <x:f>P171*'공식·설정'!$B$12+'공식·설정'!$B$14</x:f>
        <x:v>18688</x:v>
      </x:c>
      <x:c r="T171" s="68" t="n">
        <x:f>S171-R171</x:f>
        <x:v>0</x:v>
      </x:c>
      <x:c r="U171" s="65" t="n">
        <x:f>R171/'공식·설정'!$B$7</x:f>
        <x:v>73</x:v>
      </x:c>
      <x:c r="V171" s="65" t="n">
        <x:f>S171/'공식·설정'!$B$7</x:f>
        <x:v>73</x:v>
      </x:c>
      <x:c r="W171" s="14" t="n">
        <x:v>718</x:v>
      </x:c>
      <x:c r="X171" s="14" t="n">
        <x:f>INT(ABS(K172-K171)*'공식·설정'!$B$8/K171)</x:f>
        <x:v>718</x:v>
      </x:c>
      <x:c r="Y171" s="68" t="n">
        <x:f>X171-W171</x:f>
        <x:v>0</x:v>
      </x:c>
      <x:c r="Z171" s="66" t="n">
        <x:f>W171/'공식·설정'!$B$8</x:f>
        <x:v>0.010955810546875</x:v>
      </x:c>
      <x:c r="AA171" s="66" t="n">
        <x:f>X171/'공식·설정'!$B$8</x:f>
        <x:v>0.010955810546875</x:v>
      </x:c>
      <x:c r="AB171" s="67" t="str">
        <x:f>IF(AND(I171=0,L171=0,Q171=0,T171=0,Y171=0),"PASS","FAIL")</x:f>
        <x:v>PASS</x:v>
      </x:c>
    </x:row>
    <x:row r="172" ht="18" customHeight="1">
      <x:c r="A172" s="14" t="n">
        <x:v>275</x:v>
      </x:c>
      <x:c r="B172" s="14" t="n">
        <x:v>167</x:v>
      </x:c>
      <x:c r="C172" s="14" t="n">
        <x:v>266</x:v>
      </x:c>
      <x:c r="D172" s="14" t="n">
        <x:v>1492</x:v>
      </x:c>
      <x:c r="E172" s="14" t="n">
        <x:v>280</x:v>
      </x:c>
      <x:c r="F172" s="14" t="n">
        <x:v>1750</x:v>
      </x:c>
      <x:c r="G172" s="14" t="n">
        <x:v>1657</x:v>
      </x:c>
      <x:c r="H172" s="14" t="n">
        <x:f>INT((F172-D172)*(A172-C172)/(E172-C172))+D172</x:f>
        <x:v>1657</x:v>
      </x:c>
      <x:c r="I172" s="68" t="n">
        <x:f>H172-G172</x:f>
        <x:v>0</x:v>
      </x:c>
      <x:c r="J172" s="14" t="n">
        <x:v>10787</x:v>
      </x:c>
      <x:c r="K172" s="14" t="n">
        <x:f>INT(H172*'공식·설정'!$B$10/'공식·설정'!$B$15)</x:f>
        <x:v>10787</x:v>
      </x:c>
      <x:c r="L172" s="68" t="n">
        <x:f>K172-J172</x:f>
        <x:v>0</x:v>
      </x:c>
      <x:c r="M172" s="65" t="n">
        <x:f>J172/'공식·설정'!$B$7</x:f>
        <x:v>42.13671875</x:v>
      </x:c>
      <x:c r="N172" s="65" t="n">
        <x:f>K172/'공식·설정'!$B$7</x:f>
        <x:v>42.13671875</x:v>
      </x:c>
      <x:c r="O172" s="14" t="n">
        <x:v>4</x:v>
      </x:c>
      <x:c r="P172" s="14" t="n">
        <x:f>MIN(32767,MAX(0,INT((K172+INT('공식·설정'!$B$12/2))/'공식·설정'!$B$12)))</x:f>
        <x:v>4</x:v>
      </x:c>
      <x:c r="Q172" s="68" t="n">
        <x:f>P172-O172</x:f>
        <x:v>0</x:v>
      </x:c>
      <x:c r="R172" s="14" t="n">
        <x:v>18688</x:v>
      </x:c>
      <x:c r="S172" s="14" t="n">
        <x:f>P172*'공식·설정'!$B$12+'공식·설정'!$B$14</x:f>
        <x:v>18688</x:v>
      </x:c>
      <x:c r="T172" s="68" t="n">
        <x:f>S172-R172</x:f>
        <x:v>0</x:v>
      </x:c>
      <x:c r="U172" s="65" t="n">
        <x:f>R172/'공식·설정'!$B$7</x:f>
        <x:v>73</x:v>
      </x:c>
      <x:c r="V172" s="65" t="n">
        <x:f>S172/'공식·설정'!$B$7</x:f>
        <x:v>73</x:v>
      </x:c>
      <x:c r="W172" s="14" t="n">
        <x:v>753</x:v>
      </x:c>
      <x:c r="X172" s="14" t="n">
        <x:f>INT(ABS(K173-K172)*'공식·설정'!$B$8/K172)</x:f>
        <x:v>753</x:v>
      </x:c>
      <x:c r="Y172" s="68" t="n">
        <x:f>X172-W172</x:f>
        <x:v>0</x:v>
      </x:c>
      <x:c r="Z172" s="66" t="n">
        <x:f>W172/'공식·설정'!$B$8</x:f>
        <x:v>0.0114898681640625</x:v>
      </x:c>
      <x:c r="AA172" s="66" t="n">
        <x:f>X172/'공식·설정'!$B$8</x:f>
        <x:v>0.0114898681640625</x:v>
      </x:c>
      <x:c r="AB172" s="67" t="str">
        <x:f>IF(AND(I172=0,L172=0,Q172=0,T172=0,Y172=0),"PASS","FAIL")</x:f>
        <x:v>PASS</x:v>
      </x:c>
    </x:row>
    <x:row r="173" ht="18" customHeight="1">
      <x:c r="A173" s="14" t="n">
        <x:v>276</x:v>
      </x:c>
      <x:c r="B173" s="14" t="n">
        <x:v>168</x:v>
      </x:c>
      <x:c r="C173" s="14" t="n">
        <x:v>266</x:v>
      </x:c>
      <x:c r="D173" s="14" t="n">
        <x:v>1492</x:v>
      </x:c>
      <x:c r="E173" s="14" t="n">
        <x:v>280</x:v>
      </x:c>
      <x:c r="F173" s="14" t="n">
        <x:v>1750</x:v>
      </x:c>
      <x:c r="G173" s="14" t="n">
        <x:v>1676</x:v>
      </x:c>
      <x:c r="H173" s="14" t="n">
        <x:f>INT((F173-D173)*(A173-C173)/(E173-C173))+D173</x:f>
        <x:v>1676</x:v>
      </x:c>
      <x:c r="I173" s="68" t="n">
        <x:f>H173-G173</x:f>
        <x:v>0</x:v>
      </x:c>
      <x:c r="J173" s="14" t="n">
        <x:v>10911</x:v>
      </x:c>
      <x:c r="K173" s="14" t="n">
        <x:f>INT(H173*'공식·설정'!$B$10/'공식·설정'!$B$15)</x:f>
        <x:v>10911</x:v>
      </x:c>
      <x:c r="L173" s="68" t="n">
        <x:f>K173-J173</x:f>
        <x:v>0</x:v>
      </x:c>
      <x:c r="M173" s="65" t="n">
        <x:f>J173/'공식·설정'!$B$7</x:f>
        <x:v>42.62109375</x:v>
      </x:c>
      <x:c r="N173" s="65" t="n">
        <x:f>K173/'공식·설정'!$B$7</x:f>
        <x:v>42.62109375</x:v>
      </x:c>
      <x:c r="O173" s="14" t="n">
        <x:v>4</x:v>
      </x:c>
      <x:c r="P173" s="14" t="n">
        <x:f>MIN(32767,MAX(0,INT((K173+INT('공식·설정'!$B$12/2))/'공식·설정'!$B$12)))</x:f>
        <x:v>4</x:v>
      </x:c>
      <x:c r="Q173" s="68" t="n">
        <x:f>P173-O173</x:f>
        <x:v>0</x:v>
      </x:c>
      <x:c r="R173" s="14" t="n">
        <x:v>18688</x:v>
      </x:c>
      <x:c r="S173" s="14" t="n">
        <x:f>P173*'공식·설정'!$B$12+'공식·설정'!$B$14</x:f>
        <x:v>18688</x:v>
      </x:c>
      <x:c r="T173" s="68" t="n">
        <x:f>S173-R173</x:f>
        <x:v>0</x:v>
      </x:c>
      <x:c r="U173" s="65" t="n">
        <x:f>R173/'공식·설정'!$B$7</x:f>
        <x:v>73</x:v>
      </x:c>
      <x:c r="V173" s="65" t="n">
        <x:f>S173/'공식·설정'!$B$7</x:f>
        <x:v>73</x:v>
      </x:c>
      <x:c r="W173" s="14" t="n">
        <x:v>702</x:v>
      </x:c>
      <x:c r="X173" s="14" t="n">
        <x:f>INT(ABS(K174-K173)*'공식·설정'!$B$8/K173)</x:f>
        <x:v>702</x:v>
      </x:c>
      <x:c r="Y173" s="68" t="n">
        <x:f>X173-W173</x:f>
        <x:v>0</x:v>
      </x:c>
      <x:c r="Z173" s="66" t="n">
        <x:f>W173/'공식·설정'!$B$8</x:f>
        <x:v>0.010711669921875</x:v>
      </x:c>
      <x:c r="AA173" s="66" t="n">
        <x:f>X173/'공식·설정'!$B$8</x:f>
        <x:v>0.010711669921875</x:v>
      </x:c>
      <x:c r="AB173" s="67" t="str">
        <x:f>IF(AND(I173=0,L173=0,Q173=0,T173=0,Y173=0),"PASS","FAIL")</x:f>
        <x:v>PASS</x:v>
      </x:c>
    </x:row>
    <x:row r="174" ht="18" customHeight="1">
      <x:c r="A174" s="14" t="n">
        <x:v>277</x:v>
      </x:c>
      <x:c r="B174" s="14" t="n">
        <x:v>169</x:v>
      </x:c>
      <x:c r="C174" s="14" t="n">
        <x:v>266</x:v>
      </x:c>
      <x:c r="D174" s="14" t="n">
        <x:v>1492</x:v>
      </x:c>
      <x:c r="E174" s="14" t="n">
        <x:v>280</x:v>
      </x:c>
      <x:c r="F174" s="14" t="n">
        <x:v>1750</x:v>
      </x:c>
      <x:c r="G174" s="14" t="n">
        <x:v>1694</x:v>
      </x:c>
      <x:c r="H174" s="14" t="n">
        <x:f>INT((F174-D174)*(A174-C174)/(E174-C174))+D174</x:f>
        <x:v>1694</x:v>
      </x:c>
      <x:c r="I174" s="68" t="n">
        <x:f>H174-G174</x:f>
        <x:v>0</x:v>
      </x:c>
      <x:c r="J174" s="14" t="n">
        <x:v>11028</x:v>
      </x:c>
      <x:c r="K174" s="14" t="n">
        <x:f>INT(H174*'공식·설정'!$B$10/'공식·설정'!$B$15)</x:f>
        <x:v>11028</x:v>
      </x:c>
      <x:c r="L174" s="68" t="n">
        <x:f>K174-J174</x:f>
        <x:v>0</x:v>
      </x:c>
      <x:c r="M174" s="65" t="n">
        <x:f>J174/'공식·설정'!$B$7</x:f>
        <x:v>43.078125</x:v>
      </x:c>
      <x:c r="N174" s="65" t="n">
        <x:f>K174/'공식·설정'!$B$7</x:f>
        <x:v>43.078125</x:v>
      </x:c>
      <x:c r="O174" s="14" t="n">
        <x:v>4</x:v>
      </x:c>
      <x:c r="P174" s="14" t="n">
        <x:f>MIN(32767,MAX(0,INT((K174+INT('공식·설정'!$B$12/2))/'공식·설정'!$B$12)))</x:f>
        <x:v>4</x:v>
      </x:c>
      <x:c r="Q174" s="68" t="n">
        <x:f>P174-O174</x:f>
        <x:v>0</x:v>
      </x:c>
      <x:c r="R174" s="14" t="n">
        <x:v>18688</x:v>
      </x:c>
      <x:c r="S174" s="14" t="n">
        <x:f>P174*'공식·설정'!$B$12+'공식·설정'!$B$14</x:f>
        <x:v>18688</x:v>
      </x:c>
      <x:c r="T174" s="68" t="n">
        <x:f>S174-R174</x:f>
        <x:v>0</x:v>
      </x:c>
      <x:c r="U174" s="65" t="n">
        <x:f>R174/'공식·설정'!$B$7</x:f>
        <x:v>73</x:v>
      </x:c>
      <x:c r="V174" s="65" t="n">
        <x:f>S174/'공식·설정'!$B$7</x:f>
        <x:v>73</x:v>
      </x:c>
      <x:c r="W174" s="14" t="n">
        <x:v>736</x:v>
      </x:c>
      <x:c r="X174" s="14" t="n">
        <x:f>INT(ABS(K175-K174)*'공식·설정'!$B$8/K174)</x:f>
        <x:v>736</x:v>
      </x:c>
      <x:c r="Y174" s="68" t="n">
        <x:f>X174-W174</x:f>
        <x:v>0</x:v>
      </x:c>
      <x:c r="Z174" s="66" t="n">
        <x:f>W174/'공식·설정'!$B$8</x:f>
        <x:v>0.01123046875</x:v>
      </x:c>
      <x:c r="AA174" s="66" t="n">
        <x:f>X174/'공식·설정'!$B$8</x:f>
        <x:v>0.01123046875</x:v>
      </x:c>
      <x:c r="AB174" s="67" t="str">
        <x:f>IF(AND(I174=0,L174=0,Q174=0,T174=0,Y174=0),"PASS","FAIL")</x:f>
        <x:v>PASS</x:v>
      </x:c>
    </x:row>
    <x:row r="175" ht="18" customHeight="1">
      <x:c r="A175" s="14" t="n">
        <x:v>278</x:v>
      </x:c>
      <x:c r="B175" s="14" t="n">
        <x:v>170</x:v>
      </x:c>
      <x:c r="C175" s="14" t="n">
        <x:v>266</x:v>
      </x:c>
      <x:c r="D175" s="14" t="n">
        <x:v>1492</x:v>
      </x:c>
      <x:c r="E175" s="14" t="n">
        <x:v>280</x:v>
      </x:c>
      <x:c r="F175" s="14" t="n">
        <x:v>1750</x:v>
      </x:c>
      <x:c r="G175" s="14" t="n">
        <x:v>1713</x:v>
      </x:c>
      <x:c r="H175" s="14" t="n">
        <x:f>INT((F175-D175)*(A175-C175)/(E175-C175))+D175</x:f>
        <x:v>1713</x:v>
      </x:c>
      <x:c r="I175" s="68" t="n">
        <x:f>H175-G175</x:f>
        <x:v>0</x:v>
      </x:c>
      <x:c r="J175" s="14" t="n">
        <x:v>11152</x:v>
      </x:c>
      <x:c r="K175" s="14" t="n">
        <x:f>INT(H175*'공식·설정'!$B$10/'공식·설정'!$B$15)</x:f>
        <x:v>11152</x:v>
      </x:c>
      <x:c r="L175" s="68" t="n">
        <x:f>K175-J175</x:f>
        <x:v>0</x:v>
      </x:c>
      <x:c r="M175" s="65" t="n">
        <x:f>J175/'공식·설정'!$B$7</x:f>
        <x:v>43.5625</x:v>
      </x:c>
      <x:c r="N175" s="65" t="n">
        <x:f>K175/'공식·설정'!$B$7</x:f>
        <x:v>43.5625</x:v>
      </x:c>
      <x:c r="O175" s="14" t="n">
        <x:v>4</x:v>
      </x:c>
      <x:c r="P175" s="14" t="n">
        <x:f>MIN(32767,MAX(0,INT((K175+INT('공식·설정'!$B$12/2))/'공식·설정'!$B$12)))</x:f>
        <x:v>4</x:v>
      </x:c>
      <x:c r="Q175" s="68" t="n">
        <x:f>P175-O175</x:f>
        <x:v>0</x:v>
      </x:c>
      <x:c r="R175" s="14" t="n">
        <x:v>18688</x:v>
      </x:c>
      <x:c r="S175" s="14" t="n">
        <x:f>P175*'공식·설정'!$B$12+'공식·설정'!$B$14</x:f>
        <x:v>18688</x:v>
      </x:c>
      <x:c r="T175" s="68" t="n">
        <x:f>S175-R175</x:f>
        <x:v>0</x:v>
      </x:c>
      <x:c r="U175" s="65" t="n">
        <x:f>R175/'공식·설정'!$B$7</x:f>
        <x:v>73</x:v>
      </x:c>
      <x:c r="V175" s="65" t="n">
        <x:f>S175/'공식·설정'!$B$7</x:f>
        <x:v>73</x:v>
      </x:c>
      <x:c r="W175" s="14" t="n">
        <x:v>687</x:v>
      </x:c>
      <x:c r="X175" s="14" t="n">
        <x:f>INT(ABS(K176-K175)*'공식·설정'!$B$8/K175)</x:f>
        <x:v>687</x:v>
      </x:c>
      <x:c r="Y175" s="68" t="n">
        <x:f>X175-W175</x:f>
        <x:v>0</x:v>
      </x:c>
      <x:c r="Z175" s="66" t="n">
        <x:f>W175/'공식·설정'!$B$8</x:f>
        <x:v>0.0104827880859375</x:v>
      </x:c>
      <x:c r="AA175" s="66" t="n">
        <x:f>X175/'공식·설정'!$B$8</x:f>
        <x:v>0.0104827880859375</x:v>
      </x:c>
      <x:c r="AB175" s="67" t="str">
        <x:f>IF(AND(I175=0,L175=0,Q175=0,T175=0,Y175=0),"PASS","FAIL")</x:f>
        <x:v>PASS</x:v>
      </x:c>
    </x:row>
    <x:row r="176" ht="18" customHeight="1">
      <x:c r="A176" s="14" t="n">
        <x:v>279</x:v>
      </x:c>
      <x:c r="B176" s="14" t="n">
        <x:v>171</x:v>
      </x:c>
      <x:c r="C176" s="14" t="n">
        <x:v>266</x:v>
      </x:c>
      <x:c r="D176" s="14" t="n">
        <x:v>1492</x:v>
      </x:c>
      <x:c r="E176" s="14" t="n">
        <x:v>280</x:v>
      </x:c>
      <x:c r="F176" s="14" t="n">
        <x:v>1750</x:v>
      </x:c>
      <x:c r="G176" s="14" t="n">
        <x:v>1731</x:v>
      </x:c>
      <x:c r="H176" s="14" t="n">
        <x:f>INT((F176-D176)*(A176-C176)/(E176-C176))+D176</x:f>
        <x:v>1731</x:v>
      </x:c>
      <x:c r="I176" s="68" t="n">
        <x:f>H176-G176</x:f>
        <x:v>0</x:v>
      </x:c>
      <x:c r="J176" s="14" t="n">
        <x:v>11269</x:v>
      </x:c>
      <x:c r="K176" s="14" t="n">
        <x:f>INT(H176*'공식·설정'!$B$10/'공식·설정'!$B$15)</x:f>
        <x:v>11269</x:v>
      </x:c>
      <x:c r="L176" s="68" t="n">
        <x:f>K176-J176</x:f>
        <x:v>0</x:v>
      </x:c>
      <x:c r="M176" s="65" t="n">
        <x:f>J176/'공식·설정'!$B$7</x:f>
        <x:v>44.01953125</x:v>
      </x:c>
      <x:c r="N176" s="65" t="n">
        <x:f>K176/'공식·설정'!$B$7</x:f>
        <x:v>44.01953125</x:v>
      </x:c>
      <x:c r="O176" s="14" t="n">
        <x:v>4</x:v>
      </x:c>
      <x:c r="P176" s="14" t="n">
        <x:f>MIN(32767,MAX(0,INT((K176+INT('공식·설정'!$B$12/2))/'공식·설정'!$B$12)))</x:f>
        <x:v>4</x:v>
      </x:c>
      <x:c r="Q176" s="68" t="n">
        <x:f>P176-O176</x:f>
        <x:v>0</x:v>
      </x:c>
      <x:c r="R176" s="14" t="n">
        <x:v>18688</x:v>
      </x:c>
      <x:c r="S176" s="14" t="n">
        <x:f>P176*'공식·설정'!$B$12+'공식·설정'!$B$14</x:f>
        <x:v>18688</x:v>
      </x:c>
      <x:c r="T176" s="68" t="n">
        <x:f>S176-R176</x:f>
        <x:v>0</x:v>
      </x:c>
      <x:c r="U176" s="65" t="n">
        <x:f>R176/'공식·설정'!$B$7</x:f>
        <x:v>73</x:v>
      </x:c>
      <x:c r="V176" s="65" t="n">
        <x:f>S176/'공식·설정'!$B$7</x:f>
        <x:v>73</x:v>
      </x:c>
      <x:c r="W176" s="14" t="n">
        <x:v>715</x:v>
      </x:c>
      <x:c r="X176" s="14" t="n">
        <x:f>INT(ABS(K177-K176)*'공식·설정'!$B$8/K176)</x:f>
        <x:v>715</x:v>
      </x:c>
      <x:c r="Y176" s="68" t="n">
        <x:f>X176-W176</x:f>
        <x:v>0</x:v>
      </x:c>
      <x:c r="Z176" s="66" t="n">
        <x:f>W176/'공식·설정'!$B$8</x:f>
        <x:v>0.0109100341796875</x:v>
      </x:c>
      <x:c r="AA176" s="66" t="n">
        <x:f>X176/'공식·설정'!$B$8</x:f>
        <x:v>0.0109100341796875</x:v>
      </x:c>
      <x:c r="AB176" s="67" t="str">
        <x:f>IF(AND(I176=0,L176=0,Q176=0,T176=0,Y176=0),"PASS","FAIL")</x:f>
        <x:v>PASS</x:v>
      </x:c>
    </x:row>
    <x:row r="177" ht="18" customHeight="1">
      <x:c r="A177" s="14" t="n">
        <x:v>280</x:v>
      </x:c>
      <x:c r="B177" s="14" t="n">
        <x:v>172</x:v>
      </x:c>
      <x:c r="C177" s="14" t="n">
        <x:v>280</x:v>
      </x:c>
      <x:c r="D177" s="14" t="n">
        <x:v>1750</x:v>
      </x:c>
      <x:c r="E177" s="14" t="n">
        <x:v>294</x:v>
      </x:c>
      <x:c r="F177" s="14" t="n">
        <x:v>2050</x:v>
      </x:c>
      <x:c r="G177" s="14" t="n">
        <x:v>1750</x:v>
      </x:c>
      <x:c r="H177" s="14" t="n">
        <x:f>INT((F177-D177)*(A177-C177)/(E177-C177))+D177</x:f>
        <x:v>1750</x:v>
      </x:c>
      <x:c r="I177" s="68" t="n">
        <x:f>H177-G177</x:f>
        <x:v>0</x:v>
      </x:c>
      <x:c r="J177" s="14" t="n">
        <x:v>11392</x:v>
      </x:c>
      <x:c r="K177" s="14" t="n">
        <x:f>INT(H177*'공식·설정'!$B$10/'공식·설정'!$B$15)</x:f>
        <x:v>11392</x:v>
      </x:c>
      <x:c r="L177" s="68" t="n">
        <x:f>K177-J177</x:f>
        <x:v>0</x:v>
      </x:c>
      <x:c r="M177" s="65" t="n">
        <x:f>J177/'공식·설정'!$B$7</x:f>
        <x:v>44.5</x:v>
      </x:c>
      <x:c r="N177" s="65" t="n">
        <x:f>K177/'공식·설정'!$B$7</x:f>
        <x:v>44.5</x:v>
      </x:c>
      <x:c r="O177" s="14" t="n">
        <x:v>4</x:v>
      </x:c>
      <x:c r="P177" s="14" t="n">
        <x:f>MIN(32767,MAX(0,INT((K177+INT('공식·설정'!$B$12/2))/'공식·설정'!$B$12)))</x:f>
        <x:v>4</x:v>
      </x:c>
      <x:c r="Q177" s="68" t="n">
        <x:f>P177-O177</x:f>
        <x:v>0</x:v>
      </x:c>
      <x:c r="R177" s="14" t="n">
        <x:v>18688</x:v>
      </x:c>
      <x:c r="S177" s="14" t="n">
        <x:f>P177*'공식·설정'!$B$12+'공식·설정'!$B$14</x:f>
        <x:v>18688</x:v>
      </x:c>
      <x:c r="T177" s="68" t="n">
        <x:f>S177-R177</x:f>
        <x:v>0</x:v>
      </x:c>
      <x:c r="U177" s="65" t="n">
        <x:f>R177/'공식·설정'!$B$7</x:f>
        <x:v>73</x:v>
      </x:c>
      <x:c r="V177" s="65" t="n">
        <x:f>S177/'공식·설정'!$B$7</x:f>
        <x:v>73</x:v>
      </x:c>
      <x:c r="W177" s="14" t="n">
        <x:v>788</x:v>
      </x:c>
      <x:c r="X177" s="14" t="n">
        <x:f>INT(ABS(K178-K177)*'공식·설정'!$B$8/K177)</x:f>
        <x:v>788</x:v>
      </x:c>
      <x:c r="Y177" s="68" t="n">
        <x:f>X177-W177</x:f>
        <x:v>0</x:v>
      </x:c>
      <x:c r="Z177" s="66" t="n">
        <x:f>W177/'공식·설정'!$B$8</x:f>
        <x:v>0.01202392578125</x:v>
      </x:c>
      <x:c r="AA177" s="66" t="n">
        <x:f>X177/'공식·설정'!$B$8</x:f>
        <x:v>0.01202392578125</x:v>
      </x:c>
      <x:c r="AB177" s="67" t="str">
        <x:f>IF(AND(I177=0,L177=0,Q177=0,T177=0,Y177=0),"PASS","FAIL")</x:f>
        <x:v>PASS</x:v>
      </x:c>
    </x:row>
    <x:row r="178" ht="18" customHeight="1">
      <x:c r="A178" s="14" t="n">
        <x:v>281</x:v>
      </x:c>
      <x:c r="B178" s="14" t="n">
        <x:v>173</x:v>
      </x:c>
      <x:c r="C178" s="14" t="n">
        <x:v>280</x:v>
      </x:c>
      <x:c r="D178" s="14" t="n">
        <x:v>1750</x:v>
      </x:c>
      <x:c r="E178" s="14" t="n">
        <x:v>294</x:v>
      </x:c>
      <x:c r="F178" s="14" t="n">
        <x:v>2050</x:v>
      </x:c>
      <x:c r="G178" s="14" t="n">
        <x:v>1771</x:v>
      </x:c>
      <x:c r="H178" s="14" t="n">
        <x:f>INT((F178-D178)*(A178-C178)/(E178-C178))+D178</x:f>
        <x:v>1771</x:v>
      </x:c>
      <x:c r="I178" s="68" t="n">
        <x:f>H178-G178</x:f>
        <x:v>0</x:v>
      </x:c>
      <x:c r="J178" s="14" t="n">
        <x:v>11529</x:v>
      </x:c>
      <x:c r="K178" s="14" t="n">
        <x:f>INT(H178*'공식·설정'!$B$10/'공식·설정'!$B$15)</x:f>
        <x:v>11529</x:v>
      </x:c>
      <x:c r="L178" s="68" t="n">
        <x:f>K178-J178</x:f>
        <x:v>0</x:v>
      </x:c>
      <x:c r="M178" s="65" t="n">
        <x:f>J178/'공식·설정'!$B$7</x:f>
        <x:v>45.03515625</x:v>
      </x:c>
      <x:c r="N178" s="65" t="n">
        <x:f>K178/'공식·설정'!$B$7</x:f>
        <x:v>45.03515625</x:v>
      </x:c>
      <x:c r="O178" s="14" t="n">
        <x:v>5</x:v>
      </x:c>
      <x:c r="P178" s="14" t="n">
        <x:f>MIN(32767,MAX(0,INT((K178+INT('공식·설정'!$B$12/2))/'공식·설정'!$B$12)))</x:f>
        <x:v>5</x:v>
      </x:c>
      <x:c r="Q178" s="68" t="n">
        <x:f>P178-O178</x:f>
        <x:v>0</x:v>
      </x:c>
      <x:c r="R178" s="14" t="n">
        <x:v>21248</x:v>
      </x:c>
      <x:c r="S178" s="14" t="n">
        <x:f>P178*'공식·설정'!$B$12+'공식·설정'!$B$14</x:f>
        <x:v>21248</x:v>
      </x:c>
      <x:c r="T178" s="68" t="n">
        <x:f>S178-R178</x:f>
        <x:v>0</x:v>
      </x:c>
      <x:c r="U178" s="65" t="n">
        <x:f>R178/'공식·설정'!$B$7</x:f>
        <x:v>83</x:v>
      </x:c>
      <x:c r="V178" s="65" t="n">
        <x:f>S178/'공식·설정'!$B$7</x:f>
        <x:v>83</x:v>
      </x:c>
      <x:c r="W178" s="14" t="n">
        <x:v>778</x:v>
      </x:c>
      <x:c r="X178" s="14" t="n">
        <x:f>INT(ABS(K179-K178)*'공식·설정'!$B$8/K178)</x:f>
        <x:v>778</x:v>
      </x:c>
      <x:c r="Y178" s="68" t="n">
        <x:f>X178-W178</x:f>
        <x:v>0</x:v>
      </x:c>
      <x:c r="Z178" s="66" t="n">
        <x:f>W178/'공식·설정'!$B$8</x:f>
        <x:v>0.011871337890625</x:v>
      </x:c>
      <x:c r="AA178" s="66" t="n">
        <x:f>X178/'공식·설정'!$B$8</x:f>
        <x:v>0.011871337890625</x:v>
      </x:c>
      <x:c r="AB178" s="67" t="str">
        <x:f>IF(AND(I178=0,L178=0,Q178=0,T178=0,Y178=0),"PASS","FAIL")</x:f>
        <x:v>PASS</x:v>
      </x:c>
    </x:row>
    <x:row r="179" ht="18" customHeight="1">
      <x:c r="A179" s="14" t="n">
        <x:v>282</x:v>
      </x:c>
      <x:c r="B179" s="14" t="n">
        <x:v>174</x:v>
      </x:c>
      <x:c r="C179" s="14" t="n">
        <x:v>280</x:v>
      </x:c>
      <x:c r="D179" s="14" t="n">
        <x:v>1750</x:v>
      </x:c>
      <x:c r="E179" s="14" t="n">
        <x:v>294</x:v>
      </x:c>
      <x:c r="F179" s="14" t="n">
        <x:v>2050</x:v>
      </x:c>
      <x:c r="G179" s="14" t="n">
        <x:v>1792</x:v>
      </x:c>
      <x:c r="H179" s="14" t="n">
        <x:f>INT((F179-D179)*(A179-C179)/(E179-C179))+D179</x:f>
        <x:v>1792</x:v>
      </x:c>
      <x:c r="I179" s="68" t="n">
        <x:f>H179-G179</x:f>
        <x:v>0</x:v>
      </x:c>
      <x:c r="J179" s="14" t="n">
        <x:v>11666</x:v>
      </x:c>
      <x:c r="K179" s="14" t="n">
        <x:f>INT(H179*'공식·설정'!$B$10/'공식·설정'!$B$15)</x:f>
        <x:v>11666</x:v>
      </x:c>
      <x:c r="L179" s="68" t="n">
        <x:f>K179-J179</x:f>
        <x:v>0</x:v>
      </x:c>
      <x:c r="M179" s="65" t="n">
        <x:f>J179/'공식·설정'!$B$7</x:f>
        <x:v>45.5703125</x:v>
      </x:c>
      <x:c r="N179" s="65" t="n">
        <x:f>K179/'공식·설정'!$B$7</x:f>
        <x:v>45.5703125</x:v>
      </x:c>
      <x:c r="O179" s="14" t="n">
        <x:v>5</x:v>
      </x:c>
      <x:c r="P179" s="14" t="n">
        <x:f>MIN(32767,MAX(0,INT((K179+INT('공식·설정'!$B$12/2))/'공식·설정'!$B$12)))</x:f>
        <x:v>5</x:v>
      </x:c>
      <x:c r="Q179" s="68" t="n">
        <x:f>P179-O179</x:f>
        <x:v>0</x:v>
      </x:c>
      <x:c r="R179" s="14" t="n">
        <x:v>21248</x:v>
      </x:c>
      <x:c r="S179" s="14" t="n">
        <x:f>P179*'공식·설정'!$B$12+'공식·설정'!$B$14</x:f>
        <x:v>21248</x:v>
      </x:c>
      <x:c r="T179" s="68" t="n">
        <x:f>S179-R179</x:f>
        <x:v>0</x:v>
      </x:c>
      <x:c r="U179" s="65" t="n">
        <x:f>R179/'공식·설정'!$B$7</x:f>
        <x:v>83</x:v>
      </x:c>
      <x:c r="V179" s="65" t="n">
        <x:f>S179/'공식·설정'!$B$7</x:f>
        <x:v>83</x:v>
      </x:c>
      <x:c r="W179" s="14" t="n">
        <x:v>803</x:v>
      </x:c>
      <x:c r="X179" s="14" t="n">
        <x:f>INT(ABS(K180-K179)*'공식·설정'!$B$8/K179)</x:f>
        <x:v>803</x:v>
      </x:c>
      <x:c r="Y179" s="68" t="n">
        <x:f>X179-W179</x:f>
        <x:v>0</x:v>
      </x:c>
      <x:c r="Z179" s="66" t="n">
        <x:f>W179/'공식·설정'!$B$8</x:f>
        <x:v>0.0122528076171875</x:v>
      </x:c>
      <x:c r="AA179" s="66" t="n">
        <x:f>X179/'공식·설정'!$B$8</x:f>
        <x:v>0.0122528076171875</x:v>
      </x:c>
      <x:c r="AB179" s="67" t="str">
        <x:f>IF(AND(I179=0,L179=0,Q179=0,T179=0,Y179=0),"PASS","FAIL")</x:f>
        <x:v>PASS</x:v>
      </x:c>
    </x:row>
    <x:row r="180" ht="18" customHeight="1">
      <x:c r="A180" s="14" t="n">
        <x:v>283</x:v>
      </x:c>
      <x:c r="B180" s="14" t="n">
        <x:v>175</x:v>
      </x:c>
      <x:c r="C180" s="14" t="n">
        <x:v>280</x:v>
      </x:c>
      <x:c r="D180" s="14" t="n">
        <x:v>1750</x:v>
      </x:c>
      <x:c r="E180" s="14" t="n">
        <x:v>294</x:v>
      </x:c>
      <x:c r="F180" s="14" t="n">
        <x:v>2050</x:v>
      </x:c>
      <x:c r="G180" s="14" t="n">
        <x:v>1814</x:v>
      </x:c>
      <x:c r="H180" s="14" t="n">
        <x:f>INT((F180-D180)*(A180-C180)/(E180-C180))+D180</x:f>
        <x:v>1814</x:v>
      </x:c>
      <x:c r="I180" s="68" t="n">
        <x:f>H180-G180</x:f>
        <x:v>0</x:v>
      </x:c>
      <x:c r="J180" s="14" t="n">
        <x:v>11809</x:v>
      </x:c>
      <x:c r="K180" s="14" t="n">
        <x:f>INT(H180*'공식·설정'!$B$10/'공식·설정'!$B$15)</x:f>
        <x:v>11809</x:v>
      </x:c>
      <x:c r="L180" s="68" t="n">
        <x:f>K180-J180</x:f>
        <x:v>0</x:v>
      </x:c>
      <x:c r="M180" s="65" t="n">
        <x:f>J180/'공식·설정'!$B$7</x:f>
        <x:v>46.12890625</x:v>
      </x:c>
      <x:c r="N180" s="65" t="n">
        <x:f>K180/'공식·설정'!$B$7</x:f>
        <x:v>46.12890625</x:v>
      </x:c>
      <x:c r="O180" s="14" t="n">
        <x:v>5</x:v>
      </x:c>
      <x:c r="P180" s="14" t="n">
        <x:f>MIN(32767,MAX(0,INT((K180+INT('공식·설정'!$B$12/2))/'공식·설정'!$B$12)))</x:f>
        <x:v>5</x:v>
      </x:c>
      <x:c r="Q180" s="68" t="n">
        <x:f>P180-O180</x:f>
        <x:v>0</x:v>
      </x:c>
      <x:c r="R180" s="14" t="n">
        <x:v>21248</x:v>
      </x:c>
      <x:c r="S180" s="14" t="n">
        <x:f>P180*'공식·설정'!$B$12+'공식·설정'!$B$14</x:f>
        <x:v>21248</x:v>
      </x:c>
      <x:c r="T180" s="68" t="n">
        <x:f>S180-R180</x:f>
        <x:v>0</x:v>
      </x:c>
      <x:c r="U180" s="65" t="n">
        <x:f>R180/'공식·설정'!$B$7</x:f>
        <x:v>83</x:v>
      </x:c>
      <x:c r="V180" s="65" t="n">
        <x:f>S180/'공식·설정'!$B$7</x:f>
        <x:v>83</x:v>
      </x:c>
      <x:c r="W180" s="14" t="n">
        <x:v>760</x:v>
      </x:c>
      <x:c r="X180" s="14" t="n">
        <x:f>INT(ABS(K181-K180)*'공식·설정'!$B$8/K180)</x:f>
        <x:v>760</x:v>
      </x:c>
      <x:c r="Y180" s="68" t="n">
        <x:f>X180-W180</x:f>
        <x:v>0</x:v>
      </x:c>
      <x:c r="Z180" s="66" t="n">
        <x:f>W180/'공식·설정'!$B$8</x:f>
        <x:v>0.0115966796875</x:v>
      </x:c>
      <x:c r="AA180" s="66" t="n">
        <x:f>X180/'공식·설정'!$B$8</x:f>
        <x:v>0.0115966796875</x:v>
      </x:c>
      <x:c r="AB180" s="67" t="str">
        <x:f>IF(AND(I180=0,L180=0,Q180=0,T180=0,Y180=0),"PASS","FAIL")</x:f>
        <x:v>PASS</x:v>
      </x:c>
    </x:row>
    <x:row r="181" ht="18" customHeight="1">
      <x:c r="A181" s="14" t="n">
        <x:v>284</x:v>
      </x:c>
      <x:c r="B181" s="14" t="n">
        <x:v>176</x:v>
      </x:c>
      <x:c r="C181" s="14" t="n">
        <x:v>280</x:v>
      </x:c>
      <x:c r="D181" s="14" t="n">
        <x:v>1750</x:v>
      </x:c>
      <x:c r="E181" s="14" t="n">
        <x:v>294</x:v>
      </x:c>
      <x:c r="F181" s="14" t="n">
        <x:v>2050</x:v>
      </x:c>
      <x:c r="G181" s="14" t="n">
        <x:v>1835</x:v>
      </x:c>
      <x:c r="H181" s="14" t="n">
        <x:f>INT((F181-D181)*(A181-C181)/(E181-C181))+D181</x:f>
        <x:v>1835</x:v>
      </x:c>
      <x:c r="I181" s="68" t="n">
        <x:f>H181-G181</x:f>
        <x:v>0</x:v>
      </x:c>
      <x:c r="J181" s="14" t="n">
        <x:v>11946</x:v>
      </x:c>
      <x:c r="K181" s="14" t="n">
        <x:f>INT(H181*'공식·설정'!$B$10/'공식·설정'!$B$15)</x:f>
        <x:v>11946</x:v>
      </x:c>
      <x:c r="L181" s="68" t="n">
        <x:f>K181-J181</x:f>
        <x:v>0</x:v>
      </x:c>
      <x:c r="M181" s="65" t="n">
        <x:f>J181/'공식·설정'!$B$7</x:f>
        <x:v>46.6640625</x:v>
      </x:c>
      <x:c r="N181" s="65" t="n">
        <x:f>K181/'공식·설정'!$B$7</x:f>
        <x:v>46.6640625</x:v>
      </x:c>
      <x:c r="O181" s="14" t="n">
        <x:v>5</x:v>
      </x:c>
      <x:c r="P181" s="14" t="n">
        <x:f>MIN(32767,MAX(0,INT((K181+INT('공식·설정'!$B$12/2))/'공식·설정'!$B$12)))</x:f>
        <x:v>5</x:v>
      </x:c>
      <x:c r="Q181" s="68" t="n">
        <x:f>P181-O181</x:f>
        <x:v>0</x:v>
      </x:c>
      <x:c r="R181" s="14" t="n">
        <x:v>21248</x:v>
      </x:c>
      <x:c r="S181" s="14" t="n">
        <x:f>P181*'공식·설정'!$B$12+'공식·설정'!$B$14</x:f>
        <x:v>21248</x:v>
      </x:c>
      <x:c r="T181" s="68" t="n">
        <x:f>S181-R181</x:f>
        <x:v>0</x:v>
      </x:c>
      <x:c r="U181" s="65" t="n">
        <x:f>R181/'공식·설정'!$B$7</x:f>
        <x:v>83</x:v>
      </x:c>
      <x:c r="V181" s="65" t="n">
        <x:f>S181/'공식·설정'!$B$7</x:f>
        <x:v>83</x:v>
      </x:c>
      <x:c r="W181" s="14" t="n">
        <x:v>784</x:v>
      </x:c>
      <x:c r="X181" s="14" t="n">
        <x:f>INT(ABS(K182-K181)*'공식·설정'!$B$8/K181)</x:f>
        <x:v>784</x:v>
      </x:c>
      <x:c r="Y181" s="68" t="n">
        <x:f>X181-W181</x:f>
        <x:v>0</x:v>
      </x:c>
      <x:c r="Z181" s="66" t="n">
        <x:f>W181/'공식·설정'!$B$8</x:f>
        <x:v>0.011962890625</x:v>
      </x:c>
      <x:c r="AA181" s="66" t="n">
        <x:f>X181/'공식·설정'!$B$8</x:f>
        <x:v>0.011962890625</x:v>
      </x:c>
      <x:c r="AB181" s="67" t="str">
        <x:f>IF(AND(I181=0,L181=0,Q181=0,T181=0,Y181=0),"PASS","FAIL")</x:f>
        <x:v>PASS</x:v>
      </x:c>
    </x:row>
    <x:row r="182" ht="18" customHeight="1">
      <x:c r="A182" s="14" t="n">
        <x:v>285</x:v>
      </x:c>
      <x:c r="B182" s="14" t="n">
        <x:v>177</x:v>
      </x:c>
      <x:c r="C182" s="14" t="n">
        <x:v>280</x:v>
      </x:c>
      <x:c r="D182" s="14" t="n">
        <x:v>1750</x:v>
      </x:c>
      <x:c r="E182" s="14" t="n">
        <x:v>294</x:v>
      </x:c>
      <x:c r="F182" s="14" t="n">
        <x:v>2050</x:v>
      </x:c>
      <x:c r="G182" s="14" t="n">
        <x:v>1857</x:v>
      </x:c>
      <x:c r="H182" s="14" t="n">
        <x:f>INT((F182-D182)*(A182-C182)/(E182-C182))+D182</x:f>
        <x:v>1857</x:v>
      </x:c>
      <x:c r="I182" s="68" t="n">
        <x:f>H182-G182</x:f>
        <x:v>0</x:v>
      </x:c>
      <x:c r="J182" s="14" t="n">
        <x:v>12089</x:v>
      </x:c>
      <x:c r="K182" s="14" t="n">
        <x:f>INT(H182*'공식·설정'!$B$10/'공식·설정'!$B$15)</x:f>
        <x:v>12089</x:v>
      </x:c>
      <x:c r="L182" s="68" t="n">
        <x:f>K182-J182</x:f>
        <x:v>0</x:v>
      </x:c>
      <x:c r="M182" s="65" t="n">
        <x:f>J182/'공식·설정'!$B$7</x:f>
        <x:v>47.22265625</x:v>
      </x:c>
      <x:c r="N182" s="65" t="n">
        <x:f>K182/'공식·설정'!$B$7</x:f>
        <x:v>47.22265625</x:v>
      </x:c>
      <x:c r="O182" s="14" t="n">
        <x:v>5</x:v>
      </x:c>
      <x:c r="P182" s="14" t="n">
        <x:f>MIN(32767,MAX(0,INT((K182+INT('공식·설정'!$B$12/2))/'공식·설정'!$B$12)))</x:f>
        <x:v>5</x:v>
      </x:c>
      <x:c r="Q182" s="68" t="n">
        <x:f>P182-O182</x:f>
        <x:v>0</x:v>
      </x:c>
      <x:c r="R182" s="14" t="n">
        <x:v>21248</x:v>
      </x:c>
      <x:c r="S182" s="14" t="n">
        <x:f>P182*'공식·설정'!$B$12+'공식·설정'!$B$14</x:f>
        <x:v>21248</x:v>
      </x:c>
      <x:c r="T182" s="68" t="n">
        <x:f>S182-R182</x:f>
        <x:v>0</x:v>
      </x:c>
      <x:c r="U182" s="65" t="n">
        <x:f>R182/'공식·설정'!$B$7</x:f>
        <x:v>83</x:v>
      </x:c>
      <x:c r="V182" s="65" t="n">
        <x:f>S182/'공식·설정'!$B$7</x:f>
        <x:v>83</x:v>
      </x:c>
      <x:c r="W182" s="14" t="n">
        <x:v>742</x:v>
      </x:c>
      <x:c r="X182" s="14" t="n">
        <x:f>INT(ABS(K183-K182)*'공식·설정'!$B$8/K182)</x:f>
        <x:v>742</x:v>
      </x:c>
      <x:c r="Y182" s="68" t="n">
        <x:f>X182-W182</x:f>
        <x:v>0</x:v>
      </x:c>
      <x:c r="Z182" s="66" t="n">
        <x:f>W182/'공식·설정'!$B$8</x:f>
        <x:v>0.011322021484375</x:v>
      </x:c>
      <x:c r="AA182" s="66" t="n">
        <x:f>X182/'공식·설정'!$B$8</x:f>
        <x:v>0.011322021484375</x:v>
      </x:c>
      <x:c r="AB182" s="67" t="str">
        <x:f>IF(AND(I182=0,L182=0,Q182=0,T182=0,Y182=0),"PASS","FAIL")</x:f>
        <x:v>PASS</x:v>
      </x:c>
    </x:row>
    <x:row r="183" ht="18" customHeight="1">
      <x:c r="A183" s="14" t="n">
        <x:v>286</x:v>
      </x:c>
      <x:c r="B183" s="14" t="n">
        <x:v>178</x:v>
      </x:c>
      <x:c r="C183" s="14" t="n">
        <x:v>280</x:v>
      </x:c>
      <x:c r="D183" s="14" t="n">
        <x:v>1750</x:v>
      </x:c>
      <x:c r="E183" s="14" t="n">
        <x:v>294</x:v>
      </x:c>
      <x:c r="F183" s="14" t="n">
        <x:v>2050</x:v>
      </x:c>
      <x:c r="G183" s="14" t="n">
        <x:v>1878</x:v>
      </x:c>
      <x:c r="H183" s="14" t="n">
        <x:f>INT((F183-D183)*(A183-C183)/(E183-C183))+D183</x:f>
        <x:v>1878</x:v>
      </x:c>
      <x:c r="I183" s="68" t="n">
        <x:f>H183-G183</x:f>
        <x:v>0</x:v>
      </x:c>
      <x:c r="J183" s="14" t="n">
        <x:v>12226</x:v>
      </x:c>
      <x:c r="K183" s="14" t="n">
        <x:f>INT(H183*'공식·설정'!$B$10/'공식·설정'!$B$15)</x:f>
        <x:v>12226</x:v>
      </x:c>
      <x:c r="L183" s="68" t="n">
        <x:f>K183-J183</x:f>
        <x:v>0</x:v>
      </x:c>
      <x:c r="M183" s="65" t="n">
        <x:f>J183/'공식·설정'!$B$7</x:f>
        <x:v>47.7578125</x:v>
      </x:c>
      <x:c r="N183" s="65" t="n">
        <x:f>K183/'공식·설정'!$B$7</x:f>
        <x:v>47.7578125</x:v>
      </x:c>
      <x:c r="O183" s="14" t="n">
        <x:v>5</x:v>
      </x:c>
      <x:c r="P183" s="14" t="n">
        <x:f>MIN(32767,MAX(0,INT((K183+INT('공식·설정'!$B$12/2))/'공식·설정'!$B$12)))</x:f>
        <x:v>5</x:v>
      </x:c>
      <x:c r="Q183" s="68" t="n">
        <x:f>P183-O183</x:f>
        <x:v>0</x:v>
      </x:c>
      <x:c r="R183" s="14" t="n">
        <x:v>21248</x:v>
      </x:c>
      <x:c r="S183" s="14" t="n">
        <x:f>P183*'공식·설정'!$B$12+'공식·설정'!$B$14</x:f>
        <x:v>21248</x:v>
      </x:c>
      <x:c r="T183" s="68" t="n">
        <x:f>S183-R183</x:f>
        <x:v>0</x:v>
      </x:c>
      <x:c r="U183" s="65" t="n">
        <x:f>R183/'공식·설정'!$B$7</x:f>
        <x:v>83</x:v>
      </x:c>
      <x:c r="V183" s="65" t="n">
        <x:f>S183/'공식·설정'!$B$7</x:f>
        <x:v>83</x:v>
      </x:c>
      <x:c r="W183" s="14" t="n">
        <x:v>766</x:v>
      </x:c>
      <x:c r="X183" s="14" t="n">
        <x:f>INT(ABS(K184-K183)*'공식·설정'!$B$8/K183)</x:f>
        <x:v>766</x:v>
      </x:c>
      <x:c r="Y183" s="68" t="n">
        <x:f>X183-W183</x:f>
        <x:v>0</x:v>
      </x:c>
      <x:c r="Z183" s="66" t="n">
        <x:f>W183/'공식·설정'!$B$8</x:f>
        <x:v>0.011688232421875</x:v>
      </x:c>
      <x:c r="AA183" s="66" t="n">
        <x:f>X183/'공식·설정'!$B$8</x:f>
        <x:v>0.011688232421875</x:v>
      </x:c>
      <x:c r="AB183" s="67" t="str">
        <x:f>IF(AND(I183=0,L183=0,Q183=0,T183=0,Y183=0),"PASS","FAIL")</x:f>
        <x:v>PASS</x:v>
      </x:c>
    </x:row>
    <x:row r="184" ht="18" customHeight="1">
      <x:c r="A184" s="14" t="n">
        <x:v>287</x:v>
      </x:c>
      <x:c r="B184" s="14" t="n">
        <x:v>179</x:v>
      </x:c>
      <x:c r="C184" s="14" t="n">
        <x:v>280</x:v>
      </x:c>
      <x:c r="D184" s="14" t="n">
        <x:v>1750</x:v>
      </x:c>
      <x:c r="E184" s="14" t="n">
        <x:v>294</x:v>
      </x:c>
      <x:c r="F184" s="14" t="n">
        <x:v>2050</x:v>
      </x:c>
      <x:c r="G184" s="14" t="n">
        <x:v>1900</x:v>
      </x:c>
      <x:c r="H184" s="14" t="n">
        <x:f>INT((F184-D184)*(A184-C184)/(E184-C184))+D184</x:f>
        <x:v>1900</x:v>
      </x:c>
      <x:c r="I184" s="68" t="n">
        <x:f>H184-G184</x:f>
        <x:v>0</x:v>
      </x:c>
      <x:c r="J184" s="14" t="n">
        <x:v>12369</x:v>
      </x:c>
      <x:c r="K184" s="14" t="n">
        <x:f>INT(H184*'공식·설정'!$B$10/'공식·설정'!$B$15)</x:f>
        <x:v>12369</x:v>
      </x:c>
      <x:c r="L184" s="68" t="n">
        <x:f>K184-J184</x:f>
        <x:v>0</x:v>
      </x:c>
      <x:c r="M184" s="65" t="n">
        <x:f>J184/'공식·설정'!$B$7</x:f>
        <x:v>48.31640625</x:v>
      </x:c>
      <x:c r="N184" s="65" t="n">
        <x:f>K184/'공식·설정'!$B$7</x:f>
        <x:v>48.31640625</x:v>
      </x:c>
      <x:c r="O184" s="14" t="n">
        <x:v>5</x:v>
      </x:c>
      <x:c r="P184" s="14" t="n">
        <x:f>MIN(32767,MAX(0,INT((K184+INT('공식·설정'!$B$12/2))/'공식·설정'!$B$12)))</x:f>
        <x:v>5</x:v>
      </x:c>
      <x:c r="Q184" s="68" t="n">
        <x:f>P184-O184</x:f>
        <x:v>0</x:v>
      </x:c>
      <x:c r="R184" s="14" t="n">
        <x:v>21248</x:v>
      </x:c>
      <x:c r="S184" s="14" t="n">
        <x:f>P184*'공식·설정'!$B$12+'공식·설정'!$B$14</x:f>
        <x:v>21248</x:v>
      </x:c>
      <x:c r="T184" s="68" t="n">
        <x:f>S184-R184</x:f>
        <x:v>0</x:v>
      </x:c>
      <x:c r="U184" s="65" t="n">
        <x:f>R184/'공식·설정'!$B$7</x:f>
        <x:v>83</x:v>
      </x:c>
      <x:c r="V184" s="65" t="n">
        <x:f>S184/'공식·설정'!$B$7</x:f>
        <x:v>83</x:v>
      </x:c>
      <x:c r="W184" s="14" t="n">
        <x:v>725</x:v>
      </x:c>
      <x:c r="X184" s="14" t="n">
        <x:f>INT(ABS(K185-K184)*'공식·설정'!$B$8/K184)</x:f>
        <x:v>725</x:v>
      </x:c>
      <x:c r="Y184" s="68" t="n">
        <x:f>X184-W184</x:f>
        <x:v>0</x:v>
      </x:c>
      <x:c r="Z184" s="66" t="n">
        <x:f>W184/'공식·설정'!$B$8</x:f>
        <x:v>0.0110626220703125</x:v>
      </x:c>
      <x:c r="AA184" s="66" t="n">
        <x:f>X184/'공식·설정'!$B$8</x:f>
        <x:v>0.0110626220703125</x:v>
      </x:c>
      <x:c r="AB184" s="67" t="str">
        <x:f>IF(AND(I184=0,L184=0,Q184=0,T184=0,Y184=0),"PASS","FAIL")</x:f>
        <x:v>PASS</x:v>
      </x:c>
    </x:row>
    <x:row r="185" ht="18" customHeight="1">
      <x:c r="A185" s="14" t="n">
        <x:v>288</x:v>
      </x:c>
      <x:c r="B185" s="14" t="n">
        <x:v>180</x:v>
      </x:c>
      <x:c r="C185" s="14" t="n">
        <x:v>280</x:v>
      </x:c>
      <x:c r="D185" s="14" t="n">
        <x:v>1750</x:v>
      </x:c>
      <x:c r="E185" s="14" t="n">
        <x:v>294</x:v>
      </x:c>
      <x:c r="F185" s="14" t="n">
        <x:v>2050</x:v>
      </x:c>
      <x:c r="G185" s="14" t="n">
        <x:v>1921</x:v>
      </x:c>
      <x:c r="H185" s="14" t="n">
        <x:f>INT((F185-D185)*(A185-C185)/(E185-C185))+D185</x:f>
        <x:v>1921</x:v>
      </x:c>
      <x:c r="I185" s="68" t="n">
        <x:f>H185-G185</x:f>
        <x:v>0</x:v>
      </x:c>
      <x:c r="J185" s="14" t="n">
        <x:v>12506</x:v>
      </x:c>
      <x:c r="K185" s="14" t="n">
        <x:f>INT(H185*'공식·설정'!$B$10/'공식·설정'!$B$15)</x:f>
        <x:v>12506</x:v>
      </x:c>
      <x:c r="L185" s="68" t="n">
        <x:f>K185-J185</x:f>
        <x:v>0</x:v>
      </x:c>
      <x:c r="M185" s="65" t="n">
        <x:f>J185/'공식·설정'!$B$7</x:f>
        <x:v>48.8515625</x:v>
      </x:c>
      <x:c r="N185" s="65" t="n">
        <x:f>K185/'공식·설정'!$B$7</x:f>
        <x:v>48.8515625</x:v>
      </x:c>
      <x:c r="O185" s="14" t="n">
        <x:v>5</x:v>
      </x:c>
      <x:c r="P185" s="14" t="n">
        <x:f>MIN(32767,MAX(0,INT((K185+INT('공식·설정'!$B$12/2))/'공식·설정'!$B$12)))</x:f>
        <x:v>5</x:v>
      </x:c>
      <x:c r="Q185" s="68" t="n">
        <x:f>P185-O185</x:f>
        <x:v>0</x:v>
      </x:c>
      <x:c r="R185" s="14" t="n">
        <x:v>21248</x:v>
      </x:c>
      <x:c r="S185" s="14" t="n">
        <x:f>P185*'공식·설정'!$B$12+'공식·설정'!$B$14</x:f>
        <x:v>21248</x:v>
      </x:c>
      <x:c r="T185" s="68" t="n">
        <x:f>S185-R185</x:f>
        <x:v>0</x:v>
      </x:c>
      <x:c r="U185" s="65" t="n">
        <x:f>R185/'공식·설정'!$B$7</x:f>
        <x:v>83</x:v>
      </x:c>
      <x:c r="V185" s="65" t="n">
        <x:f>S185/'공식·설정'!$B$7</x:f>
        <x:v>83</x:v>
      </x:c>
      <x:c r="W185" s="14" t="n">
        <x:v>712</x:v>
      </x:c>
      <x:c r="X185" s="14" t="n">
        <x:f>INT(ABS(K186-K185)*'공식·설정'!$B$8/K185)</x:f>
        <x:v>712</x:v>
      </x:c>
      <x:c r="Y185" s="68" t="n">
        <x:f>X185-W185</x:f>
        <x:v>0</x:v>
      </x:c>
      <x:c r="Z185" s="66" t="n">
        <x:f>W185/'공식·설정'!$B$8</x:f>
        <x:v>0.0108642578125</x:v>
      </x:c>
      <x:c r="AA185" s="66" t="n">
        <x:f>X185/'공식·설정'!$B$8</x:f>
        <x:v>0.0108642578125</x:v>
      </x:c>
      <x:c r="AB185" s="67" t="str">
        <x:f>IF(AND(I185=0,L185=0,Q185=0,T185=0,Y185=0),"PASS","FAIL")</x:f>
        <x:v>PASS</x:v>
      </x:c>
    </x:row>
    <x:row r="186" ht="18" customHeight="1">
      <x:c r="A186" s="14" t="n">
        <x:v>289</x:v>
      </x:c>
      <x:c r="B186" s="14" t="n">
        <x:v>181</x:v>
      </x:c>
      <x:c r="C186" s="14" t="n">
        <x:v>280</x:v>
      </x:c>
      <x:c r="D186" s="14" t="n">
        <x:v>1750</x:v>
      </x:c>
      <x:c r="E186" s="14" t="n">
        <x:v>294</x:v>
      </x:c>
      <x:c r="F186" s="14" t="n">
        <x:v>2050</x:v>
      </x:c>
      <x:c r="G186" s="14" t="n">
        <x:v>1942</x:v>
      </x:c>
      <x:c r="H186" s="14" t="n">
        <x:f>INT((F186-D186)*(A186-C186)/(E186-C186))+D186</x:f>
        <x:v>1942</x:v>
      </x:c>
      <x:c r="I186" s="68" t="n">
        <x:f>H186-G186</x:f>
        <x:v>0</x:v>
      </x:c>
      <x:c r="J186" s="14" t="n">
        <x:v>12642</x:v>
      </x:c>
      <x:c r="K186" s="14" t="n">
        <x:f>INT(H186*'공식·설정'!$B$10/'공식·설정'!$B$15)</x:f>
        <x:v>12642</x:v>
      </x:c>
      <x:c r="L186" s="68" t="n">
        <x:f>K186-J186</x:f>
        <x:v>0</x:v>
      </x:c>
      <x:c r="M186" s="65" t="n">
        <x:f>J186/'공식·설정'!$B$7</x:f>
        <x:v>49.3828125</x:v>
      </x:c>
      <x:c r="N186" s="65" t="n">
        <x:f>K186/'공식·설정'!$B$7</x:f>
        <x:v>49.3828125</x:v>
      </x:c>
      <x:c r="O186" s="14" t="n">
        <x:v>5</x:v>
      </x:c>
      <x:c r="P186" s="14" t="n">
        <x:f>MIN(32767,MAX(0,INT((K186+INT('공식·설정'!$B$12/2))/'공식·설정'!$B$12)))</x:f>
        <x:v>5</x:v>
      </x:c>
      <x:c r="Q186" s="68" t="n">
        <x:f>P186-O186</x:f>
        <x:v>0</x:v>
      </x:c>
      <x:c r="R186" s="14" t="n">
        <x:v>21248</x:v>
      </x:c>
      <x:c r="S186" s="14" t="n">
        <x:f>P186*'공식·설정'!$B$12+'공식·설정'!$B$14</x:f>
        <x:v>21248</x:v>
      </x:c>
      <x:c r="T186" s="68" t="n">
        <x:f>S186-R186</x:f>
        <x:v>0</x:v>
      </x:c>
      <x:c r="U186" s="65" t="n">
        <x:f>R186/'공식·설정'!$B$7</x:f>
        <x:v>83</x:v>
      </x:c>
      <x:c r="V186" s="65" t="n">
        <x:f>S186/'공식·설정'!$B$7</x:f>
        <x:v>83</x:v>
      </x:c>
      <x:c r="W186" s="14" t="n">
        <x:v>746</x:v>
      </x:c>
      <x:c r="X186" s="14" t="n">
        <x:f>INT(ABS(K187-K186)*'공식·설정'!$B$8/K186)</x:f>
        <x:v>746</x:v>
      </x:c>
      <x:c r="Y186" s="68" t="n">
        <x:f>X186-W186</x:f>
        <x:v>0</x:v>
      </x:c>
      <x:c r="Z186" s="66" t="n">
        <x:f>W186/'공식·설정'!$B$8</x:f>
        <x:v>0.011383056640625</x:v>
      </x:c>
      <x:c r="AA186" s="66" t="n">
        <x:f>X186/'공식·설정'!$B$8</x:f>
        <x:v>0.011383056640625</x:v>
      </x:c>
      <x:c r="AB186" s="67" t="str">
        <x:f>IF(AND(I186=0,L186=0,Q186=0,T186=0,Y186=0),"PASS","FAIL")</x:f>
        <x:v>PASS</x:v>
      </x:c>
    </x:row>
    <x:row r="187" ht="18" customHeight="1">
      <x:c r="A187" s="14" t="n">
        <x:v>290</x:v>
      </x:c>
      <x:c r="B187" s="14" t="n">
        <x:v>182</x:v>
      </x:c>
      <x:c r="C187" s="14" t="n">
        <x:v>280</x:v>
      </x:c>
      <x:c r="D187" s="14" t="n">
        <x:v>1750</x:v>
      </x:c>
      <x:c r="E187" s="14" t="n">
        <x:v>294</x:v>
      </x:c>
      <x:c r="F187" s="14" t="n">
        <x:v>2050</x:v>
      </x:c>
      <x:c r="G187" s="14" t="n">
        <x:v>1964</x:v>
      </x:c>
      <x:c r="H187" s="14" t="n">
        <x:f>INT((F187-D187)*(A187-C187)/(E187-C187))+D187</x:f>
        <x:v>1964</x:v>
      </x:c>
      <x:c r="I187" s="68" t="n">
        <x:f>H187-G187</x:f>
        <x:v>0</x:v>
      </x:c>
      <x:c r="J187" s="14" t="n">
        <x:v>12786</x:v>
      </x:c>
      <x:c r="K187" s="14" t="n">
        <x:f>INT(H187*'공식·설정'!$B$10/'공식·설정'!$B$15)</x:f>
        <x:v>12786</x:v>
      </x:c>
      <x:c r="L187" s="68" t="n">
        <x:f>K187-J187</x:f>
        <x:v>0</x:v>
      </x:c>
      <x:c r="M187" s="65" t="n">
        <x:f>J187/'공식·설정'!$B$7</x:f>
        <x:v>49.9453125</x:v>
      </x:c>
      <x:c r="N187" s="65" t="n">
        <x:f>K187/'공식·설정'!$B$7</x:f>
        <x:v>49.9453125</x:v>
      </x:c>
      <x:c r="O187" s="14" t="n">
        <x:v>5</x:v>
      </x:c>
      <x:c r="P187" s="14" t="n">
        <x:f>MIN(32767,MAX(0,INT((K187+INT('공식·설정'!$B$12/2))/'공식·설정'!$B$12)))</x:f>
        <x:v>5</x:v>
      </x:c>
      <x:c r="Q187" s="68" t="n">
        <x:f>P187-O187</x:f>
        <x:v>0</x:v>
      </x:c>
      <x:c r="R187" s="14" t="n">
        <x:v>21248</x:v>
      </x:c>
      <x:c r="S187" s="14" t="n">
        <x:f>P187*'공식·설정'!$B$12+'공식·설정'!$B$14</x:f>
        <x:v>21248</x:v>
      </x:c>
      <x:c r="T187" s="68" t="n">
        <x:f>S187-R187</x:f>
        <x:v>0</x:v>
      </x:c>
      <x:c r="U187" s="65" t="n">
        <x:f>R187/'공식·설정'!$B$7</x:f>
        <x:v>83</x:v>
      </x:c>
      <x:c r="V187" s="65" t="n">
        <x:f>S187/'공식·설정'!$B$7</x:f>
        <x:v>83</x:v>
      </x:c>
      <x:c r="W187" s="14" t="n">
        <x:v>697</x:v>
      </x:c>
      <x:c r="X187" s="14" t="n">
        <x:f>INT(ABS(K188-K187)*'공식·설정'!$B$8/K187)</x:f>
        <x:v>697</x:v>
      </x:c>
      <x:c r="Y187" s="68" t="n">
        <x:f>X187-W187</x:f>
        <x:v>0</x:v>
      </x:c>
      <x:c r="Z187" s="66" t="n">
        <x:f>W187/'공식·설정'!$B$8</x:f>
        <x:v>0.0106353759765625</x:v>
      </x:c>
      <x:c r="AA187" s="66" t="n">
        <x:f>X187/'공식·설정'!$B$8</x:f>
        <x:v>0.0106353759765625</x:v>
      </x:c>
      <x:c r="AB187" s="67" t="str">
        <x:f>IF(AND(I187=0,L187=0,Q187=0,T187=0,Y187=0),"PASS","FAIL")</x:f>
        <x:v>PASS</x:v>
      </x:c>
    </x:row>
    <x:row r="188" ht="18" customHeight="1">
      <x:c r="A188" s="14" t="n">
        <x:v>291</x:v>
      </x:c>
      <x:c r="B188" s="14" t="n">
        <x:v>183</x:v>
      </x:c>
      <x:c r="C188" s="14" t="n">
        <x:v>280</x:v>
      </x:c>
      <x:c r="D188" s="14" t="n">
        <x:v>1750</x:v>
      </x:c>
      <x:c r="E188" s="14" t="n">
        <x:v>294</x:v>
      </x:c>
      <x:c r="F188" s="14" t="n">
        <x:v>2050</x:v>
      </x:c>
      <x:c r="G188" s="14" t="n">
        <x:v>1985</x:v>
      </x:c>
      <x:c r="H188" s="14" t="n">
        <x:f>INT((F188-D188)*(A188-C188)/(E188-C188))+D188</x:f>
        <x:v>1985</x:v>
      </x:c>
      <x:c r="I188" s="68" t="n">
        <x:f>H188-G188</x:f>
        <x:v>0</x:v>
      </x:c>
      <x:c r="J188" s="14" t="n">
        <x:v>12922</x:v>
      </x:c>
      <x:c r="K188" s="14" t="n">
        <x:f>INT(H188*'공식·설정'!$B$10/'공식·설정'!$B$15)</x:f>
        <x:v>12922</x:v>
      </x:c>
      <x:c r="L188" s="68" t="n">
        <x:f>K188-J188</x:f>
        <x:v>0</x:v>
      </x:c>
      <x:c r="M188" s="65" t="n">
        <x:f>J188/'공식·설정'!$B$7</x:f>
        <x:v>50.4765625</x:v>
      </x:c>
      <x:c r="N188" s="65" t="n">
        <x:f>K188/'공식·설정'!$B$7</x:f>
        <x:v>50.4765625</x:v>
      </x:c>
      <x:c r="O188" s="14" t="n">
        <x:v>5</x:v>
      </x:c>
      <x:c r="P188" s="14" t="n">
        <x:f>MIN(32767,MAX(0,INT((K188+INT('공식·설정'!$B$12/2))/'공식·설정'!$B$12)))</x:f>
        <x:v>5</x:v>
      </x:c>
      <x:c r="Q188" s="68" t="n">
        <x:f>P188-O188</x:f>
        <x:v>0</x:v>
      </x:c>
      <x:c r="R188" s="14" t="n">
        <x:v>21248</x:v>
      </x:c>
      <x:c r="S188" s="14" t="n">
        <x:f>P188*'공식·설정'!$B$12+'공식·설정'!$B$14</x:f>
        <x:v>21248</x:v>
      </x:c>
      <x:c r="T188" s="68" t="n">
        <x:f>S188-R188</x:f>
        <x:v>0</x:v>
      </x:c>
      <x:c r="U188" s="65" t="n">
        <x:f>R188/'공식·설정'!$B$7</x:f>
        <x:v>83</x:v>
      </x:c>
      <x:c r="V188" s="65" t="n">
        <x:f>S188/'공식·설정'!$B$7</x:f>
        <x:v>83</x:v>
      </x:c>
      <x:c r="W188" s="14" t="n">
        <x:v>730</x:v>
      </x:c>
      <x:c r="X188" s="14" t="n">
        <x:f>INT(ABS(K189-K188)*'공식·설정'!$B$8/K188)</x:f>
        <x:v>730</x:v>
      </x:c>
      <x:c r="Y188" s="68" t="n">
        <x:f>X188-W188</x:f>
        <x:v>0</x:v>
      </x:c>
      <x:c r="Z188" s="66" t="n">
        <x:f>W188/'공식·설정'!$B$8</x:f>
        <x:v>0.011138916015625</x:v>
      </x:c>
      <x:c r="AA188" s="66" t="n">
        <x:f>X188/'공식·설정'!$B$8</x:f>
        <x:v>0.011138916015625</x:v>
      </x:c>
      <x:c r="AB188" s="67" t="str">
        <x:f>IF(AND(I188=0,L188=0,Q188=0,T188=0,Y188=0),"PASS","FAIL")</x:f>
        <x:v>PASS</x:v>
      </x:c>
    </x:row>
    <x:row r="189" ht="18" customHeight="1">
      <x:c r="A189" s="14" t="n">
        <x:v>292</x:v>
      </x:c>
      <x:c r="B189" s="14" t="n">
        <x:v>184</x:v>
      </x:c>
      <x:c r="C189" s="14" t="n">
        <x:v>280</x:v>
      </x:c>
      <x:c r="D189" s="14" t="n">
        <x:v>1750</x:v>
      </x:c>
      <x:c r="E189" s="14" t="n">
        <x:v>294</x:v>
      </x:c>
      <x:c r="F189" s="14" t="n">
        <x:v>2050</x:v>
      </x:c>
      <x:c r="G189" s="14" t="n">
        <x:v>2007</x:v>
      </x:c>
      <x:c r="H189" s="14" t="n">
        <x:f>INT((F189-D189)*(A189-C189)/(E189-C189))+D189</x:f>
        <x:v>2007</x:v>
      </x:c>
      <x:c r="I189" s="68" t="n">
        <x:f>H189-G189</x:f>
        <x:v>0</x:v>
      </x:c>
      <x:c r="J189" s="14" t="n">
        <x:v>13066</x:v>
      </x:c>
      <x:c r="K189" s="14" t="n">
        <x:f>INT(H189*'공식·설정'!$B$10/'공식·설정'!$B$15)</x:f>
        <x:v>13066</x:v>
      </x:c>
      <x:c r="L189" s="68" t="n">
        <x:f>K189-J189</x:f>
        <x:v>0</x:v>
      </x:c>
      <x:c r="M189" s="65" t="n">
        <x:f>J189/'공식·설정'!$B$7</x:f>
        <x:v>51.0390625</x:v>
      </x:c>
      <x:c r="N189" s="65" t="n">
        <x:f>K189/'공식·설정'!$B$7</x:f>
        <x:v>51.0390625</x:v>
      </x:c>
      <x:c r="O189" s="14" t="n">
        <x:v>5</x:v>
      </x:c>
      <x:c r="P189" s="14" t="n">
        <x:f>MIN(32767,MAX(0,INT((K189+INT('공식·설정'!$B$12/2))/'공식·설정'!$B$12)))</x:f>
        <x:v>5</x:v>
      </x:c>
      <x:c r="Q189" s="68" t="n">
        <x:f>P189-O189</x:f>
        <x:v>0</x:v>
      </x:c>
      <x:c r="R189" s="14" t="n">
        <x:v>21248</x:v>
      </x:c>
      <x:c r="S189" s="14" t="n">
        <x:f>P189*'공식·설정'!$B$12+'공식·설정'!$B$14</x:f>
        <x:v>21248</x:v>
      </x:c>
      <x:c r="T189" s="68" t="n">
        <x:f>S189-R189</x:f>
        <x:v>0</x:v>
      </x:c>
      <x:c r="U189" s="65" t="n">
        <x:f>R189/'공식·설정'!$B$7</x:f>
        <x:v>83</x:v>
      </x:c>
      <x:c r="V189" s="65" t="n">
        <x:f>S189/'공식·설정'!$B$7</x:f>
        <x:v>83</x:v>
      </x:c>
      <x:c r="W189" s="14" t="n">
        <x:v>682</x:v>
      </x:c>
      <x:c r="X189" s="14" t="n">
        <x:f>INT(ABS(K190-K189)*'공식·설정'!$B$8/K189)</x:f>
        <x:v>682</x:v>
      </x:c>
      <x:c r="Y189" s="68" t="n">
        <x:f>X189-W189</x:f>
        <x:v>0</x:v>
      </x:c>
      <x:c r="Z189" s="66" t="n">
        <x:f>W189/'공식·설정'!$B$8</x:f>
        <x:v>0.010406494140625</x:v>
      </x:c>
      <x:c r="AA189" s="66" t="n">
        <x:f>X189/'공식·설정'!$B$8</x:f>
        <x:v>0.010406494140625</x:v>
      </x:c>
      <x:c r="AB189" s="67" t="str">
        <x:f>IF(AND(I189=0,L189=0,Q189=0,T189=0,Y189=0),"PASS","FAIL")</x:f>
        <x:v>PASS</x:v>
      </x:c>
    </x:row>
    <x:row r="190" ht="18" customHeight="1">
      <x:c r="A190" s="14" t="n">
        <x:v>293</x:v>
      </x:c>
      <x:c r="B190" s="14" t="n">
        <x:v>185</x:v>
      </x:c>
      <x:c r="C190" s="14" t="n">
        <x:v>280</x:v>
      </x:c>
      <x:c r="D190" s="14" t="n">
        <x:v>1750</x:v>
      </x:c>
      <x:c r="E190" s="14" t="n">
        <x:v>294</x:v>
      </x:c>
      <x:c r="F190" s="14" t="n">
        <x:v>2050</x:v>
      </x:c>
      <x:c r="G190" s="14" t="n">
        <x:v>2028</x:v>
      </x:c>
      <x:c r="H190" s="14" t="n">
        <x:f>INT((F190-D190)*(A190-C190)/(E190-C190))+D190</x:f>
        <x:v>2028</x:v>
      </x:c>
      <x:c r="I190" s="68" t="n">
        <x:f>H190-G190</x:f>
        <x:v>0</x:v>
      </x:c>
      <x:c r="J190" s="14" t="n">
        <x:v>13202</x:v>
      </x:c>
      <x:c r="K190" s="14" t="n">
        <x:f>INT(H190*'공식·설정'!$B$10/'공식·설정'!$B$15)</x:f>
        <x:v>13202</x:v>
      </x:c>
      <x:c r="L190" s="68" t="n">
        <x:f>K190-J190</x:f>
        <x:v>0</x:v>
      </x:c>
      <x:c r="M190" s="65" t="n">
        <x:f>J190/'공식·설정'!$B$7</x:f>
        <x:v>51.5703125</x:v>
      </x:c>
      <x:c r="N190" s="65" t="n">
        <x:f>K190/'공식·설정'!$B$7</x:f>
        <x:v>51.5703125</x:v>
      </x:c>
      <x:c r="O190" s="14" t="n">
        <x:v>5</x:v>
      </x:c>
      <x:c r="P190" s="14" t="n">
        <x:f>MIN(32767,MAX(0,INT((K190+INT('공식·설정'!$B$12/2))/'공식·설정'!$B$12)))</x:f>
        <x:v>5</x:v>
      </x:c>
      <x:c r="Q190" s="68" t="n">
        <x:f>P190-O190</x:f>
        <x:v>0</x:v>
      </x:c>
      <x:c r="R190" s="14" t="n">
        <x:v>21248</x:v>
      </x:c>
      <x:c r="S190" s="14" t="n">
        <x:f>P190*'공식·설정'!$B$12+'공식·설정'!$B$14</x:f>
        <x:v>21248</x:v>
      </x:c>
      <x:c r="T190" s="68" t="n">
        <x:f>S190-R190</x:f>
        <x:v>0</x:v>
      </x:c>
      <x:c r="U190" s="65" t="n">
        <x:f>R190/'공식·설정'!$B$7</x:f>
        <x:v>83</x:v>
      </x:c>
      <x:c r="V190" s="65" t="n">
        <x:f>S190/'공식·설정'!$B$7</x:f>
        <x:v>83</x:v>
      </x:c>
      <x:c r="W190" s="14" t="n">
        <x:v>714</x:v>
      </x:c>
      <x:c r="X190" s="14" t="n">
        <x:f>INT(ABS(K191-K190)*'공식·설정'!$B$8/K190)</x:f>
        <x:v>714</x:v>
      </x:c>
      <x:c r="Y190" s="68" t="n">
        <x:f>X190-W190</x:f>
        <x:v>0</x:v>
      </x:c>
      <x:c r="Z190" s="66" t="n">
        <x:f>W190/'공식·설정'!$B$8</x:f>
        <x:v>0.010894775390625</x:v>
      </x:c>
      <x:c r="AA190" s="66" t="n">
        <x:f>X190/'공식·설정'!$B$8</x:f>
        <x:v>0.010894775390625</x:v>
      </x:c>
      <x:c r="AB190" s="67" t="str">
        <x:f>IF(AND(I190=0,L190=0,Q190=0,T190=0,Y190=0),"PASS","FAIL")</x:f>
        <x:v>PASS</x:v>
      </x:c>
    </x:row>
    <x:row r="191" ht="18" customHeight="1">
      <x:c r="A191" s="14" t="n">
        <x:v>294</x:v>
      </x:c>
      <x:c r="B191" s="14" t="n">
        <x:v>186</x:v>
      </x:c>
      <x:c r="C191" s="14" t="n">
        <x:v>294</x:v>
      </x:c>
      <x:c r="D191" s="14" t="n">
        <x:v>2050</x:v>
      </x:c>
      <x:c r="E191" s="14" t="n">
        <x:v>308</x:v>
      </x:c>
      <x:c r="F191" s="14" t="n">
        <x:v>2400</x:v>
      </x:c>
      <x:c r="G191" s="14" t="n">
        <x:v>2050</x:v>
      </x:c>
      <x:c r="H191" s="14" t="n">
        <x:f>INT((F191-D191)*(A191-C191)/(E191-C191))+D191</x:f>
        <x:v>2050</x:v>
      </x:c>
      <x:c r="I191" s="68" t="n">
        <x:f>H191-G191</x:f>
        <x:v>0</x:v>
      </x:c>
      <x:c r="J191" s="14" t="n">
        <x:v>13346</x:v>
      </x:c>
      <x:c r="K191" s="14" t="n">
        <x:f>INT(H191*'공식·설정'!$B$10/'공식·설정'!$B$15)</x:f>
        <x:v>13346</x:v>
      </x:c>
      <x:c r="L191" s="68" t="n">
        <x:f>K191-J191</x:f>
        <x:v>0</x:v>
      </x:c>
      <x:c r="M191" s="65" t="n">
        <x:f>J191/'공식·설정'!$B$7</x:f>
        <x:v>52.1328125</x:v>
      </x:c>
      <x:c r="N191" s="65" t="n">
        <x:f>K191/'공식·설정'!$B$7</x:f>
        <x:v>52.1328125</x:v>
      </x:c>
      <x:c r="O191" s="14" t="n">
        <x:v>5</x:v>
      </x:c>
      <x:c r="P191" s="14" t="n">
        <x:f>MIN(32767,MAX(0,INT((K191+INT('공식·설정'!$B$12/2))/'공식·설정'!$B$12)))</x:f>
        <x:v>5</x:v>
      </x:c>
      <x:c r="Q191" s="68" t="n">
        <x:f>P191-O191</x:f>
        <x:v>0</x:v>
      </x:c>
      <x:c r="R191" s="14" t="n">
        <x:v>21248</x:v>
      </x:c>
      <x:c r="S191" s="14" t="n">
        <x:f>P191*'공식·설정'!$B$12+'공식·설정'!$B$14</x:f>
        <x:v>21248</x:v>
      </x:c>
      <x:c r="T191" s="68" t="n">
        <x:f>S191-R191</x:f>
        <x:v>0</x:v>
      </x:c>
      <x:c r="U191" s="65" t="n">
        <x:f>R191/'공식·설정'!$B$7</x:f>
        <x:v>83</x:v>
      </x:c>
      <x:c r="V191" s="65" t="n">
        <x:f>S191/'공식·설정'!$B$7</x:f>
        <x:v>83</x:v>
      </x:c>
      <x:c r="W191" s="14" t="n">
        <x:v>795</x:v>
      </x:c>
      <x:c r="X191" s="14" t="n">
        <x:f>INT(ABS(K192-K191)*'공식·설정'!$B$8/K191)</x:f>
        <x:v>795</x:v>
      </x:c>
      <x:c r="Y191" s="68" t="n">
        <x:f>X191-W191</x:f>
        <x:v>0</x:v>
      </x:c>
      <x:c r="Z191" s="66" t="n">
        <x:f>W191/'공식·설정'!$B$8</x:f>
        <x:v>0.0121307373046875</x:v>
      </x:c>
      <x:c r="AA191" s="66" t="n">
        <x:f>X191/'공식·설정'!$B$8</x:f>
        <x:v>0.0121307373046875</x:v>
      </x:c>
      <x:c r="AB191" s="67" t="str">
        <x:f>IF(AND(I191=0,L191=0,Q191=0,T191=0,Y191=0),"PASS","FAIL")</x:f>
        <x:v>PASS</x:v>
      </x:c>
    </x:row>
    <x:row r="192" ht="18" customHeight="1">
      <x:c r="A192" s="14" t="n">
        <x:v>295</x:v>
      </x:c>
      <x:c r="B192" s="14" t="n">
        <x:v>187</x:v>
      </x:c>
      <x:c r="C192" s="14" t="n">
        <x:v>294</x:v>
      </x:c>
      <x:c r="D192" s="14" t="n">
        <x:v>2050</x:v>
      </x:c>
      <x:c r="E192" s="14" t="n">
        <x:v>308</x:v>
      </x:c>
      <x:c r="F192" s="14" t="n">
        <x:v>2400</x:v>
      </x:c>
      <x:c r="G192" s="14" t="n">
        <x:v>2075</x:v>
      </x:c>
      <x:c r="H192" s="14" t="n">
        <x:f>INT((F192-D192)*(A192-C192)/(E192-C192))+D192</x:f>
        <x:v>2075</x:v>
      </x:c>
      <x:c r="I192" s="68" t="n">
        <x:f>H192-G192</x:f>
        <x:v>0</x:v>
      </x:c>
      <x:c r="J192" s="14" t="n">
        <x:v>13508</x:v>
      </x:c>
      <x:c r="K192" s="14" t="n">
        <x:f>INT(H192*'공식·설정'!$B$10/'공식·설정'!$B$15)</x:f>
        <x:v>13508</x:v>
      </x:c>
      <x:c r="L192" s="68" t="n">
        <x:f>K192-J192</x:f>
        <x:v>0</x:v>
      </x:c>
      <x:c r="M192" s="65" t="n">
        <x:f>J192/'공식·설정'!$B$7</x:f>
        <x:v>52.765625</x:v>
      </x:c>
      <x:c r="N192" s="65" t="n">
        <x:f>K192/'공식·설정'!$B$7</x:f>
        <x:v>52.765625</x:v>
      </x:c>
      <x:c r="O192" s="14" t="n">
        <x:v>5</x:v>
      </x:c>
      <x:c r="P192" s="14" t="n">
        <x:f>MIN(32767,MAX(0,INT((K192+INT('공식·설정'!$B$12/2))/'공식·설정'!$B$12)))</x:f>
        <x:v>5</x:v>
      </x:c>
      <x:c r="Q192" s="68" t="n">
        <x:f>P192-O192</x:f>
        <x:v>0</x:v>
      </x:c>
      <x:c r="R192" s="14" t="n">
        <x:v>21248</x:v>
      </x:c>
      <x:c r="S192" s="14" t="n">
        <x:f>P192*'공식·설정'!$B$12+'공식·설정'!$B$14</x:f>
        <x:v>21248</x:v>
      </x:c>
      <x:c r="T192" s="68" t="n">
        <x:f>S192-R192</x:f>
        <x:v>0</x:v>
      </x:c>
      <x:c r="U192" s="65" t="n">
        <x:f>R192/'공식·설정'!$B$7</x:f>
        <x:v>83</x:v>
      </x:c>
      <x:c r="V192" s="65" t="n">
        <x:f>S192/'공식·설정'!$B$7</x:f>
        <x:v>83</x:v>
      </x:c>
      <x:c r="W192" s="14" t="n">
        <x:v>790</x:v>
      </x:c>
      <x:c r="X192" s="14" t="n">
        <x:f>INT(ABS(K193-K192)*'공식·설정'!$B$8/K192)</x:f>
        <x:v>790</x:v>
      </x:c>
      <x:c r="Y192" s="68" t="n">
        <x:f>X192-W192</x:f>
        <x:v>0</x:v>
      </x:c>
      <x:c r="Z192" s="66" t="n">
        <x:f>W192/'공식·설정'!$B$8</x:f>
        <x:v>0.012054443359375</x:v>
      </x:c>
      <x:c r="AA192" s="66" t="n">
        <x:f>X192/'공식·설정'!$B$8</x:f>
        <x:v>0.012054443359375</x:v>
      </x:c>
      <x:c r="AB192" s="67" t="str">
        <x:f>IF(AND(I192=0,L192=0,Q192=0,T192=0,Y192=0),"PASS","FAIL")</x:f>
        <x:v>PASS</x:v>
      </x:c>
    </x:row>
    <x:row r="193" ht="18" customHeight="1">
      <x:c r="A193" s="14" t="n">
        <x:v>296</x:v>
      </x:c>
      <x:c r="B193" s="14" t="n">
        <x:v>188</x:v>
      </x:c>
      <x:c r="C193" s="14" t="n">
        <x:v>294</x:v>
      </x:c>
      <x:c r="D193" s="14" t="n">
        <x:v>2050</x:v>
      </x:c>
      <x:c r="E193" s="14" t="n">
        <x:v>308</x:v>
      </x:c>
      <x:c r="F193" s="14" t="n">
        <x:v>2400</x:v>
      </x:c>
      <x:c r="G193" s="14" t="n">
        <x:v>2100</x:v>
      </x:c>
      <x:c r="H193" s="14" t="n">
        <x:f>INT((F193-D193)*(A193-C193)/(E193-C193))+D193</x:f>
        <x:v>2100</x:v>
      </x:c>
      <x:c r="I193" s="68" t="n">
        <x:f>H193-G193</x:f>
        <x:v>0</x:v>
      </x:c>
      <x:c r="J193" s="14" t="n">
        <x:v>13671</x:v>
      </x:c>
      <x:c r="K193" s="14" t="n">
        <x:f>INT(H193*'공식·설정'!$B$10/'공식·설정'!$B$15)</x:f>
        <x:v>13671</x:v>
      </x:c>
      <x:c r="L193" s="68" t="n">
        <x:f>K193-J193</x:f>
        <x:v>0</x:v>
      </x:c>
      <x:c r="M193" s="65" t="n">
        <x:f>J193/'공식·설정'!$B$7</x:f>
        <x:v>53.40234375</x:v>
      </x:c>
      <x:c r="N193" s="65" t="n">
        <x:f>K193/'공식·설정'!$B$7</x:f>
        <x:v>53.40234375</x:v>
      </x:c>
      <x:c r="O193" s="14" t="n">
        <x:v>5</x:v>
      </x:c>
      <x:c r="P193" s="14" t="n">
        <x:f>MIN(32767,MAX(0,INT((K193+INT('공식·설정'!$B$12/2))/'공식·설정'!$B$12)))</x:f>
        <x:v>5</x:v>
      </x:c>
      <x:c r="Q193" s="68" t="n">
        <x:f>P193-O193</x:f>
        <x:v>0</x:v>
      </x:c>
      <x:c r="R193" s="14" t="n">
        <x:v>21248</x:v>
      </x:c>
      <x:c r="S193" s="14" t="n">
        <x:f>P193*'공식·설정'!$B$12+'공식·설정'!$B$14</x:f>
        <x:v>21248</x:v>
      </x:c>
      <x:c r="T193" s="68" t="n">
        <x:f>S193-R193</x:f>
        <x:v>0</x:v>
      </x:c>
      <x:c r="U193" s="65" t="n">
        <x:f>R193/'공식·설정'!$B$7</x:f>
        <x:v>83</x:v>
      </x:c>
      <x:c r="V193" s="65" t="n">
        <x:f>S193/'공식·설정'!$B$7</x:f>
        <x:v>83</x:v>
      </x:c>
      <x:c r="W193" s="14" t="n">
        <x:v>781</x:v>
      </x:c>
      <x:c r="X193" s="14" t="n">
        <x:f>INT(ABS(K194-K193)*'공식·설정'!$B$8/K193)</x:f>
        <x:v>781</x:v>
      </x:c>
      <x:c r="Y193" s="68" t="n">
        <x:f>X193-W193</x:f>
        <x:v>0</x:v>
      </x:c>
      <x:c r="Z193" s="66" t="n">
        <x:f>W193/'공식·설정'!$B$8</x:f>
        <x:v>0.0119171142578125</x:v>
      </x:c>
      <x:c r="AA193" s="66" t="n">
        <x:f>X193/'공식·설정'!$B$8</x:f>
        <x:v>0.0119171142578125</x:v>
      </x:c>
      <x:c r="AB193" s="67" t="str">
        <x:f>IF(AND(I193=0,L193=0,Q193=0,T193=0,Y193=0),"PASS","FAIL")</x:f>
        <x:v>PASS</x:v>
      </x:c>
    </x:row>
    <x:row r="194" ht="18" customHeight="1">
      <x:c r="A194" s="14" t="n">
        <x:v>297</x:v>
      </x:c>
      <x:c r="B194" s="14" t="n">
        <x:v>189</x:v>
      </x:c>
      <x:c r="C194" s="14" t="n">
        <x:v>294</x:v>
      </x:c>
      <x:c r="D194" s="14" t="n">
        <x:v>2050</x:v>
      </x:c>
      <x:c r="E194" s="14" t="n">
        <x:v>308</x:v>
      </x:c>
      <x:c r="F194" s="14" t="n">
        <x:v>2400</x:v>
      </x:c>
      <x:c r="G194" s="14" t="n">
        <x:v>2125</x:v>
      </x:c>
      <x:c r="H194" s="14" t="n">
        <x:f>INT((F194-D194)*(A194-C194)/(E194-C194))+D194</x:f>
        <x:v>2125</x:v>
      </x:c>
      <x:c r="I194" s="68" t="n">
        <x:f>H194-G194</x:f>
        <x:v>0</x:v>
      </x:c>
      <x:c r="J194" s="14" t="n">
        <x:v>13834</x:v>
      </x:c>
      <x:c r="K194" s="14" t="n">
        <x:f>INT(H194*'공식·설정'!$B$10/'공식·설정'!$B$15)</x:f>
        <x:v>13834</x:v>
      </x:c>
      <x:c r="L194" s="68" t="n">
        <x:f>K194-J194</x:f>
        <x:v>0</x:v>
      </x:c>
      <x:c r="M194" s="65" t="n">
        <x:f>J194/'공식·설정'!$B$7</x:f>
        <x:v>54.0390625</x:v>
      </x:c>
      <x:c r="N194" s="65" t="n">
        <x:f>K194/'공식·설정'!$B$7</x:f>
        <x:v>54.0390625</x:v>
      </x:c>
      <x:c r="O194" s="14" t="n">
        <x:v>5</x:v>
      </x:c>
      <x:c r="P194" s="14" t="n">
        <x:f>MIN(32767,MAX(0,INT((K194+INT('공식·설정'!$B$12/2))/'공식·설정'!$B$12)))</x:f>
        <x:v>5</x:v>
      </x:c>
      <x:c r="Q194" s="68" t="n">
        <x:f>P194-O194</x:f>
        <x:v>0</x:v>
      </x:c>
      <x:c r="R194" s="14" t="n">
        <x:v>21248</x:v>
      </x:c>
      <x:c r="S194" s="14" t="n">
        <x:f>P194*'공식·설정'!$B$12+'공식·설정'!$B$14</x:f>
        <x:v>21248</x:v>
      </x:c>
      <x:c r="T194" s="68" t="n">
        <x:f>S194-R194</x:f>
        <x:v>0</x:v>
      </x:c>
      <x:c r="U194" s="65" t="n">
        <x:f>R194/'공식·설정'!$B$7</x:f>
        <x:v>83</x:v>
      </x:c>
      <x:c r="V194" s="65" t="n">
        <x:f>S194/'공식·설정'!$B$7</x:f>
        <x:v>83</x:v>
      </x:c>
      <x:c r="W194" s="14" t="n">
        <x:v>772</x:v>
      </x:c>
      <x:c r="X194" s="14" t="n">
        <x:f>INT(ABS(K195-K194)*'공식·설정'!$B$8/K194)</x:f>
        <x:v>772</x:v>
      </x:c>
      <x:c r="Y194" s="68" t="n">
        <x:f>X194-W194</x:f>
        <x:v>0</x:v>
      </x:c>
      <x:c r="Z194" s="66" t="n">
        <x:f>W194/'공식·설정'!$B$8</x:f>
        <x:v>0.01177978515625</x:v>
      </x:c>
      <x:c r="AA194" s="66" t="n">
        <x:f>X194/'공식·설정'!$B$8</x:f>
        <x:v>0.01177978515625</x:v>
      </x:c>
      <x:c r="AB194" s="67" t="str">
        <x:f>IF(AND(I194=0,L194=0,Q194=0,T194=0,Y194=0),"PASS","FAIL")</x:f>
        <x:v>PASS</x:v>
      </x:c>
    </x:row>
    <x:row r="195" ht="18" customHeight="1">
      <x:c r="A195" s="14" t="n">
        <x:v>298</x:v>
      </x:c>
      <x:c r="B195" s="14" t="n">
        <x:v>190</x:v>
      </x:c>
      <x:c r="C195" s="14" t="n">
        <x:v>294</x:v>
      </x:c>
      <x:c r="D195" s="14" t="n">
        <x:v>2050</x:v>
      </x:c>
      <x:c r="E195" s="14" t="n">
        <x:v>308</x:v>
      </x:c>
      <x:c r="F195" s="14" t="n">
        <x:v>2400</x:v>
      </x:c>
      <x:c r="G195" s="14" t="n">
        <x:v>2150</x:v>
      </x:c>
      <x:c r="H195" s="14" t="n">
        <x:f>INT((F195-D195)*(A195-C195)/(E195-C195))+D195</x:f>
        <x:v>2150</x:v>
      </x:c>
      <x:c r="I195" s="68" t="n">
        <x:f>H195-G195</x:f>
        <x:v>0</x:v>
      </x:c>
      <x:c r="J195" s="14" t="n">
        <x:v>13997</x:v>
      </x:c>
      <x:c r="K195" s="14" t="n">
        <x:f>INT(H195*'공식·설정'!$B$10/'공식·설정'!$B$15)</x:f>
        <x:v>13997</x:v>
      </x:c>
      <x:c r="L195" s="68" t="n">
        <x:f>K195-J195</x:f>
        <x:v>0</x:v>
      </x:c>
      <x:c r="M195" s="65" t="n">
        <x:f>J195/'공식·설정'!$B$7</x:f>
        <x:v>54.67578125</x:v>
      </x:c>
      <x:c r="N195" s="65" t="n">
        <x:f>K195/'공식·설정'!$B$7</x:f>
        <x:v>54.67578125</x:v>
      </x:c>
      <x:c r="O195" s="14" t="n">
        <x:v>5</x:v>
      </x:c>
      <x:c r="P195" s="14" t="n">
        <x:f>MIN(32767,MAX(0,INT((K195+INT('공식·설정'!$B$12/2))/'공식·설정'!$B$12)))</x:f>
        <x:v>5</x:v>
      </x:c>
      <x:c r="Q195" s="68" t="n">
        <x:f>P195-O195</x:f>
        <x:v>0</x:v>
      </x:c>
      <x:c r="R195" s="14" t="n">
        <x:v>21248</x:v>
      </x:c>
      <x:c r="S195" s="14" t="n">
        <x:f>P195*'공식·설정'!$B$12+'공식·설정'!$B$14</x:f>
        <x:v>21248</x:v>
      </x:c>
      <x:c r="T195" s="68" t="n">
        <x:f>S195-R195</x:f>
        <x:v>0</x:v>
      </x:c>
      <x:c r="U195" s="65" t="n">
        <x:f>R195/'공식·설정'!$B$7</x:f>
        <x:v>83</x:v>
      </x:c>
      <x:c r="V195" s="65" t="n">
        <x:f>S195/'공식·설정'!$B$7</x:f>
        <x:v>83</x:v>
      </x:c>
      <x:c r="W195" s="14" t="n">
        <x:v>758</x:v>
      </x:c>
      <x:c r="X195" s="14" t="n">
        <x:f>INT(ABS(K196-K195)*'공식·설정'!$B$8/K195)</x:f>
        <x:v>758</x:v>
      </x:c>
      <x:c r="Y195" s="68" t="n">
        <x:f>X195-W195</x:f>
        <x:v>0</x:v>
      </x:c>
      <x:c r="Z195" s="66" t="n">
        <x:f>W195/'공식·설정'!$B$8</x:f>
        <x:v>0.011566162109375</x:v>
      </x:c>
      <x:c r="AA195" s="66" t="n">
        <x:f>X195/'공식·설정'!$B$8</x:f>
        <x:v>0.011566162109375</x:v>
      </x:c>
      <x:c r="AB195" s="67" t="str">
        <x:f>IF(AND(I195=0,L195=0,Q195=0,T195=0,Y195=0),"PASS","FAIL")</x:f>
        <x:v>PASS</x:v>
      </x:c>
    </x:row>
    <x:row r="196" ht="18" customHeight="1">
      <x:c r="A196" s="14" t="n">
        <x:v>299</x:v>
      </x:c>
      <x:c r="B196" s="14" t="n">
        <x:v>191</x:v>
      </x:c>
      <x:c r="C196" s="14" t="n">
        <x:v>294</x:v>
      </x:c>
      <x:c r="D196" s="14" t="n">
        <x:v>2050</x:v>
      </x:c>
      <x:c r="E196" s="14" t="n">
        <x:v>308</x:v>
      </x:c>
      <x:c r="F196" s="14" t="n">
        <x:v>2400</x:v>
      </x:c>
      <x:c r="G196" s="14" t="n">
        <x:v>2175</x:v>
      </x:c>
      <x:c r="H196" s="14" t="n">
        <x:f>INT((F196-D196)*(A196-C196)/(E196-C196))+D196</x:f>
        <x:v>2175</x:v>
      </x:c>
      <x:c r="I196" s="68" t="n">
        <x:f>H196-G196</x:f>
        <x:v>0</x:v>
      </x:c>
      <x:c r="J196" s="14" t="n">
        <x:v>14159</x:v>
      </x:c>
      <x:c r="K196" s="14" t="n">
        <x:f>INT(H196*'공식·설정'!$B$10/'공식·설정'!$B$15)</x:f>
        <x:v>14159</x:v>
      </x:c>
      <x:c r="L196" s="68" t="n">
        <x:f>K196-J196</x:f>
        <x:v>0</x:v>
      </x:c>
      <x:c r="M196" s="65" t="n">
        <x:f>J196/'공식·설정'!$B$7</x:f>
        <x:v>55.30859375</x:v>
      </x:c>
      <x:c r="N196" s="65" t="n">
        <x:f>K196/'공식·설정'!$B$7</x:f>
        <x:v>55.30859375</x:v>
      </x:c>
      <x:c r="O196" s="14" t="n">
        <x:v>6</x:v>
      </x:c>
      <x:c r="P196" s="14" t="n">
        <x:f>MIN(32767,MAX(0,INT((K196+INT('공식·설정'!$B$12/2))/'공식·설정'!$B$12)))</x:f>
        <x:v>6</x:v>
      </x:c>
      <x:c r="Q196" s="68" t="n">
        <x:f>P196-O196</x:f>
        <x:v>0</x:v>
      </x:c>
      <x:c r="R196" s="14" t="n">
        <x:v>23808</x:v>
      </x:c>
      <x:c r="S196" s="14" t="n">
        <x:f>P196*'공식·설정'!$B$12+'공식·설정'!$B$14</x:f>
        <x:v>23808</x:v>
      </x:c>
      <x:c r="T196" s="68" t="n">
        <x:f>S196-R196</x:f>
        <x:v>0</x:v>
      </x:c>
      <x:c r="U196" s="65" t="n">
        <x:f>R196/'공식·설정'!$B$7</x:f>
        <x:v>93</x:v>
      </x:c>
      <x:c r="V196" s="65" t="n">
        <x:f>S196/'공식·설정'!$B$7</x:f>
        <x:v>93</x:v>
      </x:c>
      <x:c r="W196" s="14" t="n">
        <x:v>754</x:v>
      </x:c>
      <x:c r="X196" s="14" t="n">
        <x:f>INT(ABS(K197-K196)*'공식·설정'!$B$8/K196)</x:f>
        <x:v>754</x:v>
      </x:c>
      <x:c r="Y196" s="68" t="n">
        <x:f>X196-W196</x:f>
        <x:v>0</x:v>
      </x:c>
      <x:c r="Z196" s="66" t="n">
        <x:f>W196/'공식·설정'!$B$8</x:f>
        <x:v>0.011505126953125</x:v>
      </x:c>
      <x:c r="AA196" s="66" t="n">
        <x:f>X196/'공식·설정'!$B$8</x:f>
        <x:v>0.011505126953125</x:v>
      </x:c>
      <x:c r="AB196" s="67" t="str">
        <x:f>IF(AND(I196=0,L196=0,Q196=0,T196=0,Y196=0),"PASS","FAIL")</x:f>
        <x:v>PASS</x:v>
      </x:c>
    </x:row>
    <x:row r="197" ht="18" customHeight="1">
      <x:c r="A197" s="14" t="n">
        <x:v>300</x:v>
      </x:c>
      <x:c r="B197" s="14" t="n">
        <x:v>192</x:v>
      </x:c>
      <x:c r="C197" s="14" t="n">
        <x:v>294</x:v>
      </x:c>
      <x:c r="D197" s="14" t="n">
        <x:v>2050</x:v>
      </x:c>
      <x:c r="E197" s="14" t="n">
        <x:v>308</x:v>
      </x:c>
      <x:c r="F197" s="14" t="n">
        <x:v>2400</x:v>
      </x:c>
      <x:c r="G197" s="14" t="n">
        <x:v>2200</x:v>
      </x:c>
      <x:c r="H197" s="14" t="n">
        <x:f>INT((F197-D197)*(A197-C197)/(E197-C197))+D197</x:f>
        <x:v>2200</x:v>
      </x:c>
      <x:c r="I197" s="68" t="n">
        <x:f>H197-G197</x:f>
        <x:v>0</x:v>
      </x:c>
      <x:c r="J197" s="14" t="n">
        <x:v>14322</x:v>
      </x:c>
      <x:c r="K197" s="14" t="n">
        <x:f>INT(H197*'공식·설정'!$B$10/'공식·설정'!$B$15)</x:f>
        <x:v>14322</x:v>
      </x:c>
      <x:c r="L197" s="68" t="n">
        <x:f>K197-J197</x:f>
        <x:v>0</x:v>
      </x:c>
      <x:c r="M197" s="65" t="n">
        <x:f>J197/'공식·설정'!$B$7</x:f>
        <x:v>55.9453125</x:v>
      </x:c>
      <x:c r="N197" s="65" t="n">
        <x:f>K197/'공식·설정'!$B$7</x:f>
        <x:v>55.9453125</x:v>
      </x:c>
      <x:c r="O197" s="14" t="n">
        <x:v>6</x:v>
      </x:c>
      <x:c r="P197" s="14" t="n">
        <x:f>MIN(32767,MAX(0,INT((K197+INT('공식·설정'!$B$12/2))/'공식·설정'!$B$12)))</x:f>
        <x:v>6</x:v>
      </x:c>
      <x:c r="Q197" s="68" t="n">
        <x:f>P197-O197</x:f>
        <x:v>0</x:v>
      </x:c>
      <x:c r="R197" s="14" t="n">
        <x:v>23808</x:v>
      </x:c>
      <x:c r="S197" s="14" t="n">
        <x:f>P197*'공식·설정'!$B$12+'공식·설정'!$B$14</x:f>
        <x:v>23808</x:v>
      </x:c>
      <x:c r="T197" s="68" t="n">
        <x:f>S197-R197</x:f>
        <x:v>0</x:v>
      </x:c>
      <x:c r="U197" s="65" t="n">
        <x:f>R197/'공식·설정'!$B$7</x:f>
        <x:v>93</x:v>
      </x:c>
      <x:c r="V197" s="65" t="n">
        <x:f>S197/'공식·설정'!$B$7</x:f>
        <x:v>93</x:v>
      </x:c>
      <x:c r="W197" s="14" t="n">
        <x:v>745</x:v>
      </x:c>
      <x:c r="X197" s="14" t="n">
        <x:f>INT(ABS(K198-K197)*'공식·설정'!$B$8/K197)</x:f>
        <x:v>745</x:v>
      </x:c>
      <x:c r="Y197" s="68" t="n">
        <x:f>X197-W197</x:f>
        <x:v>0</x:v>
      </x:c>
      <x:c r="Z197" s="66" t="n">
        <x:f>W197/'공식·설정'!$B$8</x:f>
        <x:v>0.0113677978515625</x:v>
      </x:c>
      <x:c r="AA197" s="66" t="n">
        <x:f>X197/'공식·설정'!$B$8</x:f>
        <x:v>0.0113677978515625</x:v>
      </x:c>
      <x:c r="AB197" s="67" t="str">
        <x:f>IF(AND(I197=0,L197=0,Q197=0,T197=0,Y197=0),"PASS","FAIL")</x:f>
        <x:v>PASS</x:v>
      </x:c>
    </x:row>
    <x:row r="198" ht="18" customHeight="1">
      <x:c r="A198" s="14" t="n">
        <x:v>301</x:v>
      </x:c>
      <x:c r="B198" s="14" t="n">
        <x:v>193</x:v>
      </x:c>
      <x:c r="C198" s="14" t="n">
        <x:v>294</x:v>
      </x:c>
      <x:c r="D198" s="14" t="n">
        <x:v>2050</x:v>
      </x:c>
      <x:c r="E198" s="14" t="n">
        <x:v>308</x:v>
      </x:c>
      <x:c r="F198" s="14" t="n">
        <x:v>2400</x:v>
      </x:c>
      <x:c r="G198" s="14" t="n">
        <x:v>2225</x:v>
      </x:c>
      <x:c r="H198" s="14" t="n">
        <x:f>INT((F198-D198)*(A198-C198)/(E198-C198))+D198</x:f>
        <x:v>2225</x:v>
      </x:c>
      <x:c r="I198" s="68" t="n">
        <x:f>H198-G198</x:f>
        <x:v>0</x:v>
      </x:c>
      <x:c r="J198" s="14" t="n">
        <x:v>14485</x:v>
      </x:c>
      <x:c r="K198" s="14" t="n">
        <x:f>INT(H198*'공식·설정'!$B$10/'공식·설정'!$B$15)</x:f>
        <x:v>14485</x:v>
      </x:c>
      <x:c r="L198" s="68" t="n">
        <x:f>K198-J198</x:f>
        <x:v>0</x:v>
      </x:c>
      <x:c r="M198" s="65" t="n">
        <x:f>J198/'공식·설정'!$B$7</x:f>
        <x:v>56.58203125</x:v>
      </x:c>
      <x:c r="N198" s="65" t="n">
        <x:f>K198/'공식·설정'!$B$7</x:f>
        <x:v>56.58203125</x:v>
      </x:c>
      <x:c r="O198" s="14" t="n">
        <x:v>6</x:v>
      </x:c>
      <x:c r="P198" s="14" t="n">
        <x:f>MIN(32767,MAX(0,INT((K198+INT('공식·설정'!$B$12/2))/'공식·설정'!$B$12)))</x:f>
        <x:v>6</x:v>
      </x:c>
      <x:c r="Q198" s="68" t="n">
        <x:f>P198-O198</x:f>
        <x:v>0</x:v>
      </x:c>
      <x:c r="R198" s="14" t="n">
        <x:v>23808</x:v>
      </x:c>
      <x:c r="S198" s="14" t="n">
        <x:f>P198*'공식·설정'!$B$12+'공식·설정'!$B$14</x:f>
        <x:v>23808</x:v>
      </x:c>
      <x:c r="T198" s="68" t="n">
        <x:f>S198-R198</x:f>
        <x:v>0</x:v>
      </x:c>
      <x:c r="U198" s="65" t="n">
        <x:f>R198/'공식·설정'!$B$7</x:f>
        <x:v>93</x:v>
      </x:c>
      <x:c r="V198" s="65" t="n">
        <x:f>S198/'공식·설정'!$B$7</x:f>
        <x:v>93</x:v>
      </x:c>
      <x:c r="W198" s="14" t="n">
        <x:v>737</x:v>
      </x:c>
      <x:c r="X198" s="14" t="n">
        <x:f>INT(ABS(K199-K198)*'공식·설정'!$B$8/K198)</x:f>
        <x:v>737</x:v>
      </x:c>
      <x:c r="Y198" s="68" t="n">
        <x:f>X198-W198</x:f>
        <x:v>0</x:v>
      </x:c>
      <x:c r="Z198" s="66" t="n">
        <x:f>W198/'공식·설정'!$B$8</x:f>
        <x:v>0.0112457275390625</x:v>
      </x:c>
      <x:c r="AA198" s="66" t="n">
        <x:f>X198/'공식·설정'!$B$8</x:f>
        <x:v>0.0112457275390625</x:v>
      </x:c>
      <x:c r="AB198" s="67" t="str">
        <x:f>IF(AND(I198=0,L198=0,Q198=0,T198=0,Y198=0),"PASS","FAIL")</x:f>
        <x:v>PASS</x:v>
      </x:c>
    </x:row>
    <x:row r="199" ht="18" customHeight="1">
      <x:c r="A199" s="14" t="n">
        <x:v>302</x:v>
      </x:c>
      <x:c r="B199" s="14" t="n">
        <x:v>194</x:v>
      </x:c>
      <x:c r="C199" s="14" t="n">
        <x:v>294</x:v>
      </x:c>
      <x:c r="D199" s="14" t="n">
        <x:v>2050</x:v>
      </x:c>
      <x:c r="E199" s="14" t="n">
        <x:v>308</x:v>
      </x:c>
      <x:c r="F199" s="14" t="n">
        <x:v>2400</x:v>
      </x:c>
      <x:c r="G199" s="14" t="n">
        <x:v>2250</x:v>
      </x:c>
      <x:c r="H199" s="14" t="n">
        <x:f>INT((F199-D199)*(A199-C199)/(E199-C199))+D199</x:f>
        <x:v>2250</x:v>
      </x:c>
      <x:c r="I199" s="68" t="n">
        <x:f>H199-G199</x:f>
        <x:v>0</x:v>
      </x:c>
      <x:c r="J199" s="14" t="n">
        <x:v>14648</x:v>
      </x:c>
      <x:c r="K199" s="14" t="n">
        <x:f>INT(H199*'공식·설정'!$B$10/'공식·설정'!$B$15)</x:f>
        <x:v>14648</x:v>
      </x:c>
      <x:c r="L199" s="68" t="n">
        <x:f>K199-J199</x:f>
        <x:v>0</x:v>
      </x:c>
      <x:c r="M199" s="65" t="n">
        <x:f>J199/'공식·설정'!$B$7</x:f>
        <x:v>57.21875</x:v>
      </x:c>
      <x:c r="N199" s="65" t="n">
        <x:f>K199/'공식·설정'!$B$7</x:f>
        <x:v>57.21875</x:v>
      </x:c>
      <x:c r="O199" s="14" t="n">
        <x:v>6</x:v>
      </x:c>
      <x:c r="P199" s="14" t="n">
        <x:f>MIN(32767,MAX(0,INT((K199+INT('공식·설정'!$B$12/2))/'공식·설정'!$B$12)))</x:f>
        <x:v>6</x:v>
      </x:c>
      <x:c r="Q199" s="68" t="n">
        <x:f>P199-O199</x:f>
        <x:v>0</x:v>
      </x:c>
      <x:c r="R199" s="14" t="n">
        <x:v>23808</x:v>
      </x:c>
      <x:c r="S199" s="14" t="n">
        <x:f>P199*'공식·설정'!$B$12+'공식·설정'!$B$14</x:f>
        <x:v>23808</x:v>
      </x:c>
      <x:c r="T199" s="68" t="n">
        <x:f>S199-R199</x:f>
        <x:v>0</x:v>
      </x:c>
      <x:c r="U199" s="65" t="n">
        <x:f>R199/'공식·설정'!$B$7</x:f>
        <x:v>93</x:v>
      </x:c>
      <x:c r="V199" s="65" t="n">
        <x:f>S199/'공식·설정'!$B$7</x:f>
        <x:v>93</x:v>
      </x:c>
      <x:c r="W199" s="14" t="n">
        <x:v>724</x:v>
      </x:c>
      <x:c r="X199" s="14" t="n">
        <x:f>INT(ABS(K200-K199)*'공식·설정'!$B$8/K199)</x:f>
        <x:v>724</x:v>
      </x:c>
      <x:c r="Y199" s="68" t="n">
        <x:f>X199-W199</x:f>
        <x:v>0</x:v>
      </x:c>
      <x:c r="Z199" s="66" t="n">
        <x:f>W199/'공식·설정'!$B$8</x:f>
        <x:v>0.01104736328125</x:v>
      </x:c>
      <x:c r="AA199" s="66" t="n">
        <x:f>X199/'공식·설정'!$B$8</x:f>
        <x:v>0.01104736328125</x:v>
      </x:c>
      <x:c r="AB199" s="67" t="str">
        <x:f>IF(AND(I199=0,L199=0,Q199=0,T199=0,Y199=0),"PASS","FAIL")</x:f>
        <x:v>PASS</x:v>
      </x:c>
    </x:row>
    <x:row r="200" ht="18" customHeight="1">
      <x:c r="A200" s="14" t="n">
        <x:v>303</x:v>
      </x:c>
      <x:c r="B200" s="14" t="n">
        <x:v>195</x:v>
      </x:c>
      <x:c r="C200" s="14" t="n">
        <x:v>294</x:v>
      </x:c>
      <x:c r="D200" s="14" t="n">
        <x:v>2050</x:v>
      </x:c>
      <x:c r="E200" s="14" t="n">
        <x:v>308</x:v>
      </x:c>
      <x:c r="F200" s="14" t="n">
        <x:v>2400</x:v>
      </x:c>
      <x:c r="G200" s="14" t="n">
        <x:v>2275</x:v>
      </x:c>
      <x:c r="H200" s="14" t="n">
        <x:f>INT((F200-D200)*(A200-C200)/(E200-C200))+D200</x:f>
        <x:v>2275</x:v>
      </x:c>
      <x:c r="I200" s="68" t="n">
        <x:f>H200-G200</x:f>
        <x:v>0</x:v>
      </x:c>
      <x:c r="J200" s="14" t="n">
        <x:v>14810</x:v>
      </x:c>
      <x:c r="K200" s="14" t="n">
        <x:f>INT(H200*'공식·설정'!$B$10/'공식·설정'!$B$15)</x:f>
        <x:v>14810</x:v>
      </x:c>
      <x:c r="L200" s="68" t="n">
        <x:f>K200-J200</x:f>
        <x:v>0</x:v>
      </x:c>
      <x:c r="M200" s="65" t="n">
        <x:f>J200/'공식·설정'!$B$7</x:f>
        <x:v>57.8515625</x:v>
      </x:c>
      <x:c r="N200" s="65" t="n">
        <x:f>K200/'공식·설정'!$B$7</x:f>
        <x:v>57.8515625</x:v>
      </x:c>
      <x:c r="O200" s="14" t="n">
        <x:v>6</x:v>
      </x:c>
      <x:c r="P200" s="14" t="n">
        <x:f>MIN(32767,MAX(0,INT((K200+INT('공식·설정'!$B$12/2))/'공식·설정'!$B$12)))</x:f>
        <x:v>6</x:v>
      </x:c>
      <x:c r="Q200" s="68" t="n">
        <x:f>P200-O200</x:f>
        <x:v>0</x:v>
      </x:c>
      <x:c r="R200" s="14" t="n">
        <x:v>23808</x:v>
      </x:c>
      <x:c r="S200" s="14" t="n">
        <x:f>P200*'공식·설정'!$B$12+'공식·설정'!$B$14</x:f>
        <x:v>23808</x:v>
      </x:c>
      <x:c r="T200" s="68" t="n">
        <x:f>S200-R200</x:f>
        <x:v>0</x:v>
      </x:c>
      <x:c r="U200" s="65" t="n">
        <x:f>R200/'공식·설정'!$B$7</x:f>
        <x:v>93</x:v>
      </x:c>
      <x:c r="V200" s="65" t="n">
        <x:f>S200/'공식·설정'!$B$7</x:f>
        <x:v>93</x:v>
      </x:c>
      <x:c r="W200" s="14" t="n">
        <x:v>721</x:v>
      </x:c>
      <x:c r="X200" s="14" t="n">
        <x:f>INT(ABS(K201-K200)*'공식·설정'!$B$8/K200)</x:f>
        <x:v>721</x:v>
      </x:c>
      <x:c r="Y200" s="68" t="n">
        <x:f>X200-W200</x:f>
        <x:v>0</x:v>
      </x:c>
      <x:c r="Z200" s="66" t="n">
        <x:f>W200/'공식·설정'!$B$8</x:f>
        <x:v>0.0110015869140625</x:v>
      </x:c>
      <x:c r="AA200" s="66" t="n">
        <x:f>X200/'공식·설정'!$B$8</x:f>
        <x:v>0.0110015869140625</x:v>
      </x:c>
      <x:c r="AB200" s="67" t="str">
        <x:f>IF(AND(I200=0,L200=0,Q200=0,T200=0,Y200=0),"PASS","FAIL")</x:f>
        <x:v>PASS</x:v>
      </x:c>
    </x:row>
    <x:row r="201" ht="18" customHeight="1">
      <x:c r="A201" s="14" t="n">
        <x:v>304</x:v>
      </x:c>
      <x:c r="B201" s="14" t="n">
        <x:v>196</x:v>
      </x:c>
      <x:c r="C201" s="14" t="n">
        <x:v>294</x:v>
      </x:c>
      <x:c r="D201" s="14" t="n">
        <x:v>2050</x:v>
      </x:c>
      <x:c r="E201" s="14" t="n">
        <x:v>308</x:v>
      </x:c>
      <x:c r="F201" s="14" t="n">
        <x:v>2400</x:v>
      </x:c>
      <x:c r="G201" s="14" t="n">
        <x:v>2300</x:v>
      </x:c>
      <x:c r="H201" s="14" t="n">
        <x:f>INT((F201-D201)*(A201-C201)/(E201-C201))+D201</x:f>
        <x:v>2300</x:v>
      </x:c>
      <x:c r="I201" s="68" t="n">
        <x:f>H201-G201</x:f>
        <x:v>0</x:v>
      </x:c>
      <x:c r="J201" s="14" t="n">
        <x:v>14973</x:v>
      </x:c>
      <x:c r="K201" s="14" t="n">
        <x:f>INT(H201*'공식·설정'!$B$10/'공식·설정'!$B$15)</x:f>
        <x:v>14973</x:v>
      </x:c>
      <x:c r="L201" s="68" t="n">
        <x:f>K201-J201</x:f>
        <x:v>0</x:v>
      </x:c>
      <x:c r="M201" s="65" t="n">
        <x:f>J201/'공식·설정'!$B$7</x:f>
        <x:v>58.48828125</x:v>
      </x:c>
      <x:c r="N201" s="65" t="n">
        <x:f>K201/'공식·설정'!$B$7</x:f>
        <x:v>58.48828125</x:v>
      </x:c>
      <x:c r="O201" s="14" t="n">
        <x:v>6</x:v>
      </x:c>
      <x:c r="P201" s="14" t="n">
        <x:f>MIN(32767,MAX(0,INT((K201+INT('공식·설정'!$B$12/2))/'공식·설정'!$B$12)))</x:f>
        <x:v>6</x:v>
      </x:c>
      <x:c r="Q201" s="68" t="n">
        <x:f>P201-O201</x:f>
        <x:v>0</x:v>
      </x:c>
      <x:c r="R201" s="14" t="n">
        <x:v>23808</x:v>
      </x:c>
      <x:c r="S201" s="14" t="n">
        <x:f>P201*'공식·설정'!$B$12+'공식·설정'!$B$14</x:f>
        <x:v>23808</x:v>
      </x:c>
      <x:c r="T201" s="68" t="n">
        <x:f>S201-R201</x:f>
        <x:v>0</x:v>
      </x:c>
      <x:c r="U201" s="65" t="n">
        <x:f>R201/'공식·설정'!$B$7</x:f>
        <x:v>93</x:v>
      </x:c>
      <x:c r="V201" s="65" t="n">
        <x:f>S201/'공식·설정'!$B$7</x:f>
        <x:v>93</x:v>
      </x:c>
      <x:c r="W201" s="14" t="n">
        <x:v>713</x:v>
      </x:c>
      <x:c r="X201" s="14" t="n">
        <x:f>INT(ABS(K202-K201)*'공식·설정'!$B$8/K201)</x:f>
        <x:v>713</x:v>
      </x:c>
      <x:c r="Y201" s="68" t="n">
        <x:f>X201-W201</x:f>
        <x:v>0</x:v>
      </x:c>
      <x:c r="Z201" s="66" t="n">
        <x:f>W201/'공식·설정'!$B$8</x:f>
        <x:v>0.0108795166015625</x:v>
      </x:c>
      <x:c r="AA201" s="66" t="n">
        <x:f>X201/'공식·설정'!$B$8</x:f>
        <x:v>0.0108795166015625</x:v>
      </x:c>
      <x:c r="AB201" s="67" t="str">
        <x:f>IF(AND(I201=0,L201=0,Q201=0,T201=0,Y201=0),"PASS","FAIL")</x:f>
        <x:v>PASS</x:v>
      </x:c>
    </x:row>
    <x:row r="202" ht="18" customHeight="1">
      <x:c r="A202" s="14" t="n">
        <x:v>305</x:v>
      </x:c>
      <x:c r="B202" s="14" t="n">
        <x:v>197</x:v>
      </x:c>
      <x:c r="C202" s="14" t="n">
        <x:v>294</x:v>
      </x:c>
      <x:c r="D202" s="14" t="n">
        <x:v>2050</x:v>
      </x:c>
      <x:c r="E202" s="14" t="n">
        <x:v>308</x:v>
      </x:c>
      <x:c r="F202" s="14" t="n">
        <x:v>2400</x:v>
      </x:c>
      <x:c r="G202" s="14" t="n">
        <x:v>2325</x:v>
      </x:c>
      <x:c r="H202" s="14" t="n">
        <x:f>INT((F202-D202)*(A202-C202)/(E202-C202))+D202</x:f>
        <x:v>2325</x:v>
      </x:c>
      <x:c r="I202" s="68" t="n">
        <x:f>H202-G202</x:f>
        <x:v>0</x:v>
      </x:c>
      <x:c r="J202" s="14" t="n">
        <x:v>15136</x:v>
      </x:c>
      <x:c r="K202" s="14" t="n">
        <x:f>INT(H202*'공식·설정'!$B$10/'공식·설정'!$B$15)</x:f>
        <x:v>15136</x:v>
      </x:c>
      <x:c r="L202" s="68" t="n">
        <x:f>K202-J202</x:f>
        <x:v>0</x:v>
      </x:c>
      <x:c r="M202" s="65" t="n">
        <x:f>J202/'공식·설정'!$B$7</x:f>
        <x:v>59.125</x:v>
      </x:c>
      <x:c r="N202" s="65" t="n">
        <x:f>K202/'공식·설정'!$B$7</x:f>
        <x:v>59.125</x:v>
      </x:c>
      <x:c r="O202" s="14" t="n">
        <x:v>6</x:v>
      </x:c>
      <x:c r="P202" s="14" t="n">
        <x:f>MIN(32767,MAX(0,INT((K202+INT('공식·설정'!$B$12/2))/'공식·설정'!$B$12)))</x:f>
        <x:v>6</x:v>
      </x:c>
      <x:c r="Q202" s="68" t="n">
        <x:f>P202-O202</x:f>
        <x:v>0</x:v>
      </x:c>
      <x:c r="R202" s="14" t="n">
        <x:v>23808</x:v>
      </x:c>
      <x:c r="S202" s="14" t="n">
        <x:f>P202*'공식·설정'!$B$12+'공식·설정'!$B$14</x:f>
        <x:v>23808</x:v>
      </x:c>
      <x:c r="T202" s="68" t="n">
        <x:f>S202-R202</x:f>
        <x:v>0</x:v>
      </x:c>
      <x:c r="U202" s="65" t="n">
        <x:f>R202/'공식·설정'!$B$7</x:f>
        <x:v>93</x:v>
      </x:c>
      <x:c r="V202" s="65" t="n">
        <x:f>S202/'공식·설정'!$B$7</x:f>
        <x:v>93</x:v>
      </x:c>
      <x:c r="W202" s="14" t="n">
        <x:v>705</x:v>
      </x:c>
      <x:c r="X202" s="14" t="n">
        <x:f>INT(ABS(K203-K202)*'공식·설정'!$B$8/K202)</x:f>
        <x:v>705</x:v>
      </x:c>
      <x:c r="Y202" s="68" t="n">
        <x:f>X202-W202</x:f>
        <x:v>0</x:v>
      </x:c>
      <x:c r="Z202" s="66" t="n">
        <x:f>W202/'공식·설정'!$B$8</x:f>
        <x:v>0.0107574462890625</x:v>
      </x:c>
      <x:c r="AA202" s="66" t="n">
        <x:f>X202/'공식·설정'!$B$8</x:f>
        <x:v>0.0107574462890625</x:v>
      </x:c>
      <x:c r="AB202" s="67" t="str">
        <x:f>IF(AND(I202=0,L202=0,Q202=0,T202=0,Y202=0),"PASS","FAIL")</x:f>
        <x:v>PASS</x:v>
      </x:c>
    </x:row>
    <x:row r="203" ht="18" customHeight="1">
      <x:c r="A203" s="14" t="n">
        <x:v>306</x:v>
      </x:c>
      <x:c r="B203" s="14" t="n">
        <x:v>198</x:v>
      </x:c>
      <x:c r="C203" s="14" t="n">
        <x:v>294</x:v>
      </x:c>
      <x:c r="D203" s="14" t="n">
        <x:v>2050</x:v>
      </x:c>
      <x:c r="E203" s="14" t="n">
        <x:v>308</x:v>
      </x:c>
      <x:c r="F203" s="14" t="n">
        <x:v>2400</x:v>
      </x:c>
      <x:c r="G203" s="14" t="n">
        <x:v>2350</x:v>
      </x:c>
      <x:c r="H203" s="14" t="n">
        <x:f>INT((F203-D203)*(A203-C203)/(E203-C203))+D203</x:f>
        <x:v>2350</x:v>
      </x:c>
      <x:c r="I203" s="68" t="n">
        <x:f>H203-G203</x:f>
        <x:v>0</x:v>
      </x:c>
      <x:c r="J203" s="14" t="n">
        <x:v>15299</x:v>
      </x:c>
      <x:c r="K203" s="14" t="n">
        <x:f>INT(H203*'공식·설정'!$B$10/'공식·설정'!$B$15)</x:f>
        <x:v>15299</x:v>
      </x:c>
      <x:c r="L203" s="68" t="n">
        <x:f>K203-J203</x:f>
        <x:v>0</x:v>
      </x:c>
      <x:c r="M203" s="65" t="n">
        <x:f>J203/'공식·설정'!$B$7</x:f>
        <x:v>59.76171875</x:v>
      </x:c>
      <x:c r="N203" s="65" t="n">
        <x:f>K203/'공식·설정'!$B$7</x:f>
        <x:v>59.76171875</x:v>
      </x:c>
      <x:c r="O203" s="14" t="n">
        <x:v>6</x:v>
      </x:c>
      <x:c r="P203" s="14" t="n">
        <x:f>MIN(32767,MAX(0,INT((K203+INT('공식·설정'!$B$12/2))/'공식·설정'!$B$12)))</x:f>
        <x:v>6</x:v>
      </x:c>
      <x:c r="Q203" s="68" t="n">
        <x:f>P203-O203</x:f>
        <x:v>0</x:v>
      </x:c>
      <x:c r="R203" s="14" t="n">
        <x:v>23808</x:v>
      </x:c>
      <x:c r="S203" s="14" t="n">
        <x:f>P203*'공식·설정'!$B$12+'공식·설정'!$B$14</x:f>
        <x:v>23808</x:v>
      </x:c>
      <x:c r="T203" s="68" t="n">
        <x:f>S203-R203</x:f>
        <x:v>0</x:v>
      </x:c>
      <x:c r="U203" s="65" t="n">
        <x:f>R203/'공식·설정'!$B$7</x:f>
        <x:v>93</x:v>
      </x:c>
      <x:c r="V203" s="65" t="n">
        <x:f>S203/'공식·설정'!$B$7</x:f>
        <x:v>93</x:v>
      </x:c>
      <x:c r="W203" s="14" t="n">
        <x:v>693</x:v>
      </x:c>
      <x:c r="X203" s="14" t="n">
        <x:f>INT(ABS(K204-K203)*'공식·설정'!$B$8/K203)</x:f>
        <x:v>693</x:v>
      </x:c>
      <x:c r="Y203" s="68" t="n">
        <x:f>X203-W203</x:f>
        <x:v>0</x:v>
      </x:c>
      <x:c r="Z203" s="66" t="n">
        <x:f>W203/'공식·설정'!$B$8</x:f>
        <x:v>0.0105743408203125</x:v>
      </x:c>
      <x:c r="AA203" s="66" t="n">
        <x:f>X203/'공식·설정'!$B$8</x:f>
        <x:v>0.0105743408203125</x:v>
      </x:c>
      <x:c r="AB203" s="67" t="str">
        <x:f>IF(AND(I203=0,L203=0,Q203=0,T203=0,Y203=0),"PASS","FAIL")</x:f>
        <x:v>PASS</x:v>
      </x:c>
    </x:row>
    <x:row r="204" ht="18" customHeight="1">
      <x:c r="A204" s="14" t="n">
        <x:v>307</x:v>
      </x:c>
      <x:c r="B204" s="14" t="n">
        <x:v>199</x:v>
      </x:c>
      <x:c r="C204" s="14" t="n">
        <x:v>294</x:v>
      </x:c>
      <x:c r="D204" s="14" t="n">
        <x:v>2050</x:v>
      </x:c>
      <x:c r="E204" s="14" t="n">
        <x:v>308</x:v>
      </x:c>
      <x:c r="F204" s="14" t="n">
        <x:v>2400</x:v>
      </x:c>
      <x:c r="G204" s="14" t="n">
        <x:v>2375</x:v>
      </x:c>
      <x:c r="H204" s="14" t="n">
        <x:f>INT((F204-D204)*(A204-C204)/(E204-C204))+D204</x:f>
        <x:v>2375</x:v>
      </x:c>
      <x:c r="I204" s="68" t="n">
        <x:f>H204-G204</x:f>
        <x:v>0</x:v>
      </x:c>
      <x:c r="J204" s="14" t="n">
        <x:v>15461</x:v>
      </x:c>
      <x:c r="K204" s="14" t="n">
        <x:f>INT(H204*'공식·설정'!$B$10/'공식·설정'!$B$15)</x:f>
        <x:v>15461</x:v>
      </x:c>
      <x:c r="L204" s="68" t="n">
        <x:f>K204-J204</x:f>
        <x:v>0</x:v>
      </x:c>
      <x:c r="M204" s="65" t="n">
        <x:f>J204/'공식·설정'!$B$7</x:f>
        <x:v>60.39453125</x:v>
      </x:c>
      <x:c r="N204" s="65" t="n">
        <x:f>K204/'공식·설정'!$B$7</x:f>
        <x:v>60.39453125</x:v>
      </x:c>
      <x:c r="O204" s="14" t="n">
        <x:v>6</x:v>
      </x:c>
      <x:c r="P204" s="14" t="n">
        <x:f>MIN(32767,MAX(0,INT((K204+INT('공식·설정'!$B$12/2))/'공식·설정'!$B$12)))</x:f>
        <x:v>6</x:v>
      </x:c>
      <x:c r="Q204" s="68" t="n">
        <x:f>P204-O204</x:f>
        <x:v>0</x:v>
      </x:c>
      <x:c r="R204" s="14" t="n">
        <x:v>23808</x:v>
      </x:c>
      <x:c r="S204" s="14" t="n">
        <x:f>P204*'공식·설정'!$B$12+'공식·설정'!$B$14</x:f>
        <x:v>23808</x:v>
      </x:c>
      <x:c r="T204" s="68" t="n">
        <x:f>S204-R204</x:f>
        <x:v>0</x:v>
      </x:c>
      <x:c r="U204" s="65" t="n">
        <x:f>R204/'공식·설정'!$B$7</x:f>
        <x:v>93</x:v>
      </x:c>
      <x:c r="V204" s="65" t="n">
        <x:f>S204/'공식·설정'!$B$7</x:f>
        <x:v>93</x:v>
      </x:c>
      <x:c r="W204" s="14" t="n">
        <x:v>690</x:v>
      </x:c>
      <x:c r="X204" s="14" t="n">
        <x:f>INT(ABS(K205-K204)*'공식·설정'!$B$8/K204)</x:f>
        <x:v>690</x:v>
      </x:c>
      <x:c r="Y204" s="68" t="n">
        <x:f>X204-W204</x:f>
        <x:v>0</x:v>
      </x:c>
      <x:c r="Z204" s="66" t="n">
        <x:f>W204/'공식·설정'!$B$8</x:f>
        <x:v>0.010528564453125</x:v>
      </x:c>
      <x:c r="AA204" s="66" t="n">
        <x:f>X204/'공식·설정'!$B$8</x:f>
        <x:v>0.010528564453125</x:v>
      </x:c>
      <x:c r="AB204" s="67" t="str">
        <x:f>IF(AND(I204=0,L204=0,Q204=0,T204=0,Y204=0),"PASS","FAIL")</x:f>
        <x:v>PASS</x:v>
      </x:c>
    </x:row>
    <x:row r="205" ht="18" customHeight="1">
      <x:c r="A205" s="14" t="n">
        <x:v>308</x:v>
      </x:c>
      <x:c r="B205" s="14" t="n">
        <x:v>200</x:v>
      </x:c>
      <x:c r="C205" s="14" t="n">
        <x:v>308</x:v>
      </x:c>
      <x:c r="D205" s="14" t="n">
        <x:v>2400</x:v>
      </x:c>
      <x:c r="E205" s="14" t="n">
        <x:v>322</x:v>
      </x:c>
      <x:c r="F205" s="14" t="n">
        <x:v>2806</x:v>
      </x:c>
      <x:c r="G205" s="14" t="n">
        <x:v>2400</x:v>
      </x:c>
      <x:c r="H205" s="14" t="n">
        <x:f>INT((F205-D205)*(A205-C205)/(E205-C205))+D205</x:f>
        <x:v>2400</x:v>
      </x:c>
      <x:c r="I205" s="68" t="n">
        <x:f>H205-G205</x:f>
        <x:v>0</x:v>
      </x:c>
      <x:c r="J205" s="14" t="n">
        <x:v>15624</x:v>
      </x:c>
      <x:c r="K205" s="14" t="n">
        <x:f>INT(H205*'공식·설정'!$B$10/'공식·설정'!$B$15)</x:f>
        <x:v>15624</x:v>
      </x:c>
      <x:c r="L205" s="68" t="n">
        <x:f>K205-J205</x:f>
        <x:v>0</x:v>
      </x:c>
      <x:c r="M205" s="65" t="n">
        <x:f>J205/'공식·설정'!$B$7</x:f>
        <x:v>61.03125</x:v>
      </x:c>
      <x:c r="N205" s="65" t="n">
        <x:f>K205/'공식·설정'!$B$7</x:f>
        <x:v>61.03125</x:v>
      </x:c>
      <x:c r="O205" s="14" t="n">
        <x:v>6</x:v>
      </x:c>
      <x:c r="P205" s="14" t="n">
        <x:f>MIN(32767,MAX(0,INT((K205+INT('공식·설정'!$B$12/2))/'공식·설정'!$B$12)))</x:f>
        <x:v>6</x:v>
      </x:c>
      <x:c r="Q205" s="68" t="n">
        <x:f>P205-O205</x:f>
        <x:v>0</x:v>
      </x:c>
      <x:c r="R205" s="14" t="n">
        <x:v>23808</x:v>
      </x:c>
      <x:c r="S205" s="14" t="n">
        <x:f>P205*'공식·설정'!$B$12+'공식·설정'!$B$14</x:f>
        <x:v>23808</x:v>
      </x:c>
      <x:c r="T205" s="68" t="n">
        <x:f>S205-R205</x:f>
        <x:v>0</x:v>
      </x:c>
      <x:c r="U205" s="65" t="n">
        <x:f>R205/'공식·설정'!$B$7</x:f>
        <x:v>93</x:v>
      </x:c>
      <x:c r="V205" s="65" t="n">
        <x:f>S205/'공식·설정'!$B$7</x:f>
        <x:v>93</x:v>
      </x:c>
      <x:c r="W205" s="14" t="n">
        <x:v>792</x:v>
      </x:c>
      <x:c r="X205" s="14" t="n">
        <x:f>INT(ABS(K206-K205)*'공식·설정'!$B$8/K205)</x:f>
        <x:v>792</x:v>
      </x:c>
      <x:c r="Y205" s="68" t="n">
        <x:f>X205-W205</x:f>
        <x:v>0</x:v>
      </x:c>
      <x:c r="Z205" s="66" t="n">
        <x:f>W205/'공식·설정'!$B$8</x:f>
        <x:v>0.0120849609375</x:v>
      </x:c>
      <x:c r="AA205" s="66" t="n">
        <x:f>X205/'공식·설정'!$B$8</x:f>
        <x:v>0.0120849609375</x:v>
      </x:c>
      <x:c r="AB205" s="67" t="str">
        <x:f>IF(AND(I205=0,L205=0,Q205=0,T205=0,Y205=0),"PASS","FAIL")</x:f>
        <x:v>PASS</x:v>
      </x:c>
    </x:row>
    <x:row r="206" ht="18" customHeight="1">
      <x:c r="A206" s="14" t="n">
        <x:v>309</x:v>
      </x:c>
      <x:c r="B206" s="14" t="n">
        <x:v>201</x:v>
      </x:c>
      <x:c r="C206" s="14" t="n">
        <x:v>308</x:v>
      </x:c>
      <x:c r="D206" s="14" t="n">
        <x:v>2400</x:v>
      </x:c>
      <x:c r="E206" s="14" t="n">
        <x:v>322</x:v>
      </x:c>
      <x:c r="F206" s="14" t="n">
        <x:v>2806</x:v>
      </x:c>
      <x:c r="G206" s="14" t="n">
        <x:v>2429</x:v>
      </x:c>
      <x:c r="H206" s="14" t="n">
        <x:f>INT((F206-D206)*(A206-C206)/(E206-C206))+D206</x:f>
        <x:v>2429</x:v>
      </x:c>
      <x:c r="I206" s="68" t="n">
        <x:f>H206-G206</x:f>
        <x:v>0</x:v>
      </x:c>
      <x:c r="J206" s="14" t="n">
        <x:v>15813</x:v>
      </x:c>
      <x:c r="K206" s="14" t="n">
        <x:f>INT(H206*'공식·설정'!$B$10/'공식·설정'!$B$15)</x:f>
        <x:v>15813</x:v>
      </x:c>
      <x:c r="L206" s="68" t="n">
        <x:f>K206-J206</x:f>
        <x:v>0</x:v>
      </x:c>
      <x:c r="M206" s="65" t="n">
        <x:f>J206/'공식·설정'!$B$7</x:f>
        <x:v>61.76953125</x:v>
      </x:c>
      <x:c r="N206" s="65" t="n">
        <x:f>K206/'공식·설정'!$B$7</x:f>
        <x:v>61.76953125</x:v>
      </x:c>
      <x:c r="O206" s="14" t="n">
        <x:v>6</x:v>
      </x:c>
      <x:c r="P206" s="14" t="n">
        <x:f>MIN(32767,MAX(0,INT((K206+INT('공식·설정'!$B$12/2))/'공식·설정'!$B$12)))</x:f>
        <x:v>6</x:v>
      </x:c>
      <x:c r="Q206" s="68" t="n">
        <x:f>P206-O206</x:f>
        <x:v>0</x:v>
      </x:c>
      <x:c r="R206" s="14" t="n">
        <x:v>23808</x:v>
      </x:c>
      <x:c r="S206" s="14" t="n">
        <x:f>P206*'공식·설정'!$B$12+'공식·설정'!$B$14</x:f>
        <x:v>23808</x:v>
      </x:c>
      <x:c r="T206" s="68" t="n">
        <x:f>S206-R206</x:f>
        <x:v>0</x:v>
      </x:c>
      <x:c r="U206" s="65" t="n">
        <x:f>R206/'공식·설정'!$B$7</x:f>
        <x:v>93</x:v>
      </x:c>
      <x:c r="V206" s="65" t="n">
        <x:f>S206/'공식·설정'!$B$7</x:f>
        <x:v>93</x:v>
      </x:c>
      <x:c r="W206" s="14" t="n">
        <x:v>783</x:v>
      </x:c>
      <x:c r="X206" s="14" t="n">
        <x:f>INT(ABS(K207-K206)*'공식·설정'!$B$8/K206)</x:f>
        <x:v>783</x:v>
      </x:c>
      <x:c r="Y206" s="68" t="n">
        <x:f>X206-W206</x:f>
        <x:v>0</x:v>
      </x:c>
      <x:c r="Z206" s="66" t="n">
        <x:f>W206/'공식·설정'!$B$8</x:f>
        <x:v>0.0119476318359375</x:v>
      </x:c>
      <x:c r="AA206" s="66" t="n">
        <x:f>X206/'공식·설정'!$B$8</x:f>
        <x:v>0.0119476318359375</x:v>
      </x:c>
      <x:c r="AB206" s="67" t="str">
        <x:f>IF(AND(I206=0,L206=0,Q206=0,T206=0,Y206=0),"PASS","FAIL")</x:f>
        <x:v>PASS</x:v>
      </x:c>
    </x:row>
    <x:row r="207" ht="18" customHeight="1">
      <x:c r="A207" s="14" t="n">
        <x:v>310</x:v>
      </x:c>
      <x:c r="B207" s="14" t="n">
        <x:v>202</x:v>
      </x:c>
      <x:c r="C207" s="14" t="n">
        <x:v>308</x:v>
      </x:c>
      <x:c r="D207" s="14" t="n">
        <x:v>2400</x:v>
      </x:c>
      <x:c r="E207" s="14" t="n">
        <x:v>322</x:v>
      </x:c>
      <x:c r="F207" s="14" t="n">
        <x:v>2806</x:v>
      </x:c>
      <x:c r="G207" s="14" t="n">
        <x:v>2458</x:v>
      </x:c>
      <x:c r="H207" s="14" t="n">
        <x:f>INT((F207-D207)*(A207-C207)/(E207-C207))+D207</x:f>
        <x:v>2458</x:v>
      </x:c>
      <x:c r="I207" s="68" t="n">
        <x:f>H207-G207</x:f>
        <x:v>0</x:v>
      </x:c>
      <x:c r="J207" s="14" t="n">
        <x:v>16002</x:v>
      </x:c>
      <x:c r="K207" s="14" t="n">
        <x:f>INT(H207*'공식·설정'!$B$10/'공식·설정'!$B$15)</x:f>
        <x:v>16002</x:v>
      </x:c>
      <x:c r="L207" s="68" t="n">
        <x:f>K207-J207</x:f>
        <x:v>0</x:v>
      </x:c>
      <x:c r="M207" s="65" t="n">
        <x:f>J207/'공식·설정'!$B$7</x:f>
        <x:v>62.5078125</x:v>
      </x:c>
      <x:c r="N207" s="65" t="n">
        <x:f>K207/'공식·설정'!$B$7</x:f>
        <x:v>62.5078125</x:v>
      </x:c>
      <x:c r="O207" s="14" t="n">
        <x:v>6</x:v>
      </x:c>
      <x:c r="P207" s="14" t="n">
        <x:f>MIN(32767,MAX(0,INT((K207+INT('공식·설정'!$B$12/2))/'공식·설정'!$B$12)))</x:f>
        <x:v>6</x:v>
      </x:c>
      <x:c r="Q207" s="68" t="n">
        <x:f>P207-O207</x:f>
        <x:v>0</x:v>
      </x:c>
      <x:c r="R207" s="14" t="n">
        <x:v>23808</x:v>
      </x:c>
      <x:c r="S207" s="14" t="n">
        <x:f>P207*'공식·설정'!$B$12+'공식·설정'!$B$14</x:f>
        <x:v>23808</x:v>
      </x:c>
      <x:c r="T207" s="68" t="n">
        <x:f>S207-R207</x:f>
        <x:v>0</x:v>
      </x:c>
      <x:c r="U207" s="65" t="n">
        <x:f>R207/'공식·설정'!$B$7</x:f>
        <x:v>93</x:v>
      </x:c>
      <x:c r="V207" s="65" t="n">
        <x:f>S207/'공식·설정'!$B$7</x:f>
        <x:v>93</x:v>
      </x:c>
      <x:c r="W207" s="14" t="n">
        <x:v>774</x:v>
      </x:c>
      <x:c r="X207" s="14" t="n">
        <x:f>INT(ABS(K208-K207)*'공식·설정'!$B$8/K207)</x:f>
        <x:v>774</x:v>
      </x:c>
      <x:c r="Y207" s="68" t="n">
        <x:f>X207-W207</x:f>
        <x:v>0</x:v>
      </x:c>
      <x:c r="Z207" s="66" t="n">
        <x:f>W207/'공식·설정'!$B$8</x:f>
        <x:v>0.011810302734375</x:v>
      </x:c>
      <x:c r="AA207" s="66" t="n">
        <x:f>X207/'공식·설정'!$B$8</x:f>
        <x:v>0.011810302734375</x:v>
      </x:c>
      <x:c r="AB207" s="67" t="str">
        <x:f>IF(AND(I207=0,L207=0,Q207=0,T207=0,Y207=0),"PASS","FAIL")</x:f>
        <x:v>PASS</x:v>
      </x:c>
    </x:row>
    <x:row r="208" ht="18" customHeight="1">
      <x:c r="A208" s="14" t="n">
        <x:v>311</x:v>
      </x:c>
      <x:c r="B208" s="14" t="n">
        <x:v>203</x:v>
      </x:c>
      <x:c r="C208" s="14" t="n">
        <x:v>308</x:v>
      </x:c>
      <x:c r="D208" s="14" t="n">
        <x:v>2400</x:v>
      </x:c>
      <x:c r="E208" s="14" t="n">
        <x:v>322</x:v>
      </x:c>
      <x:c r="F208" s="14" t="n">
        <x:v>2806</x:v>
      </x:c>
      <x:c r="G208" s="14" t="n">
        <x:v>2487</x:v>
      </x:c>
      <x:c r="H208" s="14" t="n">
        <x:f>INT((F208-D208)*(A208-C208)/(E208-C208))+D208</x:f>
        <x:v>2487</x:v>
      </x:c>
      <x:c r="I208" s="68" t="n">
        <x:f>H208-G208</x:f>
        <x:v>0</x:v>
      </x:c>
      <x:c r="J208" s="14" t="n">
        <x:v>16191</x:v>
      </x:c>
      <x:c r="K208" s="14" t="n">
        <x:f>INT(H208*'공식·설정'!$B$10/'공식·설정'!$B$15)</x:f>
        <x:v>16191</x:v>
      </x:c>
      <x:c r="L208" s="68" t="n">
        <x:f>K208-J208</x:f>
        <x:v>0</x:v>
      </x:c>
      <x:c r="M208" s="65" t="n">
        <x:f>J208/'공식·설정'!$B$7</x:f>
        <x:v>63.24609375</x:v>
      </x:c>
      <x:c r="N208" s="65" t="n">
        <x:f>K208/'공식·설정'!$B$7</x:f>
        <x:v>63.24609375</x:v>
      </x:c>
      <x:c r="O208" s="14" t="n">
        <x:v>6</x:v>
      </x:c>
      <x:c r="P208" s="14" t="n">
        <x:f>MIN(32767,MAX(0,INT((K208+INT('공식·설정'!$B$12/2))/'공식·설정'!$B$12)))</x:f>
        <x:v>6</x:v>
      </x:c>
      <x:c r="Q208" s="68" t="n">
        <x:f>P208-O208</x:f>
        <x:v>0</x:v>
      </x:c>
      <x:c r="R208" s="14" t="n">
        <x:v>23808</x:v>
      </x:c>
      <x:c r="S208" s="14" t="n">
        <x:f>P208*'공식·설정'!$B$12+'공식·설정'!$B$14</x:f>
        <x:v>23808</x:v>
      </x:c>
      <x:c r="T208" s="68" t="n">
        <x:f>S208-R208</x:f>
        <x:v>0</x:v>
      </x:c>
      <x:c r="U208" s="65" t="n">
        <x:f>R208/'공식·설정'!$B$7</x:f>
        <x:v>93</x:v>
      </x:c>
      <x:c r="V208" s="65" t="n">
        <x:f>S208/'공식·설정'!$B$7</x:f>
        <x:v>93</x:v>
      </x:c>
      <x:c r="W208" s="14" t="n">
        <x:v>760</x:v>
      </x:c>
      <x:c r="X208" s="14" t="n">
        <x:f>INT(ABS(K209-K208)*'공식·설정'!$B$8/K208)</x:f>
        <x:v>760</x:v>
      </x:c>
      <x:c r="Y208" s="68" t="n">
        <x:f>X208-W208</x:f>
        <x:v>0</x:v>
      </x:c>
      <x:c r="Z208" s="66" t="n">
        <x:f>W208/'공식·설정'!$B$8</x:f>
        <x:v>0.0115966796875</x:v>
      </x:c>
      <x:c r="AA208" s="66" t="n">
        <x:f>X208/'공식·설정'!$B$8</x:f>
        <x:v>0.0115966796875</x:v>
      </x:c>
      <x:c r="AB208" s="67" t="str">
        <x:f>IF(AND(I208=0,L208=0,Q208=0,T208=0,Y208=0),"PASS","FAIL")</x:f>
        <x:v>PASS</x:v>
      </x:c>
    </x:row>
    <x:row r="209" ht="18" customHeight="1">
      <x:c r="A209" s="14" t="n">
        <x:v>312</x:v>
      </x:c>
      <x:c r="B209" s="14" t="n">
        <x:v>204</x:v>
      </x:c>
      <x:c r="C209" s="14" t="n">
        <x:v>308</x:v>
      </x:c>
      <x:c r="D209" s="14" t="n">
        <x:v>2400</x:v>
      </x:c>
      <x:c r="E209" s="14" t="n">
        <x:v>322</x:v>
      </x:c>
      <x:c r="F209" s="14" t="n">
        <x:v>2806</x:v>
      </x:c>
      <x:c r="G209" s="14" t="n">
        <x:v>2516</x:v>
      </x:c>
      <x:c r="H209" s="14" t="n">
        <x:f>INT((F209-D209)*(A209-C209)/(E209-C209))+D209</x:f>
        <x:v>2516</x:v>
      </x:c>
      <x:c r="I209" s="68" t="n">
        <x:f>H209-G209</x:f>
        <x:v>0</x:v>
      </x:c>
      <x:c r="J209" s="14" t="n">
        <x:v>16379</x:v>
      </x:c>
      <x:c r="K209" s="14" t="n">
        <x:f>INT(H209*'공식·설정'!$B$10/'공식·설정'!$B$15)</x:f>
        <x:v>16379</x:v>
      </x:c>
      <x:c r="L209" s="68" t="n">
        <x:f>K209-J209</x:f>
        <x:v>0</x:v>
      </x:c>
      <x:c r="M209" s="65" t="n">
        <x:f>J209/'공식·설정'!$B$7</x:f>
        <x:v>63.98046875</x:v>
      </x:c>
      <x:c r="N209" s="65" t="n">
        <x:f>K209/'공식·설정'!$B$7</x:f>
        <x:v>63.98046875</x:v>
      </x:c>
      <x:c r="O209" s="14" t="n">
        <x:v>6</x:v>
      </x:c>
      <x:c r="P209" s="14" t="n">
        <x:f>MIN(32767,MAX(0,INT((K209+INT('공식·설정'!$B$12/2))/'공식·설정'!$B$12)))</x:f>
        <x:v>6</x:v>
      </x:c>
      <x:c r="Q209" s="68" t="n">
        <x:f>P209-O209</x:f>
        <x:v>0</x:v>
      </x:c>
      <x:c r="R209" s="14" t="n">
        <x:v>23808</x:v>
      </x:c>
      <x:c r="S209" s="14" t="n">
        <x:f>P209*'공식·설정'!$B$12+'공식·설정'!$B$14</x:f>
        <x:v>23808</x:v>
      </x:c>
      <x:c r="T209" s="68" t="n">
        <x:f>S209-R209</x:f>
        <x:v>0</x:v>
      </x:c>
      <x:c r="U209" s="65" t="n">
        <x:f>R209/'공식·설정'!$B$7</x:f>
        <x:v>93</x:v>
      </x:c>
      <x:c r="V209" s="65" t="n">
        <x:f>S209/'공식·설정'!$B$7</x:f>
        <x:v>93</x:v>
      </x:c>
      <x:c r="W209" s="14" t="n">
        <x:v>756</x:v>
      </x:c>
      <x:c r="X209" s="14" t="n">
        <x:f>INT(ABS(K210-K209)*'공식·설정'!$B$8/K209)</x:f>
        <x:v>756</x:v>
      </x:c>
      <x:c r="Y209" s="68" t="n">
        <x:f>X209-W209</x:f>
        <x:v>0</x:v>
      </x:c>
      <x:c r="Z209" s="66" t="n">
        <x:f>W209/'공식·설정'!$B$8</x:f>
        <x:v>0.01153564453125</x:v>
      </x:c>
      <x:c r="AA209" s="66" t="n">
        <x:f>X209/'공식·설정'!$B$8</x:f>
        <x:v>0.01153564453125</x:v>
      </x:c>
      <x:c r="AB209" s="67" t="str">
        <x:f>IF(AND(I209=0,L209=0,Q209=0,T209=0,Y209=0),"PASS","FAIL")</x:f>
        <x:v>PASS</x:v>
      </x:c>
    </x:row>
    <x:row r="210" ht="18" customHeight="1">
      <x:c r="A210" s="14" t="n">
        <x:v>313</x:v>
      </x:c>
      <x:c r="B210" s="14" t="n">
        <x:v>205</x:v>
      </x:c>
      <x:c r="C210" s="14" t="n">
        <x:v>308</x:v>
      </x:c>
      <x:c r="D210" s="14" t="n">
        <x:v>2400</x:v>
      </x:c>
      <x:c r="E210" s="14" t="n">
        <x:v>322</x:v>
      </x:c>
      <x:c r="F210" s="14" t="n">
        <x:v>2806</x:v>
      </x:c>
      <x:c r="G210" s="14" t="n">
        <x:v>2545</x:v>
      </x:c>
      <x:c r="H210" s="14" t="n">
        <x:f>INT((F210-D210)*(A210-C210)/(E210-C210))+D210</x:f>
        <x:v>2545</x:v>
      </x:c>
      <x:c r="I210" s="68" t="n">
        <x:f>H210-G210</x:f>
        <x:v>0</x:v>
      </x:c>
      <x:c r="J210" s="14" t="n">
        <x:v>16568</x:v>
      </x:c>
      <x:c r="K210" s="14" t="n">
        <x:f>INT(H210*'공식·설정'!$B$10/'공식·설정'!$B$15)</x:f>
        <x:v>16568</x:v>
      </x:c>
      <x:c r="L210" s="68" t="n">
        <x:f>K210-J210</x:f>
        <x:v>0</x:v>
      </x:c>
      <x:c r="M210" s="65" t="n">
        <x:f>J210/'공식·설정'!$B$7</x:f>
        <x:v>64.71875</x:v>
      </x:c>
      <x:c r="N210" s="65" t="n">
        <x:f>K210/'공식·설정'!$B$7</x:f>
        <x:v>64.71875</x:v>
      </x:c>
      <x:c r="O210" s="14" t="n">
        <x:v>6</x:v>
      </x:c>
      <x:c r="P210" s="14" t="n">
        <x:f>MIN(32767,MAX(0,INT((K210+INT('공식·설정'!$B$12/2))/'공식·설정'!$B$12)))</x:f>
        <x:v>6</x:v>
      </x:c>
      <x:c r="Q210" s="68" t="n">
        <x:f>P210-O210</x:f>
        <x:v>0</x:v>
      </x:c>
      <x:c r="R210" s="14" t="n">
        <x:v>23808</x:v>
      </x:c>
      <x:c r="S210" s="14" t="n">
        <x:f>P210*'공식·설정'!$B$12+'공식·설정'!$B$14</x:f>
        <x:v>23808</x:v>
      </x:c>
      <x:c r="T210" s="68" t="n">
        <x:f>S210-R210</x:f>
        <x:v>0</x:v>
      </x:c>
      <x:c r="U210" s="65" t="n">
        <x:f>R210/'공식·설정'!$B$7</x:f>
        <x:v>93</x:v>
      </x:c>
      <x:c r="V210" s="65" t="n">
        <x:f>S210/'공식·설정'!$B$7</x:f>
        <x:v>93</x:v>
      </x:c>
      <x:c r="W210" s="14" t="n">
        <x:v>747</x:v>
      </x:c>
      <x:c r="X210" s="14" t="n">
        <x:f>INT(ABS(K211-K210)*'공식·설정'!$B$8/K210)</x:f>
        <x:v>747</x:v>
      </x:c>
      <x:c r="Y210" s="68" t="n">
        <x:f>X210-W210</x:f>
        <x:v>0</x:v>
      </x:c>
      <x:c r="Z210" s="66" t="n">
        <x:f>W210/'공식·설정'!$B$8</x:f>
        <x:v>0.0113983154296875</x:v>
      </x:c>
      <x:c r="AA210" s="66" t="n">
        <x:f>X210/'공식·설정'!$B$8</x:f>
        <x:v>0.0113983154296875</x:v>
      </x:c>
      <x:c r="AB210" s="67" t="str">
        <x:f>IF(AND(I210=0,L210=0,Q210=0,T210=0,Y210=0),"PASS","FAIL")</x:f>
        <x:v>PASS</x:v>
      </x:c>
    </x:row>
    <x:row r="211" ht="18" customHeight="1">
      <x:c r="A211" s="14" t="n">
        <x:v>314</x:v>
      </x:c>
      <x:c r="B211" s="14" t="n">
        <x:v>206</x:v>
      </x:c>
      <x:c r="C211" s="14" t="n">
        <x:v>308</x:v>
      </x:c>
      <x:c r="D211" s="14" t="n">
        <x:v>2400</x:v>
      </x:c>
      <x:c r="E211" s="14" t="n">
        <x:v>322</x:v>
      </x:c>
      <x:c r="F211" s="14" t="n">
        <x:v>2806</x:v>
      </x:c>
      <x:c r="G211" s="14" t="n">
        <x:v>2574</x:v>
      </x:c>
      <x:c r="H211" s="14" t="n">
        <x:f>INT((F211-D211)*(A211-C211)/(E211-C211))+D211</x:f>
        <x:v>2574</x:v>
      </x:c>
      <x:c r="I211" s="68" t="n">
        <x:f>H211-G211</x:f>
        <x:v>0</x:v>
      </x:c>
      <x:c r="J211" s="14" t="n">
        <x:v>16757</x:v>
      </x:c>
      <x:c r="K211" s="14" t="n">
        <x:f>INT(H211*'공식·설정'!$B$10/'공식·설정'!$B$15)</x:f>
        <x:v>16757</x:v>
      </x:c>
      <x:c r="L211" s="68" t="n">
        <x:f>K211-J211</x:f>
        <x:v>0</x:v>
      </x:c>
      <x:c r="M211" s="65" t="n">
        <x:f>J211/'공식·설정'!$B$7</x:f>
        <x:v>65.45703125</x:v>
      </x:c>
      <x:c r="N211" s="65" t="n">
        <x:f>K211/'공식·설정'!$B$7</x:f>
        <x:v>65.45703125</x:v>
      </x:c>
      <x:c r="O211" s="14" t="n">
        <x:v>7</x:v>
      </x:c>
      <x:c r="P211" s="14" t="n">
        <x:f>MIN(32767,MAX(0,INT((K211+INT('공식·설정'!$B$12/2))/'공식·설정'!$B$12)))</x:f>
        <x:v>7</x:v>
      </x:c>
      <x:c r="Q211" s="68" t="n">
        <x:f>P211-O211</x:f>
        <x:v>0</x:v>
      </x:c>
      <x:c r="R211" s="14" t="n">
        <x:v>26368</x:v>
      </x:c>
      <x:c r="S211" s="14" t="n">
        <x:f>P211*'공식·설정'!$B$12+'공식·설정'!$B$14</x:f>
        <x:v>26368</x:v>
      </x:c>
      <x:c r="T211" s="68" t="n">
        <x:f>S211-R211</x:f>
        <x:v>0</x:v>
      </x:c>
      <x:c r="U211" s="65" t="n">
        <x:f>R211/'공식·설정'!$B$7</x:f>
        <x:v>103</x:v>
      </x:c>
      <x:c r="V211" s="65" t="n">
        <x:f>S211/'공식·설정'!$B$7</x:f>
        <x:v>103</x:v>
      </x:c>
      <x:c r="W211" s="14" t="n">
        <x:v>739</x:v>
      </x:c>
      <x:c r="X211" s="14" t="n">
        <x:f>INT(ABS(K212-K211)*'공식·설정'!$B$8/K211)</x:f>
        <x:v>739</x:v>
      </x:c>
      <x:c r="Y211" s="68" t="n">
        <x:f>X211-W211</x:f>
        <x:v>0</x:v>
      </x:c>
      <x:c r="Z211" s="66" t="n">
        <x:f>W211/'공식·설정'!$B$8</x:f>
        <x:v>0.0112762451171875</x:v>
      </x:c>
      <x:c r="AA211" s="66" t="n">
        <x:f>X211/'공식·설정'!$B$8</x:f>
        <x:v>0.0112762451171875</x:v>
      </x:c>
      <x:c r="AB211" s="67" t="str">
        <x:f>IF(AND(I211=0,L211=0,Q211=0,T211=0,Y211=0),"PASS","FAIL")</x:f>
        <x:v>PASS</x:v>
      </x:c>
    </x:row>
    <x:row r="212" ht="18" customHeight="1">
      <x:c r="A212" s="14" t="n">
        <x:v>315</x:v>
      </x:c>
      <x:c r="B212" s="14" t="n">
        <x:v>207</x:v>
      </x:c>
      <x:c r="C212" s="14" t="n">
        <x:v>308</x:v>
      </x:c>
      <x:c r="D212" s="14" t="n">
        <x:v>2400</x:v>
      </x:c>
      <x:c r="E212" s="14" t="n">
        <x:v>322</x:v>
      </x:c>
      <x:c r="F212" s="14" t="n">
        <x:v>2806</x:v>
      </x:c>
      <x:c r="G212" s="14" t="n">
        <x:v>2603</x:v>
      </x:c>
      <x:c r="H212" s="14" t="n">
        <x:f>INT((F212-D212)*(A212-C212)/(E212-C212))+D212</x:f>
        <x:v>2603</x:v>
      </x:c>
      <x:c r="I212" s="68" t="n">
        <x:f>H212-G212</x:f>
        <x:v>0</x:v>
      </x:c>
      <x:c r="J212" s="14" t="n">
        <x:v>16946</x:v>
      </x:c>
      <x:c r="K212" s="14" t="n">
        <x:f>INT(H212*'공식·설정'!$B$10/'공식·설정'!$B$15)</x:f>
        <x:v>16946</x:v>
      </x:c>
      <x:c r="L212" s="68" t="n">
        <x:f>K212-J212</x:f>
        <x:v>0</x:v>
      </x:c>
      <x:c r="M212" s="65" t="n">
        <x:f>J212/'공식·설정'!$B$7</x:f>
        <x:v>66.1953125</x:v>
      </x:c>
      <x:c r="N212" s="65" t="n">
        <x:f>K212/'공식·설정'!$B$7</x:f>
        <x:v>66.1953125</x:v>
      </x:c>
      <x:c r="O212" s="14" t="n">
        <x:v>7</x:v>
      </x:c>
      <x:c r="P212" s="14" t="n">
        <x:f>MIN(32767,MAX(0,INT((K212+INT('공식·설정'!$B$12/2))/'공식·설정'!$B$12)))</x:f>
        <x:v>7</x:v>
      </x:c>
      <x:c r="Q212" s="68" t="n">
        <x:f>P212-O212</x:f>
        <x:v>0</x:v>
      </x:c>
      <x:c r="R212" s="14" t="n">
        <x:v>26368</x:v>
      </x:c>
      <x:c r="S212" s="14" t="n">
        <x:f>P212*'공식·설정'!$B$12+'공식·설정'!$B$14</x:f>
        <x:v>26368</x:v>
      </x:c>
      <x:c r="T212" s="68" t="n">
        <x:f>S212-R212</x:f>
        <x:v>0</x:v>
      </x:c>
      <x:c r="U212" s="65" t="n">
        <x:f>R212/'공식·설정'!$B$7</x:f>
        <x:v>103</x:v>
      </x:c>
      <x:c r="V212" s="65" t="n">
        <x:f>S212/'공식·설정'!$B$7</x:f>
        <x:v>103</x:v>
      </x:c>
      <x:c r="W212" s="14" t="n">
        <x:v>730</x:v>
      </x:c>
      <x:c r="X212" s="14" t="n">
        <x:f>INT(ABS(K213-K212)*'공식·설정'!$B$8/K212)</x:f>
        <x:v>730</x:v>
      </x:c>
      <x:c r="Y212" s="68" t="n">
        <x:f>X212-W212</x:f>
        <x:v>0</x:v>
      </x:c>
      <x:c r="Z212" s="66" t="n">
        <x:f>W212/'공식·설정'!$B$8</x:f>
        <x:v>0.011138916015625</x:v>
      </x:c>
      <x:c r="AA212" s="66" t="n">
        <x:f>X212/'공식·설정'!$B$8</x:f>
        <x:v>0.011138916015625</x:v>
      </x:c>
      <x:c r="AB212" s="67" t="str">
        <x:f>IF(AND(I212=0,L212=0,Q212=0,T212=0,Y212=0),"PASS","FAIL")</x:f>
        <x:v>PASS</x:v>
      </x:c>
    </x:row>
    <x:row r="213" ht="18" customHeight="1">
      <x:c r="A213" s="14" t="n">
        <x:v>316</x:v>
      </x:c>
      <x:c r="B213" s="14" t="n">
        <x:v>208</x:v>
      </x:c>
      <x:c r="C213" s="14" t="n">
        <x:v>308</x:v>
      </x:c>
      <x:c r="D213" s="14" t="n">
        <x:v>2400</x:v>
      </x:c>
      <x:c r="E213" s="14" t="n">
        <x:v>322</x:v>
      </x:c>
      <x:c r="F213" s="14" t="n">
        <x:v>2806</x:v>
      </x:c>
      <x:c r="G213" s="14" t="n">
        <x:v>2632</x:v>
      </x:c>
      <x:c r="H213" s="14" t="n">
        <x:f>INT((F213-D213)*(A213-C213)/(E213-C213))+D213</x:f>
        <x:v>2632</x:v>
      </x:c>
      <x:c r="I213" s="68" t="n">
        <x:f>H213-G213</x:f>
        <x:v>0</x:v>
      </x:c>
      <x:c r="J213" s="14" t="n">
        <x:v>17135</x:v>
      </x:c>
      <x:c r="K213" s="14" t="n">
        <x:f>INT(H213*'공식·설정'!$B$10/'공식·설정'!$B$15)</x:f>
        <x:v>17135</x:v>
      </x:c>
      <x:c r="L213" s="68" t="n">
        <x:f>K213-J213</x:f>
        <x:v>0</x:v>
      </x:c>
      <x:c r="M213" s="65" t="n">
        <x:f>J213/'공식·설정'!$B$7</x:f>
        <x:v>66.93359375</x:v>
      </x:c>
      <x:c r="N213" s="65" t="n">
        <x:f>K213/'공식·설정'!$B$7</x:f>
        <x:v>66.93359375</x:v>
      </x:c>
      <x:c r="O213" s="14" t="n">
        <x:v>7</x:v>
      </x:c>
      <x:c r="P213" s="14" t="n">
        <x:f>MIN(32767,MAX(0,INT((K213+INT('공식·설정'!$B$12/2))/'공식·설정'!$B$12)))</x:f>
        <x:v>7</x:v>
      </x:c>
      <x:c r="Q213" s="68" t="n">
        <x:f>P213-O213</x:f>
        <x:v>0</x:v>
      </x:c>
      <x:c r="R213" s="14" t="n">
        <x:v>26368</x:v>
      </x:c>
      <x:c r="S213" s="14" t="n">
        <x:f>P213*'공식·설정'!$B$12+'공식·설정'!$B$14</x:f>
        <x:v>26368</x:v>
      </x:c>
      <x:c r="T213" s="68" t="n">
        <x:f>S213-R213</x:f>
        <x:v>0</x:v>
      </x:c>
      <x:c r="U213" s="65" t="n">
        <x:f>R213/'공식·설정'!$B$7</x:f>
        <x:v>103</x:v>
      </x:c>
      <x:c r="V213" s="65" t="n">
        <x:f>S213/'공식·설정'!$B$7</x:f>
        <x:v>103</x:v>
      </x:c>
      <x:c r="W213" s="14" t="n">
        <x:v>719</x:v>
      </x:c>
      <x:c r="X213" s="14" t="n">
        <x:f>INT(ABS(K214-K213)*'공식·설정'!$B$8/K213)</x:f>
        <x:v>719</x:v>
      </x:c>
      <x:c r="Y213" s="68" t="n">
        <x:f>X213-W213</x:f>
        <x:v>0</x:v>
      </x:c>
      <x:c r="Z213" s="66" t="n">
        <x:f>W213/'공식·설정'!$B$8</x:f>
        <x:v>0.0109710693359375</x:v>
      </x:c>
      <x:c r="AA213" s="66" t="n">
        <x:f>X213/'공식·설정'!$B$8</x:f>
        <x:v>0.0109710693359375</x:v>
      </x:c>
      <x:c r="AB213" s="67" t="str">
        <x:f>IF(AND(I213=0,L213=0,Q213=0,T213=0,Y213=0),"PASS","FAIL")</x:f>
        <x:v>PASS</x:v>
      </x:c>
    </x:row>
    <x:row r="214" ht="18" customHeight="1">
      <x:c r="A214" s="14" t="n">
        <x:v>317</x:v>
      </x:c>
      <x:c r="B214" s="14" t="n">
        <x:v>209</x:v>
      </x:c>
      <x:c r="C214" s="14" t="n">
        <x:v>308</x:v>
      </x:c>
      <x:c r="D214" s="14" t="n">
        <x:v>2400</x:v>
      </x:c>
      <x:c r="E214" s="14" t="n">
        <x:v>322</x:v>
      </x:c>
      <x:c r="F214" s="14" t="n">
        <x:v>2806</x:v>
      </x:c>
      <x:c r="G214" s="14" t="n">
        <x:v>2661</x:v>
      </x:c>
      <x:c r="H214" s="14" t="n">
        <x:f>INT((F214-D214)*(A214-C214)/(E214-C214))+D214</x:f>
        <x:v>2661</x:v>
      </x:c>
      <x:c r="I214" s="68" t="n">
        <x:f>H214-G214</x:f>
        <x:v>0</x:v>
      </x:c>
      <x:c r="J214" s="14" t="n">
        <x:v>17323</x:v>
      </x:c>
      <x:c r="K214" s="14" t="n">
        <x:f>INT(H214*'공식·설정'!$B$10/'공식·설정'!$B$15)</x:f>
        <x:v>17323</x:v>
      </x:c>
      <x:c r="L214" s="68" t="n">
        <x:f>K214-J214</x:f>
        <x:v>0</x:v>
      </x:c>
      <x:c r="M214" s="65" t="n">
        <x:f>J214/'공식·설정'!$B$7</x:f>
        <x:v>67.66796875</x:v>
      </x:c>
      <x:c r="N214" s="65" t="n">
        <x:f>K214/'공식·설정'!$B$7</x:f>
        <x:v>67.66796875</x:v>
      </x:c>
      <x:c r="O214" s="14" t="n">
        <x:v>7</x:v>
      </x:c>
      <x:c r="P214" s="14" t="n">
        <x:f>MIN(32767,MAX(0,INT((K214+INT('공식·설정'!$B$12/2))/'공식·설정'!$B$12)))</x:f>
        <x:v>7</x:v>
      </x:c>
      <x:c r="Q214" s="68" t="n">
        <x:f>P214-O214</x:f>
        <x:v>0</x:v>
      </x:c>
      <x:c r="R214" s="14" t="n">
        <x:v>26368</x:v>
      </x:c>
      <x:c r="S214" s="14" t="n">
        <x:f>P214*'공식·설정'!$B$12+'공식·설정'!$B$14</x:f>
        <x:v>26368</x:v>
      </x:c>
      <x:c r="T214" s="68" t="n">
        <x:f>S214-R214</x:f>
        <x:v>0</x:v>
      </x:c>
      <x:c r="U214" s="65" t="n">
        <x:f>R214/'공식·설정'!$B$7</x:f>
        <x:v>103</x:v>
      </x:c>
      <x:c r="V214" s="65" t="n">
        <x:f>S214/'공식·설정'!$B$7</x:f>
        <x:v>103</x:v>
      </x:c>
      <x:c r="W214" s="14" t="n">
        <x:v>715</x:v>
      </x:c>
      <x:c r="X214" s="14" t="n">
        <x:f>INT(ABS(K215-K214)*'공식·설정'!$B$8/K214)</x:f>
        <x:v>715</x:v>
      </x:c>
      <x:c r="Y214" s="68" t="n">
        <x:f>X214-W214</x:f>
        <x:v>0</x:v>
      </x:c>
      <x:c r="Z214" s="66" t="n">
        <x:f>W214/'공식·설정'!$B$8</x:f>
        <x:v>0.0109100341796875</x:v>
      </x:c>
      <x:c r="AA214" s="66" t="n">
        <x:f>X214/'공식·설정'!$B$8</x:f>
        <x:v>0.0109100341796875</x:v>
      </x:c>
      <x:c r="AB214" s="67" t="str">
        <x:f>IF(AND(I214=0,L214=0,Q214=0,T214=0,Y214=0),"PASS","FAIL")</x:f>
        <x:v>PASS</x:v>
      </x:c>
    </x:row>
    <x:row r="215" ht="18" customHeight="1">
      <x:c r="A215" s="14" t="n">
        <x:v>318</x:v>
      </x:c>
      <x:c r="B215" s="14" t="n">
        <x:v>210</x:v>
      </x:c>
      <x:c r="C215" s="14" t="n">
        <x:v>308</x:v>
      </x:c>
      <x:c r="D215" s="14" t="n">
        <x:v>2400</x:v>
      </x:c>
      <x:c r="E215" s="14" t="n">
        <x:v>322</x:v>
      </x:c>
      <x:c r="F215" s="14" t="n">
        <x:v>2806</x:v>
      </x:c>
      <x:c r="G215" s="14" t="n">
        <x:v>2690</x:v>
      </x:c>
      <x:c r="H215" s="14" t="n">
        <x:f>INT((F215-D215)*(A215-C215)/(E215-C215))+D215</x:f>
        <x:v>2690</x:v>
      </x:c>
      <x:c r="I215" s="68" t="n">
        <x:f>H215-G215</x:f>
        <x:v>0</x:v>
      </x:c>
      <x:c r="J215" s="14" t="n">
        <x:v>17512</x:v>
      </x:c>
      <x:c r="K215" s="14" t="n">
        <x:f>INT(H215*'공식·설정'!$B$10/'공식·설정'!$B$15)</x:f>
        <x:v>17512</x:v>
      </x:c>
      <x:c r="L215" s="68" t="n">
        <x:f>K215-J215</x:f>
        <x:v>0</x:v>
      </x:c>
      <x:c r="M215" s="65" t="n">
        <x:f>J215/'공식·설정'!$B$7</x:f>
        <x:v>68.40625</x:v>
      </x:c>
      <x:c r="N215" s="65" t="n">
        <x:f>K215/'공식·설정'!$B$7</x:f>
        <x:v>68.40625</x:v>
      </x:c>
      <x:c r="O215" s="14" t="n">
        <x:v>7</x:v>
      </x:c>
      <x:c r="P215" s="14" t="n">
        <x:f>MIN(32767,MAX(0,INT((K215+INT('공식·설정'!$B$12/2))/'공식·설정'!$B$12)))</x:f>
        <x:v>7</x:v>
      </x:c>
      <x:c r="Q215" s="68" t="n">
        <x:f>P215-O215</x:f>
        <x:v>0</x:v>
      </x:c>
      <x:c r="R215" s="14" t="n">
        <x:v>26368</x:v>
      </x:c>
      <x:c r="S215" s="14" t="n">
        <x:f>P215*'공식·설정'!$B$12+'공식·설정'!$B$14</x:f>
        <x:v>26368</x:v>
      </x:c>
      <x:c r="T215" s="68" t="n">
        <x:f>S215-R215</x:f>
        <x:v>0</x:v>
      </x:c>
      <x:c r="U215" s="65" t="n">
        <x:f>R215/'공식·설정'!$B$7</x:f>
        <x:v>103</x:v>
      </x:c>
      <x:c r="V215" s="65" t="n">
        <x:f>S215/'공식·설정'!$B$7</x:f>
        <x:v>103</x:v>
      </x:c>
      <x:c r="W215" s="14" t="n">
        <x:v>707</x:v>
      </x:c>
      <x:c r="X215" s="14" t="n">
        <x:f>INT(ABS(K216-K215)*'공식·설정'!$B$8/K215)</x:f>
        <x:v>707</x:v>
      </x:c>
      <x:c r="Y215" s="68" t="n">
        <x:f>X215-W215</x:f>
        <x:v>0</x:v>
      </x:c>
      <x:c r="Z215" s="66" t="n">
        <x:f>W215/'공식·설정'!$B$8</x:f>
        <x:v>0.0107879638671875</x:v>
      </x:c>
      <x:c r="AA215" s="66" t="n">
        <x:f>X215/'공식·설정'!$B$8</x:f>
        <x:v>0.0107879638671875</x:v>
      </x:c>
      <x:c r="AB215" s="67" t="str">
        <x:f>IF(AND(I215=0,L215=0,Q215=0,T215=0,Y215=0),"PASS","FAIL")</x:f>
        <x:v>PASS</x:v>
      </x:c>
    </x:row>
    <x:row r="216" ht="18" customHeight="1">
      <x:c r="A216" s="14" t="n">
        <x:v>319</x:v>
      </x:c>
      <x:c r="B216" s="14" t="n">
        <x:v>211</x:v>
      </x:c>
      <x:c r="C216" s="14" t="n">
        <x:v>308</x:v>
      </x:c>
      <x:c r="D216" s="14" t="n">
        <x:v>2400</x:v>
      </x:c>
      <x:c r="E216" s="14" t="n">
        <x:v>322</x:v>
      </x:c>
      <x:c r="F216" s="14" t="n">
        <x:v>2806</x:v>
      </x:c>
      <x:c r="G216" s="14" t="n">
        <x:v>2719</x:v>
      </x:c>
      <x:c r="H216" s="14" t="n">
        <x:f>INT((F216-D216)*(A216-C216)/(E216-C216))+D216</x:f>
        <x:v>2719</x:v>
      </x:c>
      <x:c r="I216" s="68" t="n">
        <x:f>H216-G216</x:f>
        <x:v>0</x:v>
      </x:c>
      <x:c r="J216" s="14" t="n">
        <x:v>17701</x:v>
      </x:c>
      <x:c r="K216" s="14" t="n">
        <x:f>INT(H216*'공식·설정'!$B$10/'공식·설정'!$B$15)</x:f>
        <x:v>17701</x:v>
      </x:c>
      <x:c r="L216" s="68" t="n">
        <x:f>K216-J216</x:f>
        <x:v>0</x:v>
      </x:c>
      <x:c r="M216" s="65" t="n">
        <x:f>J216/'공식·설정'!$B$7</x:f>
        <x:v>69.14453125</x:v>
      </x:c>
      <x:c r="N216" s="65" t="n">
        <x:f>K216/'공식·설정'!$B$7</x:f>
        <x:v>69.14453125</x:v>
      </x:c>
      <x:c r="O216" s="14" t="n">
        <x:v>7</x:v>
      </x:c>
      <x:c r="P216" s="14" t="n">
        <x:f>MIN(32767,MAX(0,INT((K216+INT('공식·설정'!$B$12/2))/'공식·설정'!$B$12)))</x:f>
        <x:v>7</x:v>
      </x:c>
      <x:c r="Q216" s="68" t="n">
        <x:f>P216-O216</x:f>
        <x:v>0</x:v>
      </x:c>
      <x:c r="R216" s="14" t="n">
        <x:v>26368</x:v>
      </x:c>
      <x:c r="S216" s="14" t="n">
        <x:f>P216*'공식·설정'!$B$12+'공식·설정'!$B$14</x:f>
        <x:v>26368</x:v>
      </x:c>
      <x:c r="T216" s="68" t="n">
        <x:f>S216-R216</x:f>
        <x:v>0</x:v>
      </x:c>
      <x:c r="U216" s="65" t="n">
        <x:f>R216/'공식·설정'!$B$7</x:f>
        <x:v>103</x:v>
      </x:c>
      <x:c r="V216" s="65" t="n">
        <x:f>S216/'공식·설정'!$B$7</x:f>
        <x:v>103</x:v>
      </x:c>
      <x:c r="W216" s="14" t="n">
        <x:v>699</x:v>
      </x:c>
      <x:c r="X216" s="14" t="n">
        <x:f>INT(ABS(K217-K216)*'공식·설정'!$B$8/K216)</x:f>
        <x:v>699</x:v>
      </x:c>
      <x:c r="Y216" s="68" t="n">
        <x:f>X216-W216</x:f>
        <x:v>0</x:v>
      </x:c>
      <x:c r="Z216" s="66" t="n">
        <x:f>W216/'공식·설정'!$B$8</x:f>
        <x:v>0.0106658935546875</x:v>
      </x:c>
      <x:c r="AA216" s="66" t="n">
        <x:f>X216/'공식·설정'!$B$8</x:f>
        <x:v>0.0106658935546875</x:v>
      </x:c>
      <x:c r="AB216" s="67" t="str">
        <x:f>IF(AND(I216=0,L216=0,Q216=0,T216=0,Y216=0),"PASS","FAIL")</x:f>
        <x:v>PASS</x:v>
      </x:c>
    </x:row>
    <x:row r="217" ht="18" customHeight="1">
      <x:c r="A217" s="14" t="n">
        <x:v>320</x:v>
      </x:c>
      <x:c r="B217" s="14" t="n">
        <x:v>212</x:v>
      </x:c>
      <x:c r="C217" s="14" t="n">
        <x:v>308</x:v>
      </x:c>
      <x:c r="D217" s="14" t="n">
        <x:v>2400</x:v>
      </x:c>
      <x:c r="E217" s="14" t="n">
        <x:v>322</x:v>
      </x:c>
      <x:c r="F217" s="14" t="n">
        <x:v>2806</x:v>
      </x:c>
      <x:c r="G217" s="14" t="n">
        <x:v>2748</x:v>
      </x:c>
      <x:c r="H217" s="14" t="n">
        <x:f>INT((F217-D217)*(A217-C217)/(E217-C217))+D217</x:f>
        <x:v>2748</x:v>
      </x:c>
      <x:c r="I217" s="68" t="n">
        <x:f>H217-G217</x:f>
        <x:v>0</x:v>
      </x:c>
      <x:c r="J217" s="14" t="n">
        <x:v>17890</x:v>
      </x:c>
      <x:c r="K217" s="14" t="n">
        <x:f>INT(H217*'공식·설정'!$B$10/'공식·설정'!$B$15)</x:f>
        <x:v>17890</x:v>
      </x:c>
      <x:c r="L217" s="68" t="n">
        <x:f>K217-J217</x:f>
        <x:v>0</x:v>
      </x:c>
      <x:c r="M217" s="65" t="n">
        <x:f>J217/'공식·설정'!$B$7</x:f>
        <x:v>69.8828125</x:v>
      </x:c>
      <x:c r="N217" s="65" t="n">
        <x:f>K217/'공식·설정'!$B$7</x:f>
        <x:v>69.8828125</x:v>
      </x:c>
      <x:c r="O217" s="14" t="n">
        <x:v>7</x:v>
      </x:c>
      <x:c r="P217" s="14" t="n">
        <x:f>MIN(32767,MAX(0,INT((K217+INT('공식·설정'!$B$12/2))/'공식·설정'!$B$12)))</x:f>
        <x:v>7</x:v>
      </x:c>
      <x:c r="Q217" s="68" t="n">
        <x:f>P217-O217</x:f>
        <x:v>0</x:v>
      </x:c>
      <x:c r="R217" s="14" t="n">
        <x:v>26368</x:v>
      </x:c>
      <x:c r="S217" s="14" t="n">
        <x:f>P217*'공식·설정'!$B$12+'공식·설정'!$B$14</x:f>
        <x:v>26368</x:v>
      </x:c>
      <x:c r="T217" s="68" t="n">
        <x:f>S217-R217</x:f>
        <x:v>0</x:v>
      </x:c>
      <x:c r="U217" s="65" t="n">
        <x:f>R217/'공식·설정'!$B$7</x:f>
        <x:v>103</x:v>
      </x:c>
      <x:c r="V217" s="65" t="n">
        <x:f>S217/'공식·설정'!$B$7</x:f>
        <x:v>103</x:v>
      </x:c>
      <x:c r="W217" s="14" t="n">
        <x:v>692</x:v>
      </x:c>
      <x:c r="X217" s="14" t="n">
        <x:f>INT(ABS(K218-K217)*'공식·설정'!$B$8/K217)</x:f>
        <x:v>692</x:v>
      </x:c>
      <x:c r="Y217" s="68" t="n">
        <x:f>X217-W217</x:f>
        <x:v>0</x:v>
      </x:c>
      <x:c r="Z217" s="66" t="n">
        <x:f>W217/'공식·설정'!$B$8</x:f>
        <x:v>0.01055908203125</x:v>
      </x:c>
      <x:c r="AA217" s="66" t="n">
        <x:f>X217/'공식·설정'!$B$8</x:f>
        <x:v>0.01055908203125</x:v>
      </x:c>
      <x:c r="AB217" s="67" t="str">
        <x:f>IF(AND(I217=0,L217=0,Q217=0,T217=0,Y217=0),"PASS","FAIL")</x:f>
        <x:v>PASS</x:v>
      </x:c>
    </x:row>
    <x:row r="218" ht="18" customHeight="1">
      <x:c r="A218" s="14" t="n">
        <x:v>321</x:v>
      </x:c>
      <x:c r="B218" s="14" t="n">
        <x:v>213</x:v>
      </x:c>
      <x:c r="C218" s="14" t="n">
        <x:v>308</x:v>
      </x:c>
      <x:c r="D218" s="14" t="n">
        <x:v>2400</x:v>
      </x:c>
      <x:c r="E218" s="14" t="n">
        <x:v>322</x:v>
      </x:c>
      <x:c r="F218" s="14" t="n">
        <x:v>2806</x:v>
      </x:c>
      <x:c r="G218" s="14" t="n">
        <x:v>2777</x:v>
      </x:c>
      <x:c r="H218" s="14" t="n">
        <x:f>INT((F218-D218)*(A218-C218)/(E218-C218))+D218</x:f>
        <x:v>2777</x:v>
      </x:c>
      <x:c r="I218" s="68" t="n">
        <x:f>H218-G218</x:f>
        <x:v>0</x:v>
      </x:c>
      <x:c r="J218" s="14" t="n">
        <x:v>18079</x:v>
      </x:c>
      <x:c r="K218" s="14" t="n">
        <x:f>INT(H218*'공식·설정'!$B$10/'공식·설정'!$B$15)</x:f>
        <x:v>18079</x:v>
      </x:c>
      <x:c r="L218" s="68" t="n">
        <x:f>K218-J218</x:f>
        <x:v>0</x:v>
      </x:c>
      <x:c r="M218" s="65" t="n">
        <x:f>J218/'공식·설정'!$B$7</x:f>
        <x:v>70.62109375</x:v>
      </x:c>
      <x:c r="N218" s="65" t="n">
        <x:f>K218/'공식·설정'!$B$7</x:f>
        <x:v>70.62109375</x:v>
      </x:c>
      <x:c r="O218" s="14" t="n">
        <x:v>7</x:v>
      </x:c>
      <x:c r="P218" s="14" t="n">
        <x:f>MIN(32767,MAX(0,INT((K218+INT('공식·설정'!$B$12/2))/'공식·설정'!$B$12)))</x:f>
        <x:v>7</x:v>
      </x:c>
      <x:c r="Q218" s="68" t="n">
        <x:f>P218-O218</x:f>
        <x:v>0</x:v>
      </x:c>
      <x:c r="R218" s="14" t="n">
        <x:v>26368</x:v>
      </x:c>
      <x:c r="S218" s="14" t="n">
        <x:f>P218*'공식·설정'!$B$12+'공식·설정'!$B$14</x:f>
        <x:v>26368</x:v>
      </x:c>
      <x:c r="T218" s="68" t="n">
        <x:f>S218-R218</x:f>
        <x:v>0</x:v>
      </x:c>
      <x:c r="U218" s="65" t="n">
        <x:f>R218/'공식·설정'!$B$7</x:f>
        <x:v>103</x:v>
      </x:c>
      <x:c r="V218" s="65" t="n">
        <x:f>S218/'공식·설정'!$B$7</x:f>
        <x:v>103</x:v>
      </x:c>
      <x:c r="W218" s="14" t="n">
        <x:v>681</x:v>
      </x:c>
      <x:c r="X218" s="14" t="n">
        <x:f>INT(ABS(K219-K218)*'공식·설정'!$B$8/K218)</x:f>
        <x:v>681</x:v>
      </x:c>
      <x:c r="Y218" s="68" t="n">
        <x:f>X218-W218</x:f>
        <x:v>0</x:v>
      </x:c>
      <x:c r="Z218" s="66" t="n">
        <x:f>W218/'공식·설정'!$B$8</x:f>
        <x:v>0.0103912353515625</x:v>
      </x:c>
      <x:c r="AA218" s="66" t="n">
        <x:f>X218/'공식·설정'!$B$8</x:f>
        <x:v>0.0103912353515625</x:v>
      </x:c>
      <x:c r="AB218" s="67" t="str">
        <x:f>IF(AND(I218=0,L218=0,Q218=0,T218=0,Y218=0),"PASS","FAIL")</x:f>
        <x:v>PASS</x:v>
      </x:c>
    </x:row>
    <x:row r="219" ht="18" customHeight="1">
      <x:c r="A219" s="14" t="n">
        <x:v>322</x:v>
      </x:c>
      <x:c r="B219" s="14" t="n">
        <x:v>214</x:v>
      </x:c>
      <x:c r="C219" s="14" t="n">
        <x:v>322</x:v>
      </x:c>
      <x:c r="D219" s="14" t="n">
        <x:v>2806</x:v>
      </x:c>
      <x:c r="E219" s="14" t="n">
        <x:v>336</x:v>
      </x:c>
      <x:c r="F219" s="14" t="n">
        <x:v>3278</x:v>
      </x:c>
      <x:c r="G219" s="14" t="n">
        <x:v>2806</x:v>
      </x:c>
      <x:c r="H219" s="14" t="n">
        <x:f>INT((F219-D219)*(A219-C219)/(E219-C219))+D219</x:f>
        <x:v>2806</x:v>
      </x:c>
      <x:c r="I219" s="68" t="n">
        <x:f>H219-G219</x:f>
        <x:v>0</x:v>
      </x:c>
      <x:c r="J219" s="14" t="n">
        <x:v>18267</x:v>
      </x:c>
      <x:c r="K219" s="14" t="n">
        <x:f>INT(H219*'공식·설정'!$B$10/'공식·설정'!$B$15)</x:f>
        <x:v>18267</x:v>
      </x:c>
      <x:c r="L219" s="68" t="n">
        <x:f>K219-J219</x:f>
        <x:v>0</x:v>
      </x:c>
      <x:c r="M219" s="65" t="n">
        <x:f>J219/'공식·설정'!$B$7</x:f>
        <x:v>71.35546875</x:v>
      </x:c>
      <x:c r="N219" s="65" t="n">
        <x:f>K219/'공식·설정'!$B$7</x:f>
        <x:v>71.35546875</x:v>
      </x:c>
      <x:c r="O219" s="14" t="n">
        <x:v>7</x:v>
      </x:c>
      <x:c r="P219" s="14" t="n">
        <x:f>MIN(32767,MAX(0,INT((K219+INT('공식·설정'!$B$12/2))/'공식·설정'!$B$12)))</x:f>
        <x:v>7</x:v>
      </x:c>
      <x:c r="Q219" s="68" t="n">
        <x:f>P219-O219</x:f>
        <x:v>0</x:v>
      </x:c>
      <x:c r="R219" s="14" t="n">
        <x:v>26368</x:v>
      </x:c>
      <x:c r="S219" s="14" t="n">
        <x:f>P219*'공식·설정'!$B$12+'공식·설정'!$B$14</x:f>
        <x:v>26368</x:v>
      </x:c>
      <x:c r="T219" s="68" t="n">
        <x:f>S219-R219</x:f>
        <x:v>0</x:v>
      </x:c>
      <x:c r="U219" s="65" t="n">
        <x:f>R219/'공식·설정'!$B$7</x:f>
        <x:v>103</x:v>
      </x:c>
      <x:c r="V219" s="65" t="n">
        <x:f>S219/'공식·설정'!$B$7</x:f>
        <x:v>103</x:v>
      </x:c>
      <x:c r="W219" s="14" t="n">
        <x:v>771</x:v>
      </x:c>
      <x:c r="X219" s="14" t="n">
        <x:f>INT(ABS(K220-K219)*'공식·설정'!$B$8/K219)</x:f>
        <x:v>771</x:v>
      </x:c>
      <x:c r="Y219" s="68" t="n">
        <x:f>X219-W219</x:f>
        <x:v>0</x:v>
      </x:c>
      <x:c r="Z219" s="66" t="n">
        <x:f>W219/'공식·설정'!$B$8</x:f>
        <x:v>0.0117645263671875</x:v>
      </x:c>
      <x:c r="AA219" s="66" t="n">
        <x:f>X219/'공식·설정'!$B$8</x:f>
        <x:v>0.0117645263671875</x:v>
      </x:c>
      <x:c r="AB219" s="67" t="str">
        <x:f>IF(AND(I219=0,L219=0,Q219=0,T219=0,Y219=0),"PASS","FAIL")</x:f>
        <x:v>PASS</x:v>
      </x:c>
    </x:row>
    <x:row r="220" ht="18" customHeight="1">
      <x:c r="A220" s="14" t="n">
        <x:v>323</x:v>
      </x:c>
      <x:c r="B220" s="14" t="n">
        <x:v>215</x:v>
      </x:c>
      <x:c r="C220" s="14" t="n">
        <x:v>322</x:v>
      </x:c>
      <x:c r="D220" s="14" t="n">
        <x:v>2806</x:v>
      </x:c>
      <x:c r="E220" s="14" t="n">
        <x:v>336</x:v>
      </x:c>
      <x:c r="F220" s="14" t="n">
        <x:v>3278</x:v>
      </x:c>
      <x:c r="G220" s="14" t="n">
        <x:v>2839</x:v>
      </x:c>
      <x:c r="H220" s="14" t="n">
        <x:f>INT((F220-D220)*(A220-C220)/(E220-C220))+D220</x:f>
        <x:v>2839</x:v>
      </x:c>
      <x:c r="I220" s="68" t="n">
        <x:f>H220-G220</x:f>
        <x:v>0</x:v>
      </x:c>
      <x:c r="J220" s="14" t="n">
        <x:v>18482</x:v>
      </x:c>
      <x:c r="K220" s="14" t="n">
        <x:f>INT(H220*'공식·설정'!$B$10/'공식·설정'!$B$15)</x:f>
        <x:v>18482</x:v>
      </x:c>
      <x:c r="L220" s="68" t="n">
        <x:f>K220-J220</x:f>
        <x:v>0</x:v>
      </x:c>
      <x:c r="M220" s="65" t="n">
        <x:f>J220/'공식·설정'!$B$7</x:f>
        <x:v>72.1953125</x:v>
      </x:c>
      <x:c r="N220" s="65" t="n">
        <x:f>K220/'공식·설정'!$B$7</x:f>
        <x:v>72.1953125</x:v>
      </x:c>
      <x:c r="O220" s="14" t="n">
        <x:v>7</x:v>
      </x:c>
      <x:c r="P220" s="14" t="n">
        <x:f>MIN(32767,MAX(0,INT((K220+INT('공식·설정'!$B$12/2))/'공식·설정'!$B$12)))</x:f>
        <x:v>7</x:v>
      </x:c>
      <x:c r="Q220" s="68" t="n">
        <x:f>P220-O220</x:f>
        <x:v>0</x:v>
      </x:c>
      <x:c r="R220" s="14" t="n">
        <x:v>26368</x:v>
      </x:c>
      <x:c r="S220" s="14" t="n">
        <x:f>P220*'공식·설정'!$B$12+'공식·설정'!$B$14</x:f>
        <x:v>26368</x:v>
      </x:c>
      <x:c r="T220" s="68" t="n">
        <x:f>S220-R220</x:f>
        <x:v>0</x:v>
      </x:c>
      <x:c r="U220" s="65" t="n">
        <x:f>R220/'공식·설정'!$B$7</x:f>
        <x:v>103</x:v>
      </x:c>
      <x:c r="V220" s="65" t="n">
        <x:f>S220/'공식·설정'!$B$7</x:f>
        <x:v>103</x:v>
      </x:c>
      <x:c r="W220" s="14" t="n">
        <x:v>787</x:v>
      </x:c>
      <x:c r="X220" s="14" t="n">
        <x:f>INT(ABS(K221-K220)*'공식·설정'!$B$8/K220)</x:f>
        <x:v>787</x:v>
      </x:c>
      <x:c r="Y220" s="68" t="n">
        <x:f>X220-W220</x:f>
        <x:v>0</x:v>
      </x:c>
      <x:c r="Z220" s="66" t="n">
        <x:f>W220/'공식·설정'!$B$8</x:f>
        <x:v>0.0120086669921875</x:v>
      </x:c>
      <x:c r="AA220" s="66" t="n">
        <x:f>X220/'공식·설정'!$B$8</x:f>
        <x:v>0.0120086669921875</x:v>
      </x:c>
      <x:c r="AB220" s="67" t="str">
        <x:f>IF(AND(I220=0,L220=0,Q220=0,T220=0,Y220=0),"PASS","FAIL")</x:f>
        <x:v>PASS</x:v>
      </x:c>
    </x:row>
    <x:row r="221" ht="18" customHeight="1">
      <x:c r="A221" s="14" t="n">
        <x:v>324</x:v>
      </x:c>
      <x:c r="B221" s="14" t="n">
        <x:v>216</x:v>
      </x:c>
      <x:c r="C221" s="14" t="n">
        <x:v>322</x:v>
      </x:c>
      <x:c r="D221" s="14" t="n">
        <x:v>2806</x:v>
      </x:c>
      <x:c r="E221" s="14" t="n">
        <x:v>336</x:v>
      </x:c>
      <x:c r="F221" s="14" t="n">
        <x:v>3278</x:v>
      </x:c>
      <x:c r="G221" s="14" t="n">
        <x:v>2873</x:v>
      </x:c>
      <x:c r="H221" s="14" t="n">
        <x:f>INT((F221-D221)*(A221-C221)/(E221-C221))+D221</x:f>
        <x:v>2873</x:v>
      </x:c>
      <x:c r="I221" s="68" t="n">
        <x:f>H221-G221</x:f>
        <x:v>0</x:v>
      </x:c>
      <x:c r="J221" s="14" t="n">
        <x:v>18704</x:v>
      </x:c>
      <x:c r="K221" s="14" t="n">
        <x:f>INT(H221*'공식·설정'!$B$10/'공식·설정'!$B$15)</x:f>
        <x:v>18704</x:v>
      </x:c>
      <x:c r="L221" s="68" t="n">
        <x:f>K221-J221</x:f>
        <x:v>0</x:v>
      </x:c>
      <x:c r="M221" s="65" t="n">
        <x:f>J221/'공식·설정'!$B$7</x:f>
        <x:v>73.0625</x:v>
      </x:c>
      <x:c r="N221" s="65" t="n">
        <x:f>K221/'공식·설정'!$B$7</x:f>
        <x:v>73.0625</x:v>
      </x:c>
      <x:c r="O221" s="14" t="n">
        <x:v>7</x:v>
      </x:c>
      <x:c r="P221" s="14" t="n">
        <x:f>MIN(32767,MAX(0,INT((K221+INT('공식·설정'!$B$12/2))/'공식·설정'!$B$12)))</x:f>
        <x:v>7</x:v>
      </x:c>
      <x:c r="Q221" s="68" t="n">
        <x:f>P221-O221</x:f>
        <x:v>0</x:v>
      </x:c>
      <x:c r="R221" s="14" t="n">
        <x:v>26368</x:v>
      </x:c>
      <x:c r="S221" s="14" t="n">
        <x:f>P221*'공식·설정'!$B$12+'공식·설정'!$B$14</x:f>
        <x:v>26368</x:v>
      </x:c>
      <x:c r="T221" s="68" t="n">
        <x:f>S221-R221</x:f>
        <x:v>0</x:v>
      </x:c>
      <x:c r="U221" s="65" t="n">
        <x:f>R221/'공식·설정'!$B$7</x:f>
        <x:v>103</x:v>
      </x:c>
      <x:c r="V221" s="65" t="n">
        <x:f>S221/'공식·설정'!$B$7</x:f>
        <x:v>103</x:v>
      </x:c>
      <x:c r="W221" s="14" t="n">
        <x:v>774</x:v>
      </x:c>
      <x:c r="X221" s="14" t="n">
        <x:f>INT(ABS(K222-K221)*'공식·설정'!$B$8/K221)</x:f>
        <x:v>774</x:v>
      </x:c>
      <x:c r="Y221" s="68" t="n">
        <x:f>X221-W221</x:f>
        <x:v>0</x:v>
      </x:c>
      <x:c r="Z221" s="66" t="n">
        <x:f>W221/'공식·설정'!$B$8</x:f>
        <x:v>0.011810302734375</x:v>
      </x:c>
      <x:c r="AA221" s="66" t="n">
        <x:f>X221/'공식·설정'!$B$8</x:f>
        <x:v>0.011810302734375</x:v>
      </x:c>
      <x:c r="AB221" s="67" t="str">
        <x:f>IF(AND(I221=0,L221=0,Q221=0,T221=0,Y221=0),"PASS","FAIL")</x:f>
        <x:v>PASS</x:v>
      </x:c>
    </x:row>
    <x:row r="222" ht="18" customHeight="1">
      <x:c r="A222" s="14" t="n">
        <x:v>325</x:v>
      </x:c>
      <x:c r="B222" s="14" t="n">
        <x:v>217</x:v>
      </x:c>
      <x:c r="C222" s="14" t="n">
        <x:v>322</x:v>
      </x:c>
      <x:c r="D222" s="14" t="n">
        <x:v>2806</x:v>
      </x:c>
      <x:c r="E222" s="14" t="n">
        <x:v>336</x:v>
      </x:c>
      <x:c r="F222" s="14" t="n">
        <x:v>3278</x:v>
      </x:c>
      <x:c r="G222" s="14" t="n">
        <x:v>2907</x:v>
      </x:c>
      <x:c r="H222" s="14" t="n">
        <x:f>INT((F222-D222)*(A222-C222)/(E222-C222))+D222</x:f>
        <x:v>2907</x:v>
      </x:c>
      <x:c r="I222" s="68" t="n">
        <x:f>H222-G222</x:f>
        <x:v>0</x:v>
      </x:c>
      <x:c r="J222" s="14" t="n">
        <x:v>18925</x:v>
      </x:c>
      <x:c r="K222" s="14" t="n">
        <x:f>INT(H222*'공식·설정'!$B$10/'공식·설정'!$B$15)</x:f>
        <x:v>18925</x:v>
      </x:c>
      <x:c r="L222" s="68" t="n">
        <x:f>K222-J222</x:f>
        <x:v>0</x:v>
      </x:c>
      <x:c r="M222" s="65" t="n">
        <x:f>J222/'공식·설정'!$B$7</x:f>
        <x:v>73.92578125</x:v>
      </x:c>
      <x:c r="N222" s="65" t="n">
        <x:f>K222/'공식·설정'!$B$7</x:f>
        <x:v>73.92578125</x:v>
      </x:c>
      <x:c r="O222" s="14" t="n">
        <x:v>7</x:v>
      </x:c>
      <x:c r="P222" s="14" t="n">
        <x:f>MIN(32767,MAX(0,INT((K222+INT('공식·설정'!$B$12/2))/'공식·설정'!$B$12)))</x:f>
        <x:v>7</x:v>
      </x:c>
      <x:c r="Q222" s="68" t="n">
        <x:f>P222-O222</x:f>
        <x:v>0</x:v>
      </x:c>
      <x:c r="R222" s="14" t="n">
        <x:v>26368</x:v>
      </x:c>
      <x:c r="S222" s="14" t="n">
        <x:f>P222*'공식·설정'!$B$12+'공식·설정'!$B$14</x:f>
        <x:v>26368</x:v>
      </x:c>
      <x:c r="T222" s="68" t="n">
        <x:f>S222-R222</x:f>
        <x:v>0</x:v>
      </x:c>
      <x:c r="U222" s="65" t="n">
        <x:f>R222/'공식·설정'!$B$7</x:f>
        <x:v>103</x:v>
      </x:c>
      <x:c r="V222" s="65" t="n">
        <x:f>S222/'공식·설정'!$B$7</x:f>
        <x:v>103</x:v>
      </x:c>
      <x:c r="W222" s="14" t="n">
        <x:v>744</x:v>
      </x:c>
      <x:c r="X222" s="14" t="n">
        <x:f>INT(ABS(K223-K222)*'공식·설정'!$B$8/K222)</x:f>
        <x:v>744</x:v>
      </x:c>
      <x:c r="Y222" s="68" t="n">
        <x:f>X222-W222</x:f>
        <x:v>0</x:v>
      </x:c>
      <x:c r="Z222" s="66" t="n">
        <x:f>W222/'공식·설정'!$B$8</x:f>
        <x:v>0.0113525390625</x:v>
      </x:c>
      <x:c r="AA222" s="66" t="n">
        <x:f>X222/'공식·설정'!$B$8</x:f>
        <x:v>0.0113525390625</x:v>
      </x:c>
      <x:c r="AB222" s="67" t="str">
        <x:f>IF(AND(I222=0,L222=0,Q222=0,T222=0,Y222=0),"PASS","FAIL")</x:f>
        <x:v>PASS</x:v>
      </x:c>
    </x:row>
    <x:row r="223" ht="18" customHeight="1">
      <x:c r="A223" s="14" t="n">
        <x:v>326</x:v>
      </x:c>
      <x:c r="B223" s="14" t="n">
        <x:v>218</x:v>
      </x:c>
      <x:c r="C223" s="14" t="n">
        <x:v>322</x:v>
      </x:c>
      <x:c r="D223" s="14" t="n">
        <x:v>2806</x:v>
      </x:c>
      <x:c r="E223" s="14" t="n">
        <x:v>336</x:v>
      </x:c>
      <x:c r="F223" s="14" t="n">
        <x:v>3278</x:v>
      </x:c>
      <x:c r="G223" s="14" t="n">
        <x:v>2940</x:v>
      </x:c>
      <x:c r="H223" s="14" t="n">
        <x:f>INT((F223-D223)*(A223-C223)/(E223-C223))+D223</x:f>
        <x:v>2940</x:v>
      </x:c>
      <x:c r="I223" s="68" t="n">
        <x:f>H223-G223</x:f>
        <x:v>0</x:v>
      </x:c>
      <x:c r="J223" s="14" t="n">
        <x:v>19140</x:v>
      </x:c>
      <x:c r="K223" s="14" t="n">
        <x:f>INT(H223*'공식·설정'!$B$10/'공식·설정'!$B$15)</x:f>
        <x:v>19140</x:v>
      </x:c>
      <x:c r="L223" s="68" t="n">
        <x:f>K223-J223</x:f>
        <x:v>0</x:v>
      </x:c>
      <x:c r="M223" s="65" t="n">
        <x:f>J223/'공식·설정'!$B$7</x:f>
        <x:v>74.765625</x:v>
      </x:c>
      <x:c r="N223" s="65" t="n">
        <x:f>K223/'공식·설정'!$B$7</x:f>
        <x:v>74.765625</x:v>
      </x:c>
      <x:c r="O223" s="14" t="n">
        <x:v>7</x:v>
      </x:c>
      <x:c r="P223" s="14" t="n">
        <x:f>MIN(32767,MAX(0,INT((K223+INT('공식·설정'!$B$12/2))/'공식·설정'!$B$12)))</x:f>
        <x:v>7</x:v>
      </x:c>
      <x:c r="Q223" s="68" t="n">
        <x:f>P223-O223</x:f>
        <x:v>0</x:v>
      </x:c>
      <x:c r="R223" s="14" t="n">
        <x:v>26368</x:v>
      </x:c>
      <x:c r="S223" s="14" t="n">
        <x:f>P223*'공식·설정'!$B$12+'공식·설정'!$B$14</x:f>
        <x:v>26368</x:v>
      </x:c>
      <x:c r="T223" s="68" t="n">
        <x:f>S223-R223</x:f>
        <x:v>0</x:v>
      </x:c>
      <x:c r="U223" s="65" t="n">
        <x:f>R223/'공식·설정'!$B$7</x:f>
        <x:v>103</x:v>
      </x:c>
      <x:c r="V223" s="65" t="n">
        <x:f>S223/'공식·설정'!$B$7</x:f>
        <x:v>103</x:v>
      </x:c>
      <x:c r="W223" s="14" t="n">
        <x:v>756</x:v>
      </x:c>
      <x:c r="X223" s="14" t="n">
        <x:f>INT(ABS(K224-K223)*'공식·설정'!$B$8/K223)</x:f>
        <x:v>756</x:v>
      </x:c>
      <x:c r="Y223" s="68" t="n">
        <x:f>X223-W223</x:f>
        <x:v>0</x:v>
      </x:c>
      <x:c r="Z223" s="66" t="n">
        <x:f>W223/'공식·설정'!$B$8</x:f>
        <x:v>0.01153564453125</x:v>
      </x:c>
      <x:c r="AA223" s="66" t="n">
        <x:f>X223/'공식·설정'!$B$8</x:f>
        <x:v>0.01153564453125</x:v>
      </x:c>
      <x:c r="AB223" s="67" t="str">
        <x:f>IF(AND(I223=0,L223=0,Q223=0,T223=0,Y223=0),"PASS","FAIL")</x:f>
        <x:v>PASS</x:v>
      </x:c>
    </x:row>
    <x:row r="224" ht="18" customHeight="1">
      <x:c r="A224" s="14" t="n">
        <x:v>327</x:v>
      </x:c>
      <x:c r="B224" s="14" t="n">
        <x:v>219</x:v>
      </x:c>
      <x:c r="C224" s="14" t="n">
        <x:v>322</x:v>
      </x:c>
      <x:c r="D224" s="14" t="n">
        <x:v>2806</x:v>
      </x:c>
      <x:c r="E224" s="14" t="n">
        <x:v>336</x:v>
      </x:c>
      <x:c r="F224" s="14" t="n">
        <x:v>3278</x:v>
      </x:c>
      <x:c r="G224" s="14" t="n">
        <x:v>2974</x:v>
      </x:c>
      <x:c r="H224" s="14" t="n">
        <x:f>INT((F224-D224)*(A224-C224)/(E224-C224))+D224</x:f>
        <x:v>2974</x:v>
      </x:c>
      <x:c r="I224" s="68" t="n">
        <x:f>H224-G224</x:f>
        <x:v>0</x:v>
      </x:c>
      <x:c r="J224" s="14" t="n">
        <x:v>19361</x:v>
      </x:c>
      <x:c r="K224" s="14" t="n">
        <x:f>INT(H224*'공식·설정'!$B$10/'공식·설정'!$B$15)</x:f>
        <x:v>19361</x:v>
      </x:c>
      <x:c r="L224" s="68" t="n">
        <x:f>K224-J224</x:f>
        <x:v>0</x:v>
      </x:c>
      <x:c r="M224" s="65" t="n">
        <x:f>J224/'공식·설정'!$B$7</x:f>
        <x:v>75.62890625</x:v>
      </x:c>
      <x:c r="N224" s="65" t="n">
        <x:f>K224/'공식·설정'!$B$7</x:f>
        <x:v>75.62890625</x:v>
      </x:c>
      <x:c r="O224" s="14" t="n">
        <x:v>8</x:v>
      </x:c>
      <x:c r="P224" s="14" t="n">
        <x:f>MIN(32767,MAX(0,INT((K224+INT('공식·설정'!$B$12/2))/'공식·설정'!$B$12)))</x:f>
        <x:v>8</x:v>
      </x:c>
      <x:c r="Q224" s="68" t="n">
        <x:f>P224-O224</x:f>
        <x:v>0</x:v>
      </x:c>
      <x:c r="R224" s="14" t="n">
        <x:v>28928</x:v>
      </x:c>
      <x:c r="S224" s="14" t="n">
        <x:f>P224*'공식·설정'!$B$12+'공식·설정'!$B$14</x:f>
        <x:v>28928</x:v>
      </x:c>
      <x:c r="T224" s="68" t="n">
        <x:f>S224-R224</x:f>
        <x:v>0</x:v>
      </x:c>
      <x:c r="U224" s="65" t="n">
        <x:f>R224/'공식·설정'!$B$7</x:f>
        <x:v>113</x:v>
      </x:c>
      <x:c r="V224" s="65" t="n">
        <x:f>S224/'공식·설정'!$B$7</x:f>
        <x:v>113</x:v>
      </x:c>
      <x:c r="W224" s="14" t="n">
        <x:v>748</x:v>
      </x:c>
      <x:c r="X224" s="14" t="n">
        <x:f>INT(ABS(K225-K224)*'공식·설정'!$B$8/K224)</x:f>
        <x:v>748</x:v>
      </x:c>
      <x:c r="Y224" s="68" t="n">
        <x:f>X224-W224</x:f>
        <x:v>0</x:v>
      </x:c>
      <x:c r="Z224" s="66" t="n">
        <x:f>W224/'공식·설정'!$B$8</x:f>
        <x:v>0.01141357421875</x:v>
      </x:c>
      <x:c r="AA224" s="66" t="n">
        <x:f>X224/'공식·설정'!$B$8</x:f>
        <x:v>0.01141357421875</x:v>
      </x:c>
      <x:c r="AB224" s="67" t="str">
        <x:f>IF(AND(I224=0,L224=0,Q224=0,T224=0,Y224=0),"PASS","FAIL")</x:f>
        <x:v>PASS</x:v>
      </x:c>
    </x:row>
    <x:row r="225" ht="18" customHeight="1">
      <x:c r="A225" s="14" t="n">
        <x:v>328</x:v>
      </x:c>
      <x:c r="B225" s="14" t="n">
        <x:v>220</x:v>
      </x:c>
      <x:c r="C225" s="14" t="n">
        <x:v>322</x:v>
      </x:c>
      <x:c r="D225" s="14" t="n">
        <x:v>2806</x:v>
      </x:c>
      <x:c r="E225" s="14" t="n">
        <x:v>336</x:v>
      </x:c>
      <x:c r="F225" s="14" t="n">
        <x:v>3278</x:v>
      </x:c>
      <x:c r="G225" s="14" t="n">
        <x:v>3008</x:v>
      </x:c>
      <x:c r="H225" s="14" t="n">
        <x:f>INT((F225-D225)*(A225-C225)/(E225-C225))+D225</x:f>
        <x:v>3008</x:v>
      </x:c>
      <x:c r="I225" s="68" t="n">
        <x:f>H225-G225</x:f>
        <x:v>0</x:v>
      </x:c>
      <x:c r="J225" s="14" t="n">
        <x:v>19582</x:v>
      </x:c>
      <x:c r="K225" s="14" t="n">
        <x:f>INT(H225*'공식·설정'!$B$10/'공식·설정'!$B$15)</x:f>
        <x:v>19582</x:v>
      </x:c>
      <x:c r="L225" s="68" t="n">
        <x:f>K225-J225</x:f>
        <x:v>0</x:v>
      </x:c>
      <x:c r="M225" s="65" t="n">
        <x:f>J225/'공식·설정'!$B$7</x:f>
        <x:v>76.4921875</x:v>
      </x:c>
      <x:c r="N225" s="65" t="n">
        <x:f>K225/'공식·설정'!$B$7</x:f>
        <x:v>76.4921875</x:v>
      </x:c>
      <x:c r="O225" s="14" t="n">
        <x:v>8</x:v>
      </x:c>
      <x:c r="P225" s="14" t="n">
        <x:f>MIN(32767,MAX(0,INT((K225+INT('공식·설정'!$B$12/2))/'공식·설정'!$B$12)))</x:f>
        <x:v>8</x:v>
      </x:c>
      <x:c r="Q225" s="68" t="n">
        <x:f>P225-O225</x:f>
        <x:v>0</x:v>
      </x:c>
      <x:c r="R225" s="14" t="n">
        <x:v>28928</x:v>
      </x:c>
      <x:c r="S225" s="14" t="n">
        <x:f>P225*'공식·설정'!$B$12+'공식·설정'!$B$14</x:f>
        <x:v>28928</x:v>
      </x:c>
      <x:c r="T225" s="68" t="n">
        <x:f>S225-R225</x:f>
        <x:v>0</x:v>
      </x:c>
      <x:c r="U225" s="65" t="n">
        <x:f>R225/'공식·설정'!$B$7</x:f>
        <x:v>113</x:v>
      </x:c>
      <x:c r="V225" s="65" t="n">
        <x:f>S225/'공식·설정'!$B$7</x:f>
        <x:v>113</x:v>
      </x:c>
      <x:c r="W225" s="14" t="n">
        <x:v>742</x:v>
      </x:c>
      <x:c r="X225" s="14" t="n">
        <x:f>INT(ABS(K226-K225)*'공식·설정'!$B$8/K225)</x:f>
        <x:v>742</x:v>
      </x:c>
      <x:c r="Y225" s="68" t="n">
        <x:f>X225-W225</x:f>
        <x:v>0</x:v>
      </x:c>
      <x:c r="Z225" s="66" t="n">
        <x:f>W225/'공식·설정'!$B$8</x:f>
        <x:v>0.011322021484375</x:v>
      </x:c>
      <x:c r="AA225" s="66" t="n">
        <x:f>X225/'공식·설정'!$B$8</x:f>
        <x:v>0.011322021484375</x:v>
      </x:c>
      <x:c r="AB225" s="67" t="str">
        <x:f>IF(AND(I225=0,L225=0,Q225=0,T225=0,Y225=0),"PASS","FAIL")</x:f>
        <x:v>PASS</x:v>
      </x:c>
    </x:row>
    <x:row r="226" ht="18" customHeight="1">
      <x:c r="A226" s="14" t="n">
        <x:v>329</x:v>
      </x:c>
      <x:c r="B226" s="14" t="n">
        <x:v>221</x:v>
      </x:c>
      <x:c r="C226" s="14" t="n">
        <x:v>322</x:v>
      </x:c>
      <x:c r="D226" s="14" t="n">
        <x:v>2806</x:v>
      </x:c>
      <x:c r="E226" s="14" t="n">
        <x:v>336</x:v>
      </x:c>
      <x:c r="F226" s="14" t="n">
        <x:v>3278</x:v>
      </x:c>
      <x:c r="G226" s="14" t="n">
        <x:v>3042</x:v>
      </x:c>
      <x:c r="H226" s="14" t="n">
        <x:f>INT((F226-D226)*(A226-C226)/(E226-C226))+D226</x:f>
        <x:v>3042</x:v>
      </x:c>
      <x:c r="I226" s="68" t="n">
        <x:f>H226-G226</x:f>
        <x:v>0</x:v>
      </x:c>
      <x:c r="J226" s="14" t="n">
        <x:v>19804</x:v>
      </x:c>
      <x:c r="K226" s="14" t="n">
        <x:f>INT(H226*'공식·설정'!$B$10/'공식·설정'!$B$15)</x:f>
        <x:v>19804</x:v>
      </x:c>
      <x:c r="L226" s="68" t="n">
        <x:f>K226-J226</x:f>
        <x:v>0</x:v>
      </x:c>
      <x:c r="M226" s="65" t="n">
        <x:f>J226/'공식·설정'!$B$7</x:f>
        <x:v>77.359375</x:v>
      </x:c>
      <x:c r="N226" s="65" t="n">
        <x:f>K226/'공식·설정'!$B$7</x:f>
        <x:v>77.359375</x:v>
      </x:c>
      <x:c r="O226" s="14" t="n">
        <x:v>8</x:v>
      </x:c>
      <x:c r="P226" s="14" t="n">
        <x:f>MIN(32767,MAX(0,INT((K226+INT('공식·설정'!$B$12/2))/'공식·설정'!$B$12)))</x:f>
        <x:v>8</x:v>
      </x:c>
      <x:c r="Q226" s="68" t="n">
        <x:f>P226-O226</x:f>
        <x:v>0</x:v>
      </x:c>
      <x:c r="R226" s="14" t="n">
        <x:v>28928</x:v>
      </x:c>
      <x:c r="S226" s="14" t="n">
        <x:f>P226*'공식·설정'!$B$12+'공식·설정'!$B$14</x:f>
        <x:v>28928</x:v>
      </x:c>
      <x:c r="T226" s="68" t="n">
        <x:f>S226-R226</x:f>
        <x:v>0</x:v>
      </x:c>
      <x:c r="U226" s="65" t="n">
        <x:f>R226/'공식·설정'!$B$7</x:f>
        <x:v>113</x:v>
      </x:c>
      <x:c r="V226" s="65" t="n">
        <x:f>S226/'공식·설정'!$B$7</x:f>
        <x:v>113</x:v>
      </x:c>
      <x:c r="W226" s="14" t="n">
        <x:v>711</x:v>
      </x:c>
      <x:c r="X226" s="14" t="n">
        <x:f>INT(ABS(K227-K226)*'공식·설정'!$B$8/K226)</x:f>
        <x:v>711</x:v>
      </x:c>
      <x:c r="Y226" s="68" t="n">
        <x:f>X226-W226</x:f>
        <x:v>0</x:v>
      </x:c>
      <x:c r="Z226" s="66" t="n">
        <x:f>W226/'공식·설정'!$B$8</x:f>
        <x:v>0.0108489990234375</x:v>
      </x:c>
      <x:c r="AA226" s="66" t="n">
        <x:f>X226/'공식·설정'!$B$8</x:f>
        <x:v>0.0108489990234375</x:v>
      </x:c>
      <x:c r="AB226" s="67" t="str">
        <x:f>IF(AND(I226=0,L226=0,Q226=0,T226=0,Y226=0),"PASS","FAIL")</x:f>
        <x:v>PASS</x:v>
      </x:c>
    </x:row>
    <x:row r="227" ht="18" customHeight="1">
      <x:c r="A227" s="14" t="n">
        <x:v>330</x:v>
      </x:c>
      <x:c r="B227" s="14" t="n">
        <x:v>222</x:v>
      </x:c>
      <x:c r="C227" s="14" t="n">
        <x:v>322</x:v>
      </x:c>
      <x:c r="D227" s="14" t="n">
        <x:v>2806</x:v>
      </x:c>
      <x:c r="E227" s="14" t="n">
        <x:v>336</x:v>
      </x:c>
      <x:c r="F227" s="14" t="n">
        <x:v>3278</x:v>
      </x:c>
      <x:c r="G227" s="14" t="n">
        <x:v>3075</x:v>
      </x:c>
      <x:c r="H227" s="14" t="n">
        <x:f>INT((F227-D227)*(A227-C227)/(E227-C227))+D227</x:f>
        <x:v>3075</x:v>
      </x:c>
      <x:c r="I227" s="68" t="n">
        <x:f>H227-G227</x:f>
        <x:v>0</x:v>
      </x:c>
      <x:c r="J227" s="14" t="n">
        <x:v>20019</x:v>
      </x:c>
      <x:c r="K227" s="14" t="n">
        <x:f>INT(H227*'공식·설정'!$B$10/'공식·설정'!$B$15)</x:f>
        <x:v>20019</x:v>
      </x:c>
      <x:c r="L227" s="68" t="n">
        <x:f>K227-J227</x:f>
        <x:v>0</x:v>
      </x:c>
      <x:c r="M227" s="65" t="n">
        <x:f>J227/'공식·설정'!$B$7</x:f>
        <x:v>78.19921875</x:v>
      </x:c>
      <x:c r="N227" s="65" t="n">
        <x:f>K227/'공식·설정'!$B$7</x:f>
        <x:v>78.19921875</x:v>
      </x:c>
      <x:c r="O227" s="14" t="n">
        <x:v>8</x:v>
      </x:c>
      <x:c r="P227" s="14" t="n">
        <x:f>MIN(32767,MAX(0,INT((K227+INT('공식·설정'!$B$12/2))/'공식·설정'!$B$12)))</x:f>
        <x:v>8</x:v>
      </x:c>
      <x:c r="Q227" s="68" t="n">
        <x:f>P227-O227</x:f>
        <x:v>0</x:v>
      </x:c>
      <x:c r="R227" s="14" t="n">
        <x:v>28928</x:v>
      </x:c>
      <x:c r="S227" s="14" t="n">
        <x:f>P227*'공식·설정'!$B$12+'공식·설정'!$B$14</x:f>
        <x:v>28928</x:v>
      </x:c>
      <x:c r="T227" s="68" t="n">
        <x:f>S227-R227</x:f>
        <x:v>0</x:v>
      </x:c>
      <x:c r="U227" s="65" t="n">
        <x:f>R227/'공식·설정'!$B$7</x:f>
        <x:v>113</x:v>
      </x:c>
      <x:c r="V227" s="65" t="n">
        <x:f>S227/'공식·설정'!$B$7</x:f>
        <x:v>113</x:v>
      </x:c>
      <x:c r="W227" s="14" t="n">
        <x:v>723</x:v>
      </x:c>
      <x:c r="X227" s="14" t="n">
        <x:f>INT(ABS(K228-K227)*'공식·설정'!$B$8/K227)</x:f>
        <x:v>723</x:v>
      </x:c>
      <x:c r="Y227" s="68" t="n">
        <x:f>X227-W227</x:f>
        <x:v>0</x:v>
      </x:c>
      <x:c r="Z227" s="66" t="n">
        <x:f>W227/'공식·설정'!$B$8</x:f>
        <x:v>0.0110321044921875</x:v>
      </x:c>
      <x:c r="AA227" s="66" t="n">
        <x:f>X227/'공식·설정'!$B$8</x:f>
        <x:v>0.0110321044921875</x:v>
      </x:c>
      <x:c r="AB227" s="67" t="str">
        <x:f>IF(AND(I227=0,L227=0,Q227=0,T227=0,Y227=0),"PASS","FAIL")</x:f>
        <x:v>PASS</x:v>
      </x:c>
    </x:row>
    <x:row r="228" ht="18" customHeight="1">
      <x:c r="A228" s="14" t="n">
        <x:v>331</x:v>
      </x:c>
      <x:c r="B228" s="14" t="n">
        <x:v>223</x:v>
      </x:c>
      <x:c r="C228" s="14" t="n">
        <x:v>322</x:v>
      </x:c>
      <x:c r="D228" s="14" t="n">
        <x:v>2806</x:v>
      </x:c>
      <x:c r="E228" s="14" t="n">
        <x:v>336</x:v>
      </x:c>
      <x:c r="F228" s="14" t="n">
        <x:v>3278</x:v>
      </x:c>
      <x:c r="G228" s="14" t="n">
        <x:v>3109</x:v>
      </x:c>
      <x:c r="H228" s="14" t="n">
        <x:f>INT((F228-D228)*(A228-C228)/(E228-C228))+D228</x:f>
        <x:v>3109</x:v>
      </x:c>
      <x:c r="I228" s="68" t="n">
        <x:f>H228-G228</x:f>
        <x:v>0</x:v>
      </x:c>
      <x:c r="J228" s="14" t="n">
        <x:v>20240</x:v>
      </x:c>
      <x:c r="K228" s="14" t="n">
        <x:f>INT(H228*'공식·설정'!$B$10/'공식·설정'!$B$15)</x:f>
        <x:v>20240</x:v>
      </x:c>
      <x:c r="L228" s="68" t="n">
        <x:f>K228-J228</x:f>
        <x:v>0</x:v>
      </x:c>
      <x:c r="M228" s="65" t="n">
        <x:f>J228/'공식·설정'!$B$7</x:f>
        <x:v>79.0625</x:v>
      </x:c>
      <x:c r="N228" s="65" t="n">
        <x:f>K228/'공식·설정'!$B$7</x:f>
        <x:v>79.0625</x:v>
      </x:c>
      <x:c r="O228" s="14" t="n">
        <x:v>8</x:v>
      </x:c>
      <x:c r="P228" s="14" t="n">
        <x:f>MIN(32767,MAX(0,INT((K228+INT('공식·설정'!$B$12/2))/'공식·설정'!$B$12)))</x:f>
        <x:v>8</x:v>
      </x:c>
      <x:c r="Q228" s="68" t="n">
        <x:f>P228-O228</x:f>
        <x:v>0</x:v>
      </x:c>
      <x:c r="R228" s="14" t="n">
        <x:v>28928</x:v>
      </x:c>
      <x:c r="S228" s="14" t="n">
        <x:f>P228*'공식·설정'!$B$12+'공식·설정'!$B$14</x:f>
        <x:v>28928</x:v>
      </x:c>
      <x:c r="T228" s="68" t="n">
        <x:f>S228-R228</x:f>
        <x:v>0</x:v>
      </x:c>
      <x:c r="U228" s="65" t="n">
        <x:f>R228/'공식·설정'!$B$7</x:f>
        <x:v>113</x:v>
      </x:c>
      <x:c r="V228" s="65" t="n">
        <x:f>S228/'공식·설정'!$B$7</x:f>
        <x:v>113</x:v>
      </x:c>
      <x:c r="W228" s="14" t="n">
        <x:v>715</x:v>
      </x:c>
      <x:c r="X228" s="14" t="n">
        <x:f>INT(ABS(K229-K228)*'공식·설정'!$B$8/K228)</x:f>
        <x:v>715</x:v>
      </x:c>
      <x:c r="Y228" s="68" t="n">
        <x:f>X228-W228</x:f>
        <x:v>0</x:v>
      </x:c>
      <x:c r="Z228" s="66" t="n">
        <x:f>W228/'공식·설정'!$B$8</x:f>
        <x:v>0.0109100341796875</x:v>
      </x:c>
      <x:c r="AA228" s="66" t="n">
        <x:f>X228/'공식·설정'!$B$8</x:f>
        <x:v>0.0109100341796875</x:v>
      </x:c>
      <x:c r="AB228" s="67" t="str">
        <x:f>IF(AND(I228=0,L228=0,Q228=0,T228=0,Y228=0),"PASS","FAIL")</x:f>
        <x:v>PASS</x:v>
      </x:c>
    </x:row>
    <x:row r="229" ht="18" customHeight="1">
      <x:c r="A229" s="14" t="n">
        <x:v>332</x:v>
      </x:c>
      <x:c r="B229" s="14" t="n">
        <x:v>224</x:v>
      </x:c>
      <x:c r="C229" s="14" t="n">
        <x:v>322</x:v>
      </x:c>
      <x:c r="D229" s="14" t="n">
        <x:v>2806</x:v>
      </x:c>
      <x:c r="E229" s="14" t="n">
        <x:v>336</x:v>
      </x:c>
      <x:c r="F229" s="14" t="n">
        <x:v>3278</x:v>
      </x:c>
      <x:c r="G229" s="14" t="n">
        <x:v>3143</x:v>
      </x:c>
      <x:c r="H229" s="14" t="n">
        <x:f>INT((F229-D229)*(A229-C229)/(E229-C229))+D229</x:f>
        <x:v>3143</x:v>
      </x:c>
      <x:c r="I229" s="68" t="n">
        <x:f>H229-G229</x:f>
        <x:v>0</x:v>
      </x:c>
      <x:c r="J229" s="14" t="n">
        <x:v>20461</x:v>
      </x:c>
      <x:c r="K229" s="14" t="n">
        <x:f>INT(H229*'공식·설정'!$B$10/'공식·설정'!$B$15)</x:f>
        <x:v>20461</x:v>
      </x:c>
      <x:c r="L229" s="68" t="n">
        <x:f>K229-J229</x:f>
        <x:v>0</x:v>
      </x:c>
      <x:c r="M229" s="65" t="n">
        <x:f>J229/'공식·설정'!$B$7</x:f>
        <x:v>79.92578125</x:v>
      </x:c>
      <x:c r="N229" s="65" t="n">
        <x:f>K229/'공식·설정'!$B$7</x:f>
        <x:v>79.92578125</x:v>
      </x:c>
      <x:c r="O229" s="14" t="n">
        <x:v>8</x:v>
      </x:c>
      <x:c r="P229" s="14" t="n">
        <x:f>MIN(32767,MAX(0,INT((K229+INT('공식·설정'!$B$12/2))/'공식·설정'!$B$12)))</x:f>
        <x:v>8</x:v>
      </x:c>
      <x:c r="Q229" s="68" t="n">
        <x:f>P229-O229</x:f>
        <x:v>0</x:v>
      </x:c>
      <x:c r="R229" s="14" t="n">
        <x:v>28928</x:v>
      </x:c>
      <x:c r="S229" s="14" t="n">
        <x:f>P229*'공식·설정'!$B$12+'공식·설정'!$B$14</x:f>
        <x:v>28928</x:v>
      </x:c>
      <x:c r="T229" s="68" t="n">
        <x:f>S229-R229</x:f>
        <x:v>0</x:v>
      </x:c>
      <x:c r="U229" s="65" t="n">
        <x:f>R229/'공식·설정'!$B$7</x:f>
        <x:v>113</x:v>
      </x:c>
      <x:c r="V229" s="65" t="n">
        <x:f>S229/'공식·설정'!$B$7</x:f>
        <x:v>113</x:v>
      </x:c>
      <x:c r="W229" s="14" t="n">
        <x:v>688</x:v>
      </x:c>
      <x:c r="X229" s="14" t="n">
        <x:f>INT(ABS(K230-K229)*'공식·설정'!$B$8/K229)</x:f>
        <x:v>688</x:v>
      </x:c>
      <x:c r="Y229" s="68" t="n">
        <x:f>X229-W229</x:f>
        <x:v>0</x:v>
      </x:c>
      <x:c r="Z229" s="66" t="n">
        <x:f>W229/'공식·설정'!$B$8</x:f>
        <x:v>0.010498046875</x:v>
      </x:c>
      <x:c r="AA229" s="66" t="n">
        <x:f>X229/'공식·설정'!$B$8</x:f>
        <x:v>0.010498046875</x:v>
      </x:c>
      <x:c r="AB229" s="67" t="str">
        <x:f>IF(AND(I229=0,L229=0,Q229=0,T229=0,Y229=0),"PASS","FAIL")</x:f>
        <x:v>PASS</x:v>
      </x:c>
    </x:row>
    <x:row r="230" ht="18" customHeight="1">
      <x:c r="A230" s="14" t="n">
        <x:v>333</x:v>
      </x:c>
      <x:c r="B230" s="14" t="n">
        <x:v>225</x:v>
      </x:c>
      <x:c r="C230" s="14" t="n">
        <x:v>322</x:v>
      </x:c>
      <x:c r="D230" s="14" t="n">
        <x:v>2806</x:v>
      </x:c>
      <x:c r="E230" s="14" t="n">
        <x:v>336</x:v>
      </x:c>
      <x:c r="F230" s="14" t="n">
        <x:v>3278</x:v>
      </x:c>
      <x:c r="G230" s="14" t="n">
        <x:v>3176</x:v>
      </x:c>
      <x:c r="H230" s="14" t="n">
        <x:f>INT((F230-D230)*(A230-C230)/(E230-C230))+D230</x:f>
        <x:v>3176</x:v>
      </x:c>
      <x:c r="I230" s="68" t="n">
        <x:f>H230-G230</x:f>
        <x:v>0</x:v>
      </x:c>
      <x:c r="J230" s="14" t="n">
        <x:v>20676</x:v>
      </x:c>
      <x:c r="K230" s="14" t="n">
        <x:f>INT(H230*'공식·설정'!$B$10/'공식·설정'!$B$15)</x:f>
        <x:v>20676</x:v>
      </x:c>
      <x:c r="L230" s="68" t="n">
        <x:f>K230-J230</x:f>
        <x:v>0</x:v>
      </x:c>
      <x:c r="M230" s="65" t="n">
        <x:f>J230/'공식·설정'!$B$7</x:f>
        <x:v>80.765625</x:v>
      </x:c>
      <x:c r="N230" s="65" t="n">
        <x:f>K230/'공식·설정'!$B$7</x:f>
        <x:v>80.765625</x:v>
      </x:c>
      <x:c r="O230" s="14" t="n">
        <x:v>8</x:v>
      </x:c>
      <x:c r="P230" s="14" t="n">
        <x:f>MIN(32767,MAX(0,INT((K230+INT('공식·설정'!$B$12/2))/'공식·설정'!$B$12)))</x:f>
        <x:v>8</x:v>
      </x:c>
      <x:c r="Q230" s="68" t="n">
        <x:f>P230-O230</x:f>
        <x:v>0</x:v>
      </x:c>
      <x:c r="R230" s="14" t="n">
        <x:v>28928</x:v>
      </x:c>
      <x:c r="S230" s="14" t="n">
        <x:f>P230*'공식·설정'!$B$12+'공식·설정'!$B$14</x:f>
        <x:v>28928</x:v>
      </x:c>
      <x:c r="T230" s="68" t="n">
        <x:f>S230-R230</x:f>
        <x:v>0</x:v>
      </x:c>
      <x:c r="U230" s="65" t="n">
        <x:f>R230/'공식·설정'!$B$7</x:f>
        <x:v>113</x:v>
      </x:c>
      <x:c r="V230" s="65" t="n">
        <x:f>S230/'공식·설정'!$B$7</x:f>
        <x:v>113</x:v>
      </x:c>
      <x:c r="W230" s="14" t="n">
        <x:v>703</x:v>
      </x:c>
      <x:c r="X230" s="14" t="n">
        <x:f>INT(ABS(K231-K230)*'공식·설정'!$B$8/K230)</x:f>
        <x:v>703</x:v>
      </x:c>
      <x:c r="Y230" s="68" t="n">
        <x:f>X230-W230</x:f>
        <x:v>0</x:v>
      </x:c>
      <x:c r="Z230" s="66" t="n">
        <x:f>W230/'공식·설정'!$B$8</x:f>
        <x:v>0.0107269287109375</x:v>
      </x:c>
      <x:c r="AA230" s="66" t="n">
        <x:f>X230/'공식·설정'!$B$8</x:f>
        <x:v>0.0107269287109375</x:v>
      </x:c>
      <x:c r="AB230" s="67" t="str">
        <x:f>IF(AND(I230=0,L230=0,Q230=0,T230=0,Y230=0),"PASS","FAIL")</x:f>
        <x:v>PASS</x:v>
      </x:c>
    </x:row>
    <x:row r="231" ht="18" customHeight="1">
      <x:c r="A231" s="14" t="n">
        <x:v>334</x:v>
      </x:c>
      <x:c r="B231" s="14" t="n">
        <x:v>226</x:v>
      </x:c>
      <x:c r="C231" s="14" t="n">
        <x:v>322</x:v>
      </x:c>
      <x:c r="D231" s="14" t="n">
        <x:v>2806</x:v>
      </x:c>
      <x:c r="E231" s="14" t="n">
        <x:v>336</x:v>
      </x:c>
      <x:c r="F231" s="14" t="n">
        <x:v>3278</x:v>
      </x:c>
      <x:c r="G231" s="14" t="n">
        <x:v>3210</x:v>
      </x:c>
      <x:c r="H231" s="14" t="n">
        <x:f>INT((F231-D231)*(A231-C231)/(E231-C231))+D231</x:f>
        <x:v>3210</x:v>
      </x:c>
      <x:c r="I231" s="68" t="n">
        <x:f>H231-G231</x:f>
        <x:v>0</x:v>
      </x:c>
      <x:c r="J231" s="14" t="n">
        <x:v>20898</x:v>
      </x:c>
      <x:c r="K231" s="14" t="n">
        <x:f>INT(H231*'공식·설정'!$B$10/'공식·설정'!$B$15)</x:f>
        <x:v>20898</x:v>
      </x:c>
      <x:c r="L231" s="68" t="n">
        <x:f>K231-J231</x:f>
        <x:v>0</x:v>
      </x:c>
      <x:c r="M231" s="65" t="n">
        <x:f>J231/'공식·설정'!$B$7</x:f>
        <x:v>81.6328125</x:v>
      </x:c>
      <x:c r="N231" s="65" t="n">
        <x:f>K231/'공식·설정'!$B$7</x:f>
        <x:v>81.6328125</x:v>
      </x:c>
      <x:c r="O231" s="14" t="n">
        <x:v>8</x:v>
      </x:c>
      <x:c r="P231" s="14" t="n">
        <x:f>MIN(32767,MAX(0,INT((K231+INT('공식·설정'!$B$12/2))/'공식·설정'!$B$12)))</x:f>
        <x:v>8</x:v>
      </x:c>
      <x:c r="Q231" s="68" t="n">
        <x:f>P231-O231</x:f>
        <x:v>0</x:v>
      </x:c>
      <x:c r="R231" s="14" t="n">
        <x:v>28928</x:v>
      </x:c>
      <x:c r="S231" s="14" t="n">
        <x:f>P231*'공식·설정'!$B$12+'공식·설정'!$B$14</x:f>
        <x:v>28928</x:v>
      </x:c>
      <x:c r="T231" s="68" t="n">
        <x:f>S231-R231</x:f>
        <x:v>0</x:v>
      </x:c>
      <x:c r="U231" s="65" t="n">
        <x:f>R231/'공식·설정'!$B$7</x:f>
        <x:v>113</x:v>
      </x:c>
      <x:c r="V231" s="65" t="n">
        <x:f>S231/'공식·설정'!$B$7</x:f>
        <x:v>113</x:v>
      </x:c>
      <x:c r="W231" s="14" t="n">
        <x:v>693</x:v>
      </x:c>
      <x:c r="X231" s="14" t="n">
        <x:f>INT(ABS(K232-K231)*'공식·설정'!$B$8/K231)</x:f>
        <x:v>693</x:v>
      </x:c>
      <x:c r="Y231" s="68" t="n">
        <x:f>X231-W231</x:f>
        <x:v>0</x:v>
      </x:c>
      <x:c r="Z231" s="66" t="n">
        <x:f>W231/'공식·설정'!$B$8</x:f>
        <x:v>0.0105743408203125</x:v>
      </x:c>
      <x:c r="AA231" s="66" t="n">
        <x:f>X231/'공식·설정'!$B$8</x:f>
        <x:v>0.0105743408203125</x:v>
      </x:c>
      <x:c r="AB231" s="67" t="str">
        <x:f>IF(AND(I231=0,L231=0,Q231=0,T231=0,Y231=0),"PASS","FAIL")</x:f>
        <x:v>PASS</x:v>
      </x:c>
    </x:row>
    <x:row r="232" ht="18" customHeight="1">
      <x:c r="A232" s="14" t="n">
        <x:v>335</x:v>
      </x:c>
      <x:c r="B232" s="14" t="n">
        <x:v>227</x:v>
      </x:c>
      <x:c r="C232" s="14" t="n">
        <x:v>322</x:v>
      </x:c>
      <x:c r="D232" s="14" t="n">
        <x:v>2806</x:v>
      </x:c>
      <x:c r="E232" s="14" t="n">
        <x:v>336</x:v>
      </x:c>
      <x:c r="F232" s="14" t="n">
        <x:v>3278</x:v>
      </x:c>
      <x:c r="G232" s="14" t="n">
        <x:v>3244</x:v>
      </x:c>
      <x:c r="H232" s="14" t="n">
        <x:f>INT((F232-D232)*(A232-C232)/(E232-C232))+D232</x:f>
        <x:v>3244</x:v>
      </x:c>
      <x:c r="I232" s="68" t="n">
        <x:f>H232-G232</x:f>
        <x:v>0</x:v>
      </x:c>
      <x:c r="J232" s="14" t="n">
        <x:v>21119</x:v>
      </x:c>
      <x:c r="K232" s="14" t="n">
        <x:f>INT(H232*'공식·설정'!$B$10/'공식·설정'!$B$15)</x:f>
        <x:v>21119</x:v>
      </x:c>
      <x:c r="L232" s="68" t="n">
        <x:f>K232-J232</x:f>
        <x:v>0</x:v>
      </x:c>
      <x:c r="M232" s="65" t="n">
        <x:f>J232/'공식·설정'!$B$7</x:f>
        <x:v>82.49609375</x:v>
      </x:c>
      <x:c r="N232" s="65" t="n">
        <x:f>K232/'공식·설정'!$B$7</x:f>
        <x:v>82.49609375</x:v>
      </x:c>
      <x:c r="O232" s="14" t="n">
        <x:v>8</x:v>
      </x:c>
      <x:c r="P232" s="14" t="n">
        <x:f>MIN(32767,MAX(0,INT((K232+INT('공식·설정'!$B$12/2))/'공식·설정'!$B$12)))</x:f>
        <x:v>8</x:v>
      </x:c>
      <x:c r="Q232" s="68" t="n">
        <x:f>P232-O232</x:f>
        <x:v>0</x:v>
      </x:c>
      <x:c r="R232" s="14" t="n">
        <x:v>28928</x:v>
      </x:c>
      <x:c r="S232" s="14" t="n">
        <x:f>P232*'공식·설정'!$B$12+'공식·설정'!$B$14</x:f>
        <x:v>28928</x:v>
      </x:c>
      <x:c r="T232" s="68" t="n">
        <x:f>S232-R232</x:f>
        <x:v>0</x:v>
      </x:c>
      <x:c r="U232" s="65" t="n">
        <x:f>R232/'공식·설정'!$B$7</x:f>
        <x:v>113</x:v>
      </x:c>
      <x:c r="V232" s="65" t="n">
        <x:f>S232/'공식·설정'!$B$7</x:f>
        <x:v>113</x:v>
      </x:c>
      <x:c r="W232" s="14" t="n">
        <x:v>685</x:v>
      </x:c>
      <x:c r="X232" s="14" t="n">
        <x:f>INT(ABS(K233-K232)*'공식·설정'!$B$8/K232)</x:f>
        <x:v>685</x:v>
      </x:c>
      <x:c r="Y232" s="68" t="n">
        <x:f>X232-W232</x:f>
        <x:v>0</x:v>
      </x:c>
      <x:c r="Z232" s="66" t="n">
        <x:f>W232/'공식·설정'!$B$8</x:f>
        <x:v>0.0104522705078125</x:v>
      </x:c>
      <x:c r="AA232" s="66" t="n">
        <x:f>X232/'공식·설정'!$B$8</x:f>
        <x:v>0.0104522705078125</x:v>
      </x:c>
      <x:c r="AB232" s="67" t="str">
        <x:f>IF(AND(I232=0,L232=0,Q232=0,T232=0,Y232=0),"PASS","FAIL")</x:f>
        <x:v>PASS</x:v>
      </x:c>
    </x:row>
    <x:row r="233" ht="18" customHeight="1">
      <x:c r="A233" s="14" t="n">
        <x:v>336</x:v>
      </x:c>
      <x:c r="B233" s="14" t="n">
        <x:v>228</x:v>
      </x:c>
      <x:c r="C233" s="14" t="n">
        <x:v>336</x:v>
      </x:c>
      <x:c r="D233" s="14" t="n">
        <x:v>3278</x:v>
      </x:c>
      <x:c r="E233" s="14" t="n">
        <x:v>350</x:v>
      </x:c>
      <x:c r="F233" s="14" t="n">
        <x:v>3827</x:v>
      </x:c>
      <x:c r="G233" s="14" t="n">
        <x:v>3278</x:v>
      </x:c>
      <x:c r="H233" s="14" t="n">
        <x:f>INT((F233-D233)*(A233-C233)/(E233-C233))+D233</x:f>
        <x:v>3278</x:v>
      </x:c>
      <x:c r="I233" s="68" t="n">
        <x:f>H233-G233</x:f>
        <x:v>0</x:v>
      </x:c>
      <x:c r="J233" s="14" t="n">
        <x:v>21340</x:v>
      </x:c>
      <x:c r="K233" s="14" t="n">
        <x:f>INT(H233*'공식·설정'!$B$10/'공식·설정'!$B$15)</x:f>
        <x:v>21340</x:v>
      </x:c>
      <x:c r="L233" s="68" t="n">
        <x:f>K233-J233</x:f>
        <x:v>0</x:v>
      </x:c>
      <x:c r="M233" s="65" t="n">
        <x:f>J233/'공식·설정'!$B$7</x:f>
        <x:v>83.359375</x:v>
      </x:c>
      <x:c r="N233" s="65" t="n">
        <x:f>K233/'공식·설정'!$B$7</x:f>
        <x:v>83.359375</x:v>
      </x:c>
      <x:c r="O233" s="14" t="n">
        <x:v>8</x:v>
      </x:c>
      <x:c r="P233" s="14" t="n">
        <x:f>MIN(32767,MAX(0,INT((K233+INT('공식·설정'!$B$12/2))/'공식·설정'!$B$12)))</x:f>
        <x:v>8</x:v>
      </x:c>
      <x:c r="Q233" s="68" t="n">
        <x:f>P233-O233</x:f>
        <x:v>0</x:v>
      </x:c>
      <x:c r="R233" s="14" t="n">
        <x:v>28928</x:v>
      </x:c>
      <x:c r="S233" s="14" t="n">
        <x:f>P233*'공식·설정'!$B$12+'공식·설정'!$B$14</x:f>
        <x:v>28928</x:v>
      </x:c>
      <x:c r="T233" s="68" t="n">
        <x:f>S233-R233</x:f>
        <x:v>0</x:v>
      </x:c>
      <x:c r="U233" s="65" t="n">
        <x:f>R233/'공식·설정'!$B$7</x:f>
        <x:v>113</x:v>
      </x:c>
      <x:c r="V233" s="65" t="n">
        <x:f>S233/'공식·설정'!$B$7</x:f>
        <x:v>113</x:v>
      </x:c>
      <x:c r="W233" s="14" t="n">
        <x:v>780</x:v>
      </x:c>
      <x:c r="X233" s="14" t="n">
        <x:f>INT(ABS(K234-K233)*'공식·설정'!$B$8/K233)</x:f>
        <x:v>780</x:v>
      </x:c>
      <x:c r="Y233" s="68" t="n">
        <x:f>X233-W233</x:f>
        <x:v>0</x:v>
      </x:c>
      <x:c r="Z233" s="66" t="n">
        <x:f>W233/'공식·설정'!$B$8</x:f>
        <x:v>0.01190185546875</x:v>
      </x:c>
      <x:c r="AA233" s="66" t="n">
        <x:f>X233/'공식·설정'!$B$8</x:f>
        <x:v>0.01190185546875</x:v>
      </x:c>
      <x:c r="AB233" s="67" t="str">
        <x:f>IF(AND(I233=0,L233=0,Q233=0,T233=0,Y233=0),"PASS","FAIL")</x:f>
        <x:v>PASS</x:v>
      </x:c>
    </x:row>
    <x:row r="234" ht="18" customHeight="1">
      <x:c r="A234" s="14" t="n">
        <x:v>337</x:v>
      </x:c>
      <x:c r="B234" s="14" t="n">
        <x:v>229</x:v>
      </x:c>
      <x:c r="C234" s="14" t="n">
        <x:v>336</x:v>
      </x:c>
      <x:c r="D234" s="14" t="n">
        <x:v>3278</x:v>
      </x:c>
      <x:c r="E234" s="14" t="n">
        <x:v>350</x:v>
      </x:c>
      <x:c r="F234" s="14" t="n">
        <x:v>3827</x:v>
      </x:c>
      <x:c r="G234" s="14" t="n">
        <x:v>3317</x:v>
      </x:c>
      <x:c r="H234" s="14" t="n">
        <x:f>INT((F234-D234)*(A234-C234)/(E234-C234))+D234</x:f>
        <x:v>3317</x:v>
      </x:c>
      <x:c r="I234" s="68" t="n">
        <x:f>H234-G234</x:f>
        <x:v>0</x:v>
      </x:c>
      <x:c r="J234" s="14" t="n">
        <x:v>21594</x:v>
      </x:c>
      <x:c r="K234" s="14" t="n">
        <x:f>INT(H234*'공식·설정'!$B$10/'공식·설정'!$B$15)</x:f>
        <x:v>21594</x:v>
      </x:c>
      <x:c r="L234" s="68" t="n">
        <x:f>K234-J234</x:f>
        <x:v>0</x:v>
      </x:c>
      <x:c r="M234" s="65" t="n">
        <x:f>J234/'공식·설정'!$B$7</x:f>
        <x:v>84.3515625</x:v>
      </x:c>
      <x:c r="N234" s="65" t="n">
        <x:f>K234/'공식·설정'!$B$7</x:f>
        <x:v>84.3515625</x:v>
      </x:c>
      <x:c r="O234" s="14" t="n">
        <x:v>8</x:v>
      </x:c>
      <x:c r="P234" s="14" t="n">
        <x:f>MIN(32767,MAX(0,INT((K234+INT('공식·설정'!$B$12/2))/'공식·설정'!$B$12)))</x:f>
        <x:v>8</x:v>
      </x:c>
      <x:c r="Q234" s="68" t="n">
        <x:f>P234-O234</x:f>
        <x:v>0</x:v>
      </x:c>
      <x:c r="R234" s="14" t="n">
        <x:v>28928</x:v>
      </x:c>
      <x:c r="S234" s="14" t="n">
        <x:f>P234*'공식·설정'!$B$12+'공식·설정'!$B$14</x:f>
        <x:v>28928</x:v>
      </x:c>
      <x:c r="T234" s="68" t="n">
        <x:f>S234-R234</x:f>
        <x:v>0</x:v>
      </x:c>
      <x:c r="U234" s="65" t="n">
        <x:f>R234/'공식·설정'!$B$7</x:f>
        <x:v>113</x:v>
      </x:c>
      <x:c r="V234" s="65" t="n">
        <x:f>S234/'공식·설정'!$B$7</x:f>
        <x:v>113</x:v>
      </x:c>
      <x:c r="W234" s="14" t="n">
        <x:v>770</x:v>
      </x:c>
      <x:c r="X234" s="14" t="n">
        <x:f>INT(ABS(K235-K234)*'공식·설정'!$B$8/K234)</x:f>
        <x:v>770</x:v>
      </x:c>
      <x:c r="Y234" s="68" t="n">
        <x:f>X234-W234</x:f>
        <x:v>0</x:v>
      </x:c>
      <x:c r="Z234" s="66" t="n">
        <x:f>W234/'공식·설정'!$B$8</x:f>
        <x:v>0.011749267578125</x:v>
      </x:c>
      <x:c r="AA234" s="66" t="n">
        <x:f>X234/'공식·설정'!$B$8</x:f>
        <x:v>0.011749267578125</x:v>
      </x:c>
      <x:c r="AB234" s="67" t="str">
        <x:f>IF(AND(I234=0,L234=0,Q234=0,T234=0,Y234=0),"PASS","FAIL")</x:f>
        <x:v>PASS</x:v>
      </x:c>
    </x:row>
    <x:row r="235" ht="18" customHeight="1">
      <x:c r="A235" s="14" t="n">
        <x:v>338</x:v>
      </x:c>
      <x:c r="B235" s="14" t="n">
        <x:v>230</x:v>
      </x:c>
      <x:c r="C235" s="14" t="n">
        <x:v>336</x:v>
      </x:c>
      <x:c r="D235" s="14" t="n">
        <x:v>3278</x:v>
      </x:c>
      <x:c r="E235" s="14" t="n">
        <x:v>350</x:v>
      </x:c>
      <x:c r="F235" s="14" t="n">
        <x:v>3827</x:v>
      </x:c>
      <x:c r="G235" s="14" t="n">
        <x:v>3356</x:v>
      </x:c>
      <x:c r="H235" s="14" t="n">
        <x:f>INT((F235-D235)*(A235-C235)/(E235-C235))+D235</x:f>
        <x:v>3356</x:v>
      </x:c>
      <x:c r="I235" s="68" t="n">
        <x:f>H235-G235</x:f>
        <x:v>0</x:v>
      </x:c>
      <x:c r="J235" s="14" t="n">
        <x:v>21848</x:v>
      </x:c>
      <x:c r="K235" s="14" t="n">
        <x:f>INT(H235*'공식·설정'!$B$10/'공식·설정'!$B$15)</x:f>
        <x:v>21848</x:v>
      </x:c>
      <x:c r="L235" s="68" t="n">
        <x:f>K235-J235</x:f>
        <x:v>0</x:v>
      </x:c>
      <x:c r="M235" s="65" t="n">
        <x:f>J235/'공식·설정'!$B$7</x:f>
        <x:v>85.34375</x:v>
      </x:c>
      <x:c r="N235" s="65" t="n">
        <x:f>K235/'공식·설정'!$B$7</x:f>
        <x:v>85.34375</x:v>
      </x:c>
      <x:c r="O235" s="14" t="n">
        <x:v>9</x:v>
      </x:c>
      <x:c r="P235" s="14" t="n">
        <x:f>MIN(32767,MAX(0,INT((K235+INT('공식·설정'!$B$12/2))/'공식·설정'!$B$12)))</x:f>
        <x:v>9</x:v>
      </x:c>
      <x:c r="Q235" s="68" t="n">
        <x:f>P235-O235</x:f>
        <x:v>0</x:v>
      </x:c>
      <x:c r="R235" s="14" t="n">
        <x:v>31488</x:v>
      </x:c>
      <x:c r="S235" s="14" t="n">
        <x:f>P235*'공식·설정'!$B$12+'공식·설정'!$B$14</x:f>
        <x:v>31488</x:v>
      </x:c>
      <x:c r="T235" s="68" t="n">
        <x:f>S235-R235</x:f>
        <x:v>0</x:v>
      </x:c>
      <x:c r="U235" s="65" t="n">
        <x:f>R235/'공식·설정'!$B$7</x:f>
        <x:v>123</x:v>
      </x:c>
      <x:c r="V235" s="65" t="n">
        <x:f>S235/'공식·설정'!$B$7</x:f>
        <x:v>123</x:v>
      </x:c>
      <x:c r="W235" s="14" t="n">
        <x:v>761</x:v>
      </x:c>
      <x:c r="X235" s="14" t="n">
        <x:f>INT(ABS(K236-K235)*'공식·설정'!$B$8/K235)</x:f>
        <x:v>761</x:v>
      </x:c>
      <x:c r="Y235" s="68" t="n">
        <x:f>X235-W235</x:f>
        <x:v>0</x:v>
      </x:c>
      <x:c r="Z235" s="66" t="n">
        <x:f>W235/'공식·설정'!$B$8</x:f>
        <x:v>0.0116119384765625</x:v>
      </x:c>
      <x:c r="AA235" s="66" t="n">
        <x:f>X235/'공식·설정'!$B$8</x:f>
        <x:v>0.0116119384765625</x:v>
      </x:c>
      <x:c r="AB235" s="67" t="str">
        <x:f>IF(AND(I235=0,L235=0,Q235=0,T235=0,Y235=0),"PASS","FAIL")</x:f>
        <x:v>PASS</x:v>
      </x:c>
    </x:row>
    <x:row r="236" ht="18" customHeight="1">
      <x:c r="A236" s="14" t="n">
        <x:v>339</x:v>
      </x:c>
      <x:c r="B236" s="14" t="n">
        <x:v>231</x:v>
      </x:c>
      <x:c r="C236" s="14" t="n">
        <x:v>336</x:v>
      </x:c>
      <x:c r="D236" s="14" t="n">
        <x:v>3278</x:v>
      </x:c>
      <x:c r="E236" s="14" t="n">
        <x:v>350</x:v>
      </x:c>
      <x:c r="F236" s="14" t="n">
        <x:v>3827</x:v>
      </x:c>
      <x:c r="G236" s="14" t="n">
        <x:v>3395</x:v>
      </x:c>
      <x:c r="H236" s="14" t="n">
        <x:f>INT((F236-D236)*(A236-C236)/(E236-C236))+D236</x:f>
        <x:v>3395</x:v>
      </x:c>
      <x:c r="I236" s="68" t="n">
        <x:f>H236-G236</x:f>
        <x:v>0</x:v>
      </x:c>
      <x:c r="J236" s="14" t="n">
        <x:v>22102</x:v>
      </x:c>
      <x:c r="K236" s="14" t="n">
        <x:f>INT(H236*'공식·설정'!$B$10/'공식·설정'!$B$15)</x:f>
        <x:v>22102</x:v>
      </x:c>
      <x:c r="L236" s="68" t="n">
        <x:f>K236-J236</x:f>
        <x:v>0</x:v>
      </x:c>
      <x:c r="M236" s="65" t="n">
        <x:f>J236/'공식·설정'!$B$7</x:f>
        <x:v>86.3359375</x:v>
      </x:c>
      <x:c r="N236" s="65" t="n">
        <x:f>K236/'공식·설정'!$B$7</x:f>
        <x:v>86.3359375</x:v>
      </x:c>
      <x:c r="O236" s="14" t="n">
        <x:v>9</x:v>
      </x:c>
      <x:c r="P236" s="14" t="n">
        <x:f>MIN(32767,MAX(0,INT((K236+INT('공식·설정'!$B$12/2))/'공식·설정'!$B$12)))</x:f>
        <x:v>9</x:v>
      </x:c>
      <x:c r="Q236" s="68" t="n">
        <x:f>P236-O236</x:f>
        <x:v>0</x:v>
      </x:c>
      <x:c r="R236" s="14" t="n">
        <x:v>31488</x:v>
      </x:c>
      <x:c r="S236" s="14" t="n">
        <x:f>P236*'공식·설정'!$B$12+'공식·설정'!$B$14</x:f>
        <x:v>31488</x:v>
      </x:c>
      <x:c r="T236" s="68" t="n">
        <x:f>S236-R236</x:f>
        <x:v>0</x:v>
      </x:c>
      <x:c r="U236" s="65" t="n">
        <x:f>R236/'공식·설정'!$B$7</x:f>
        <x:v>123</x:v>
      </x:c>
      <x:c r="V236" s="65" t="n">
        <x:f>S236/'공식·설정'!$B$7</x:f>
        <x:v>123</x:v>
      </x:c>
      <x:c r="W236" s="14" t="n">
        <x:v>753</x:v>
      </x:c>
      <x:c r="X236" s="14" t="n">
        <x:f>INT(ABS(K237-K236)*'공식·설정'!$B$8/K236)</x:f>
        <x:v>753</x:v>
      </x:c>
      <x:c r="Y236" s="68" t="n">
        <x:f>X236-W236</x:f>
        <x:v>0</x:v>
      </x:c>
      <x:c r="Z236" s="66" t="n">
        <x:f>W236/'공식·설정'!$B$8</x:f>
        <x:v>0.0114898681640625</x:v>
      </x:c>
      <x:c r="AA236" s="66" t="n">
        <x:f>X236/'공식·설정'!$B$8</x:f>
        <x:v>0.0114898681640625</x:v>
      </x:c>
      <x:c r="AB236" s="67" t="str">
        <x:f>IF(AND(I236=0,L236=0,Q236=0,T236=0,Y236=0),"PASS","FAIL")</x:f>
        <x:v>PASS</x:v>
      </x:c>
    </x:row>
    <x:row r="237" ht="18" customHeight="1">
      <x:c r="A237" s="14" t="n">
        <x:v>340</x:v>
      </x:c>
      <x:c r="B237" s="14" t="n">
        <x:v>232</x:v>
      </x:c>
      <x:c r="C237" s="14" t="n">
        <x:v>336</x:v>
      </x:c>
      <x:c r="D237" s="14" t="n">
        <x:v>3278</x:v>
      </x:c>
      <x:c r="E237" s="14" t="n">
        <x:v>350</x:v>
      </x:c>
      <x:c r="F237" s="14" t="n">
        <x:v>3827</x:v>
      </x:c>
      <x:c r="G237" s="14" t="n">
        <x:v>3434</x:v>
      </x:c>
      <x:c r="H237" s="14" t="n">
        <x:f>INT((F237-D237)*(A237-C237)/(E237-C237))+D237</x:f>
        <x:v>3434</x:v>
      </x:c>
      <x:c r="I237" s="68" t="n">
        <x:f>H237-G237</x:f>
        <x:v>0</x:v>
      </x:c>
      <x:c r="J237" s="14" t="n">
        <x:v>22356</x:v>
      </x:c>
      <x:c r="K237" s="14" t="n">
        <x:f>INT(H237*'공식·설정'!$B$10/'공식·설정'!$B$15)</x:f>
        <x:v>22356</x:v>
      </x:c>
      <x:c r="L237" s="68" t="n">
        <x:f>K237-J237</x:f>
        <x:v>0</x:v>
      </x:c>
      <x:c r="M237" s="65" t="n">
        <x:f>J237/'공식·설정'!$B$7</x:f>
        <x:v>87.328125</x:v>
      </x:c>
      <x:c r="N237" s="65" t="n">
        <x:f>K237/'공식·설정'!$B$7</x:f>
        <x:v>87.328125</x:v>
      </x:c>
      <x:c r="O237" s="14" t="n">
        <x:v>9</x:v>
      </x:c>
      <x:c r="P237" s="14" t="n">
        <x:f>MIN(32767,MAX(0,INT((K237+INT('공식·설정'!$B$12/2))/'공식·설정'!$B$12)))</x:f>
        <x:v>9</x:v>
      </x:c>
      <x:c r="Q237" s="68" t="n">
        <x:f>P237-O237</x:f>
        <x:v>0</x:v>
      </x:c>
      <x:c r="R237" s="14" t="n">
        <x:v>31488</x:v>
      </x:c>
      <x:c r="S237" s="14" t="n">
        <x:f>P237*'공식·설정'!$B$12+'공식·설정'!$B$14</x:f>
        <x:v>31488</x:v>
      </x:c>
      <x:c r="T237" s="68" t="n">
        <x:f>S237-R237</x:f>
        <x:v>0</x:v>
      </x:c>
      <x:c r="U237" s="65" t="n">
        <x:f>R237/'공식·설정'!$B$7</x:f>
        <x:v>123</x:v>
      </x:c>
      <x:c r="V237" s="65" t="n">
        <x:f>S237/'공식·설정'!$B$7</x:f>
        <x:v>123</x:v>
      </x:c>
      <x:c r="W237" s="14" t="n">
        <x:v>762</x:v>
      </x:c>
      <x:c r="X237" s="14" t="n">
        <x:f>INT(ABS(K238-K237)*'공식·설정'!$B$8/K237)</x:f>
        <x:v>762</x:v>
      </x:c>
      <x:c r="Y237" s="68" t="n">
        <x:f>X237-W237</x:f>
        <x:v>0</x:v>
      </x:c>
      <x:c r="Z237" s="66" t="n">
        <x:f>W237/'공식·설정'!$B$8</x:f>
        <x:v>0.011627197265625</x:v>
      </x:c>
      <x:c r="AA237" s="66" t="n">
        <x:f>X237/'공식·설정'!$B$8</x:f>
        <x:v>0.011627197265625</x:v>
      </x:c>
      <x:c r="AB237" s="67" t="str">
        <x:f>IF(AND(I237=0,L237=0,Q237=0,T237=0,Y237=0),"PASS","FAIL")</x:f>
        <x:v>PASS</x:v>
      </x:c>
    </x:row>
    <x:row r="238" ht="18" customHeight="1">
      <x:c r="A238" s="14" t="n">
        <x:v>341</x:v>
      </x:c>
      <x:c r="B238" s="14" t="n">
        <x:v>233</x:v>
      </x:c>
      <x:c r="C238" s="14" t="n">
        <x:v>336</x:v>
      </x:c>
      <x:c r="D238" s="14" t="n">
        <x:v>3278</x:v>
      </x:c>
      <x:c r="E238" s="14" t="n">
        <x:v>350</x:v>
      </x:c>
      <x:c r="F238" s="14" t="n">
        <x:v>3827</x:v>
      </x:c>
      <x:c r="G238" s="14" t="n">
        <x:v>3474</x:v>
      </x:c>
      <x:c r="H238" s="14" t="n">
        <x:f>INT((F238-D238)*(A238-C238)/(E238-C238))+D238</x:f>
        <x:v>3474</x:v>
      </x:c>
      <x:c r="I238" s="68" t="n">
        <x:f>H238-G238</x:f>
        <x:v>0</x:v>
      </x:c>
      <x:c r="J238" s="14" t="n">
        <x:v>22616</x:v>
      </x:c>
      <x:c r="K238" s="14" t="n">
        <x:f>INT(H238*'공식·설정'!$B$10/'공식·설정'!$B$15)</x:f>
        <x:v>22616</x:v>
      </x:c>
      <x:c r="L238" s="68" t="n">
        <x:f>K238-J238</x:f>
        <x:v>0</x:v>
      </x:c>
      <x:c r="M238" s="65" t="n">
        <x:f>J238/'공식·설정'!$B$7</x:f>
        <x:v>88.34375</x:v>
      </x:c>
      <x:c r="N238" s="65" t="n">
        <x:f>K238/'공식·설정'!$B$7</x:f>
        <x:v>88.34375</x:v>
      </x:c>
      <x:c r="O238" s="14" t="n">
        <x:v>9</x:v>
      </x:c>
      <x:c r="P238" s="14" t="n">
        <x:f>MIN(32767,MAX(0,INT((K238+INT('공식·설정'!$B$12/2))/'공식·설정'!$B$12)))</x:f>
        <x:v>9</x:v>
      </x:c>
      <x:c r="Q238" s="68" t="n">
        <x:f>P238-O238</x:f>
        <x:v>0</x:v>
      </x:c>
      <x:c r="R238" s="14" t="n">
        <x:v>31488</x:v>
      </x:c>
      <x:c r="S238" s="14" t="n">
        <x:f>P238*'공식·설정'!$B$12+'공식·설정'!$B$14</x:f>
        <x:v>31488</x:v>
      </x:c>
      <x:c r="T238" s="68" t="n">
        <x:f>S238-R238</x:f>
        <x:v>0</x:v>
      </x:c>
      <x:c r="U238" s="65" t="n">
        <x:f>R238/'공식·설정'!$B$7</x:f>
        <x:v>123</x:v>
      </x:c>
      <x:c r="V238" s="65" t="n">
        <x:f>S238/'공식·설정'!$B$7</x:f>
        <x:v>123</x:v>
      </x:c>
      <x:c r="W238" s="14" t="n">
        <x:v>736</x:v>
      </x:c>
      <x:c r="X238" s="14" t="n">
        <x:f>INT(ABS(K239-K238)*'공식·설정'!$B$8/K238)</x:f>
        <x:v>736</x:v>
      </x:c>
      <x:c r="Y238" s="68" t="n">
        <x:f>X238-W238</x:f>
        <x:v>0</x:v>
      </x:c>
      <x:c r="Z238" s="66" t="n">
        <x:f>W238/'공식·설정'!$B$8</x:f>
        <x:v>0.01123046875</x:v>
      </x:c>
      <x:c r="AA238" s="66" t="n">
        <x:f>X238/'공식·설정'!$B$8</x:f>
        <x:v>0.01123046875</x:v>
      </x:c>
      <x:c r="AB238" s="67" t="str">
        <x:f>IF(AND(I238=0,L238=0,Q238=0,T238=0,Y238=0),"PASS","FAIL")</x:f>
        <x:v>PASS</x:v>
      </x:c>
    </x:row>
    <x:row r="239" ht="18" customHeight="1">
      <x:c r="A239" s="14" t="n">
        <x:v>342</x:v>
      </x:c>
      <x:c r="B239" s="14" t="n">
        <x:v>234</x:v>
      </x:c>
      <x:c r="C239" s="14" t="n">
        <x:v>336</x:v>
      </x:c>
      <x:c r="D239" s="14" t="n">
        <x:v>3278</x:v>
      </x:c>
      <x:c r="E239" s="14" t="n">
        <x:v>350</x:v>
      </x:c>
      <x:c r="F239" s="14" t="n">
        <x:v>3827</x:v>
      </x:c>
      <x:c r="G239" s="14" t="n">
        <x:v>3513</x:v>
      </x:c>
      <x:c r="H239" s="14" t="n">
        <x:f>INT((F239-D239)*(A239-C239)/(E239-C239))+D239</x:f>
        <x:v>3513</x:v>
      </x:c>
      <x:c r="I239" s="68" t="n">
        <x:f>H239-G239</x:f>
        <x:v>0</x:v>
      </x:c>
      <x:c r="J239" s="14" t="n">
        <x:v>22870</x:v>
      </x:c>
      <x:c r="K239" s="14" t="n">
        <x:f>INT(H239*'공식·설정'!$B$10/'공식·설정'!$B$15)</x:f>
        <x:v>22870</x:v>
      </x:c>
      <x:c r="L239" s="68" t="n">
        <x:f>K239-J239</x:f>
        <x:v>0</x:v>
      </x:c>
      <x:c r="M239" s="65" t="n">
        <x:f>J239/'공식·설정'!$B$7</x:f>
        <x:v>89.3359375</x:v>
      </x:c>
      <x:c r="N239" s="65" t="n">
        <x:f>K239/'공식·설정'!$B$7</x:f>
        <x:v>89.3359375</x:v>
      </x:c>
      <x:c r="O239" s="14" t="n">
        <x:v>9</x:v>
      </x:c>
      <x:c r="P239" s="14" t="n">
        <x:f>MIN(32767,MAX(0,INT((K239+INT('공식·설정'!$B$12/2))/'공식·설정'!$B$12)))</x:f>
        <x:v>9</x:v>
      </x:c>
      <x:c r="Q239" s="68" t="n">
        <x:f>P239-O239</x:f>
        <x:v>0</x:v>
      </x:c>
      <x:c r="R239" s="14" t="n">
        <x:v>31488</x:v>
      </x:c>
      <x:c r="S239" s="14" t="n">
        <x:f>P239*'공식·설정'!$B$12+'공식·설정'!$B$14</x:f>
        <x:v>31488</x:v>
      </x:c>
      <x:c r="T239" s="68" t="n">
        <x:f>S239-R239</x:f>
        <x:v>0</x:v>
      </x:c>
      <x:c r="U239" s="65" t="n">
        <x:f>R239/'공식·설정'!$B$7</x:f>
        <x:v>123</x:v>
      </x:c>
      <x:c r="V239" s="65" t="n">
        <x:f>S239/'공식·설정'!$B$7</x:f>
        <x:v>123</x:v>
      </x:c>
      <x:c r="W239" s="14" t="n">
        <x:v>727</x:v>
      </x:c>
      <x:c r="X239" s="14" t="n">
        <x:f>INT(ABS(K240-K239)*'공식·설정'!$B$8/K239)</x:f>
        <x:v>727</x:v>
      </x:c>
      <x:c r="Y239" s="68" t="n">
        <x:f>X239-W239</x:f>
        <x:v>0</x:v>
      </x:c>
      <x:c r="Z239" s="66" t="n">
        <x:f>W239/'공식·설정'!$B$8</x:f>
        <x:v>0.0110931396484375</x:v>
      </x:c>
      <x:c r="AA239" s="66" t="n">
        <x:f>X239/'공식·설정'!$B$8</x:f>
        <x:v>0.0110931396484375</x:v>
      </x:c>
      <x:c r="AB239" s="67" t="str">
        <x:f>IF(AND(I239=0,L239=0,Q239=0,T239=0,Y239=0),"PASS","FAIL")</x:f>
        <x:v>PASS</x:v>
      </x:c>
    </x:row>
    <x:row r="240" ht="18" customHeight="1">
      <x:c r="A240" s="14" t="n">
        <x:v>343</x:v>
      </x:c>
      <x:c r="B240" s="14" t="n">
        <x:v>235</x:v>
      </x:c>
      <x:c r="C240" s="14" t="n">
        <x:v>336</x:v>
      </x:c>
      <x:c r="D240" s="14" t="n">
        <x:v>3278</x:v>
      </x:c>
      <x:c r="E240" s="14" t="n">
        <x:v>350</x:v>
      </x:c>
      <x:c r="F240" s="14" t="n">
        <x:v>3827</x:v>
      </x:c>
      <x:c r="G240" s="14" t="n">
        <x:v>3552</x:v>
      </x:c>
      <x:c r="H240" s="14" t="n">
        <x:f>INT((F240-D240)*(A240-C240)/(E240-C240))+D240</x:f>
        <x:v>3552</x:v>
      </x:c>
      <x:c r="I240" s="68" t="n">
        <x:f>H240-G240</x:f>
        <x:v>0</x:v>
      </x:c>
      <x:c r="J240" s="14" t="n">
        <x:v>23124</x:v>
      </x:c>
      <x:c r="K240" s="14" t="n">
        <x:f>INT(H240*'공식·설정'!$B$10/'공식·설정'!$B$15)</x:f>
        <x:v>23124</x:v>
      </x:c>
      <x:c r="L240" s="68" t="n">
        <x:f>K240-J240</x:f>
        <x:v>0</x:v>
      </x:c>
      <x:c r="M240" s="65" t="n">
        <x:f>J240/'공식·설정'!$B$7</x:f>
        <x:v>90.328125</x:v>
      </x:c>
      <x:c r="N240" s="65" t="n">
        <x:f>K240/'공식·설정'!$B$7</x:f>
        <x:v>90.328125</x:v>
      </x:c>
      <x:c r="O240" s="14" t="n">
        <x:v>9</x:v>
      </x:c>
      <x:c r="P240" s="14" t="n">
        <x:f>MIN(32767,MAX(0,INT((K240+INT('공식·설정'!$B$12/2))/'공식·설정'!$B$12)))</x:f>
        <x:v>9</x:v>
      </x:c>
      <x:c r="Q240" s="68" t="n">
        <x:f>P240-O240</x:f>
        <x:v>0</x:v>
      </x:c>
      <x:c r="R240" s="14" t="n">
        <x:v>31488</x:v>
      </x:c>
      <x:c r="S240" s="14" t="n">
        <x:f>P240*'공식·설정'!$B$12+'공식·설정'!$B$14</x:f>
        <x:v>31488</x:v>
      </x:c>
      <x:c r="T240" s="68" t="n">
        <x:f>S240-R240</x:f>
        <x:v>0</x:v>
      </x:c>
      <x:c r="U240" s="65" t="n">
        <x:f>R240/'공식·설정'!$B$7</x:f>
        <x:v>123</x:v>
      </x:c>
      <x:c r="V240" s="65" t="n">
        <x:f>S240/'공식·설정'!$B$7</x:f>
        <x:v>123</x:v>
      </x:c>
      <x:c r="W240" s="14" t="n">
        <x:v>719</x:v>
      </x:c>
      <x:c r="X240" s="14" t="n">
        <x:f>INT(ABS(K241-K240)*'공식·설정'!$B$8/K240)</x:f>
        <x:v>719</x:v>
      </x:c>
      <x:c r="Y240" s="68" t="n">
        <x:f>X240-W240</x:f>
        <x:v>0</x:v>
      </x:c>
      <x:c r="Z240" s="66" t="n">
        <x:f>W240/'공식·설정'!$B$8</x:f>
        <x:v>0.0109710693359375</x:v>
      </x:c>
      <x:c r="AA240" s="66" t="n">
        <x:f>X240/'공식·설정'!$B$8</x:f>
        <x:v>0.0109710693359375</x:v>
      </x:c>
      <x:c r="AB240" s="67" t="str">
        <x:f>IF(AND(I240=0,L240=0,Q240=0,T240=0,Y240=0),"PASS","FAIL")</x:f>
        <x:v>PASS</x:v>
      </x:c>
    </x:row>
    <x:row r="241" ht="18" customHeight="1">
      <x:c r="A241" s="14" t="n">
        <x:v>344</x:v>
      </x:c>
      <x:c r="B241" s="14" t="n">
        <x:v>236</x:v>
      </x:c>
      <x:c r="C241" s="14" t="n">
        <x:v>336</x:v>
      </x:c>
      <x:c r="D241" s="14" t="n">
        <x:v>3278</x:v>
      </x:c>
      <x:c r="E241" s="14" t="n">
        <x:v>350</x:v>
      </x:c>
      <x:c r="F241" s="14" t="n">
        <x:v>3827</x:v>
      </x:c>
      <x:c r="G241" s="14" t="n">
        <x:v>3591</x:v>
      </x:c>
      <x:c r="H241" s="14" t="n">
        <x:f>INT((F241-D241)*(A241-C241)/(E241-C241))+D241</x:f>
        <x:v>3591</x:v>
      </x:c>
      <x:c r="I241" s="68" t="n">
        <x:f>H241-G241</x:f>
        <x:v>0</x:v>
      </x:c>
      <x:c r="J241" s="14" t="n">
        <x:v>23378</x:v>
      </x:c>
      <x:c r="K241" s="14" t="n">
        <x:f>INT(H241*'공식·설정'!$B$10/'공식·설정'!$B$15)</x:f>
        <x:v>23378</x:v>
      </x:c>
      <x:c r="L241" s="68" t="n">
        <x:f>K241-J241</x:f>
        <x:v>0</x:v>
      </x:c>
      <x:c r="M241" s="65" t="n">
        <x:f>J241/'공식·설정'!$B$7</x:f>
        <x:v>91.3203125</x:v>
      </x:c>
      <x:c r="N241" s="65" t="n">
        <x:f>K241/'공식·설정'!$B$7</x:f>
        <x:v>91.3203125</x:v>
      </x:c>
      <x:c r="O241" s="14" t="n">
        <x:v>9</x:v>
      </x:c>
      <x:c r="P241" s="14" t="n">
        <x:f>MIN(32767,MAX(0,INT((K241+INT('공식·설정'!$B$12/2))/'공식·설정'!$B$12)))</x:f>
        <x:v>9</x:v>
      </x:c>
      <x:c r="Q241" s="68" t="n">
        <x:f>P241-O241</x:f>
        <x:v>0</x:v>
      </x:c>
      <x:c r="R241" s="14" t="n">
        <x:v>31488</x:v>
      </x:c>
      <x:c r="S241" s="14" t="n">
        <x:f>P241*'공식·설정'!$B$12+'공식·설정'!$B$14</x:f>
        <x:v>31488</x:v>
      </x:c>
      <x:c r="T241" s="68" t="n">
        <x:f>S241-R241</x:f>
        <x:v>0</x:v>
      </x:c>
      <x:c r="U241" s="65" t="n">
        <x:f>R241/'공식·설정'!$B$7</x:f>
        <x:v>123</x:v>
      </x:c>
      <x:c r="V241" s="65" t="n">
        <x:f>S241/'공식·설정'!$B$7</x:f>
        <x:v>123</x:v>
      </x:c>
      <x:c r="W241" s="14" t="n">
        <x:v>712</x:v>
      </x:c>
      <x:c r="X241" s="14" t="n">
        <x:f>INT(ABS(K242-K241)*'공식·설정'!$B$8/K241)</x:f>
        <x:v>712</x:v>
      </x:c>
      <x:c r="Y241" s="68" t="n">
        <x:f>X241-W241</x:f>
        <x:v>0</x:v>
      </x:c>
      <x:c r="Z241" s="66" t="n">
        <x:f>W241/'공식·설정'!$B$8</x:f>
        <x:v>0.0108642578125</x:v>
      </x:c>
      <x:c r="AA241" s="66" t="n">
        <x:f>X241/'공식·설정'!$B$8</x:f>
        <x:v>0.0108642578125</x:v>
      </x:c>
      <x:c r="AB241" s="67" t="str">
        <x:f>IF(AND(I241=0,L241=0,Q241=0,T241=0,Y241=0),"PASS","FAIL")</x:f>
        <x:v>PASS</x:v>
      </x:c>
    </x:row>
    <x:row r="242" ht="18" customHeight="1">
      <x:c r="A242" s="14" t="n">
        <x:v>345</x:v>
      </x:c>
      <x:c r="B242" s="14" t="n">
        <x:v>237</x:v>
      </x:c>
      <x:c r="C242" s="14" t="n">
        <x:v>336</x:v>
      </x:c>
      <x:c r="D242" s="14" t="n">
        <x:v>3278</x:v>
      </x:c>
      <x:c r="E242" s="14" t="n">
        <x:v>350</x:v>
      </x:c>
      <x:c r="F242" s="14" t="n">
        <x:v>3827</x:v>
      </x:c>
      <x:c r="G242" s="14" t="n">
        <x:v>3630</x:v>
      </x:c>
      <x:c r="H242" s="14" t="n">
        <x:f>INT((F242-D242)*(A242-C242)/(E242-C242))+D242</x:f>
        <x:v>3630</x:v>
      </x:c>
      <x:c r="I242" s="68" t="n">
        <x:f>H242-G242</x:f>
        <x:v>0</x:v>
      </x:c>
      <x:c r="J242" s="14" t="n">
        <x:v>23632</x:v>
      </x:c>
      <x:c r="K242" s="14" t="n">
        <x:f>INT(H242*'공식·설정'!$B$10/'공식·설정'!$B$15)</x:f>
        <x:v>23632</x:v>
      </x:c>
      <x:c r="L242" s="68" t="n">
        <x:f>K242-J242</x:f>
        <x:v>0</x:v>
      </x:c>
      <x:c r="M242" s="65" t="n">
        <x:f>J242/'공식·설정'!$B$7</x:f>
        <x:v>92.3125</x:v>
      </x:c>
      <x:c r="N242" s="65" t="n">
        <x:f>K242/'공식·설정'!$B$7</x:f>
        <x:v>92.3125</x:v>
      </x:c>
      <x:c r="O242" s="14" t="n">
        <x:v>9</x:v>
      </x:c>
      <x:c r="P242" s="14" t="n">
        <x:f>MIN(32767,MAX(0,INT((K242+INT('공식·설정'!$B$12/2))/'공식·설정'!$B$12)))</x:f>
        <x:v>9</x:v>
      </x:c>
      <x:c r="Q242" s="68" t="n">
        <x:f>P242-O242</x:f>
        <x:v>0</x:v>
      </x:c>
      <x:c r="R242" s="14" t="n">
        <x:v>31488</x:v>
      </x:c>
      <x:c r="S242" s="14" t="n">
        <x:f>P242*'공식·설정'!$B$12+'공식·설정'!$B$14</x:f>
        <x:v>31488</x:v>
      </x:c>
      <x:c r="T242" s="68" t="n">
        <x:f>S242-R242</x:f>
        <x:v>0</x:v>
      </x:c>
      <x:c r="U242" s="65" t="n">
        <x:f>R242/'공식·설정'!$B$7</x:f>
        <x:v>123</x:v>
      </x:c>
      <x:c r="V242" s="65" t="n">
        <x:f>S242/'공식·설정'!$B$7</x:f>
        <x:v>123</x:v>
      </x:c>
      <x:c r="W242" s="14" t="n">
        <x:v>721</x:v>
      </x:c>
      <x:c r="X242" s="14" t="n">
        <x:f>INT(ABS(K243-K242)*'공식·설정'!$B$8/K242)</x:f>
        <x:v>721</x:v>
      </x:c>
      <x:c r="Y242" s="68" t="n">
        <x:f>X242-W242</x:f>
        <x:v>0</x:v>
      </x:c>
      <x:c r="Z242" s="66" t="n">
        <x:f>W242/'공식·설정'!$B$8</x:f>
        <x:v>0.0110015869140625</x:v>
      </x:c>
      <x:c r="AA242" s="66" t="n">
        <x:f>X242/'공식·설정'!$B$8</x:f>
        <x:v>0.0110015869140625</x:v>
      </x:c>
      <x:c r="AB242" s="67" t="str">
        <x:f>IF(AND(I242=0,L242=0,Q242=0,T242=0,Y242=0),"PASS","FAIL")</x:f>
        <x:v>PASS</x:v>
      </x:c>
    </x:row>
    <x:row r="243" ht="18" customHeight="1">
      <x:c r="A243" s="14" t="n">
        <x:v>346</x:v>
      </x:c>
      <x:c r="B243" s="14" t="n">
        <x:v>238</x:v>
      </x:c>
      <x:c r="C243" s="14" t="n">
        <x:v>336</x:v>
      </x:c>
      <x:c r="D243" s="14" t="n">
        <x:v>3278</x:v>
      </x:c>
      <x:c r="E243" s="14" t="n">
        <x:v>350</x:v>
      </x:c>
      <x:c r="F243" s="14" t="n">
        <x:v>3827</x:v>
      </x:c>
      <x:c r="G243" s="14" t="n">
        <x:v>3670</x:v>
      </x:c>
      <x:c r="H243" s="14" t="n">
        <x:f>INT((F243-D243)*(A243-C243)/(E243-C243))+D243</x:f>
        <x:v>3670</x:v>
      </x:c>
      <x:c r="I243" s="68" t="n">
        <x:f>H243-G243</x:f>
        <x:v>0</x:v>
      </x:c>
      <x:c r="J243" s="14" t="n">
        <x:v>23892</x:v>
      </x:c>
      <x:c r="K243" s="14" t="n">
        <x:f>INT(H243*'공식·설정'!$B$10/'공식·설정'!$B$15)</x:f>
        <x:v>23892</x:v>
      </x:c>
      <x:c r="L243" s="68" t="n">
        <x:f>K243-J243</x:f>
        <x:v>0</x:v>
      </x:c>
      <x:c r="M243" s="65" t="n">
        <x:f>J243/'공식·설정'!$B$7</x:f>
        <x:v>93.328125</x:v>
      </x:c>
      <x:c r="N243" s="65" t="n">
        <x:f>K243/'공식·설정'!$B$7</x:f>
        <x:v>93.328125</x:v>
      </x:c>
      <x:c r="O243" s="14" t="n">
        <x:v>9</x:v>
      </x:c>
      <x:c r="P243" s="14" t="n">
        <x:f>MIN(32767,MAX(0,INT((K243+INT('공식·설정'!$B$12/2))/'공식·설정'!$B$12)))</x:f>
        <x:v>9</x:v>
      </x:c>
      <x:c r="Q243" s="68" t="n">
        <x:f>P243-O243</x:f>
        <x:v>0</x:v>
      </x:c>
      <x:c r="R243" s="14" t="n">
        <x:v>31488</x:v>
      </x:c>
      <x:c r="S243" s="14" t="n">
        <x:f>P243*'공식·설정'!$B$12+'공식·설정'!$B$14</x:f>
        <x:v>31488</x:v>
      </x:c>
      <x:c r="T243" s="68" t="n">
        <x:f>S243-R243</x:f>
        <x:v>0</x:v>
      </x:c>
      <x:c r="U243" s="65" t="n">
        <x:f>R243/'공식·설정'!$B$7</x:f>
        <x:v>123</x:v>
      </x:c>
      <x:c r="V243" s="65" t="n">
        <x:f>S243/'공식·설정'!$B$7</x:f>
        <x:v>123</x:v>
      </x:c>
      <x:c r="W243" s="14" t="n">
        <x:v>696</x:v>
      </x:c>
      <x:c r="X243" s="14" t="n">
        <x:f>INT(ABS(K244-K243)*'공식·설정'!$B$8/K243)</x:f>
        <x:v>696</x:v>
      </x:c>
      <x:c r="Y243" s="68" t="n">
        <x:f>X243-W243</x:f>
        <x:v>0</x:v>
      </x:c>
      <x:c r="Z243" s="66" t="n">
        <x:f>W243/'공식·설정'!$B$8</x:f>
        <x:v>0.0106201171875</x:v>
      </x:c>
      <x:c r="AA243" s="66" t="n">
        <x:f>X243/'공식·설정'!$B$8</x:f>
        <x:v>0.0106201171875</x:v>
      </x:c>
      <x:c r="AB243" s="67" t="str">
        <x:f>IF(AND(I243=0,L243=0,Q243=0,T243=0,Y243=0),"PASS","FAIL")</x:f>
        <x:v>PASS</x:v>
      </x:c>
    </x:row>
    <x:row r="244" ht="18" customHeight="1">
      <x:c r="A244" s="14" t="n">
        <x:v>347</x:v>
      </x:c>
      <x:c r="B244" s="14" t="n">
        <x:v>239</x:v>
      </x:c>
      <x:c r="C244" s="14" t="n">
        <x:v>336</x:v>
      </x:c>
      <x:c r="D244" s="14" t="n">
        <x:v>3278</x:v>
      </x:c>
      <x:c r="E244" s="14" t="n">
        <x:v>350</x:v>
      </x:c>
      <x:c r="F244" s="14" t="n">
        <x:v>3827</x:v>
      </x:c>
      <x:c r="G244" s="14" t="n">
        <x:v>3709</x:v>
      </x:c>
      <x:c r="H244" s="14" t="n">
        <x:f>INT((F244-D244)*(A244-C244)/(E244-C244))+D244</x:f>
        <x:v>3709</x:v>
      </x:c>
      <x:c r="I244" s="68" t="n">
        <x:f>H244-G244</x:f>
        <x:v>0</x:v>
      </x:c>
      <x:c r="J244" s="14" t="n">
        <x:v>24146</x:v>
      </x:c>
      <x:c r="K244" s="14" t="n">
        <x:f>INT(H244*'공식·설정'!$B$10/'공식·설정'!$B$15)</x:f>
        <x:v>24146</x:v>
      </x:c>
      <x:c r="L244" s="68" t="n">
        <x:f>K244-J244</x:f>
        <x:v>0</x:v>
      </x:c>
      <x:c r="M244" s="65" t="n">
        <x:f>J244/'공식·설정'!$B$7</x:f>
        <x:v>94.3203125</x:v>
      </x:c>
      <x:c r="N244" s="65" t="n">
        <x:f>K244/'공식·설정'!$B$7</x:f>
        <x:v>94.3203125</x:v>
      </x:c>
      <x:c r="O244" s="14" t="n">
        <x:v>9</x:v>
      </x:c>
      <x:c r="P244" s="14" t="n">
        <x:f>MIN(32767,MAX(0,INT((K244+INT('공식·설정'!$B$12/2))/'공식·설정'!$B$12)))</x:f>
        <x:v>9</x:v>
      </x:c>
      <x:c r="Q244" s="68" t="n">
        <x:f>P244-O244</x:f>
        <x:v>0</x:v>
      </x:c>
      <x:c r="R244" s="14" t="n">
        <x:v>31488</x:v>
      </x:c>
      <x:c r="S244" s="14" t="n">
        <x:f>P244*'공식·설정'!$B$12+'공식·설정'!$B$14</x:f>
        <x:v>31488</x:v>
      </x:c>
      <x:c r="T244" s="68" t="n">
        <x:f>S244-R244</x:f>
        <x:v>0</x:v>
      </x:c>
      <x:c r="U244" s="65" t="n">
        <x:f>R244/'공식·설정'!$B$7</x:f>
        <x:v>123</x:v>
      </x:c>
      <x:c r="V244" s="65" t="n">
        <x:f>S244/'공식·설정'!$B$7</x:f>
        <x:v>123</x:v>
      </x:c>
      <x:c r="W244" s="14" t="n">
        <x:v>689</x:v>
      </x:c>
      <x:c r="X244" s="14" t="n">
        <x:f>INT(ABS(K245-K244)*'공식·설정'!$B$8/K244)</x:f>
        <x:v>689</x:v>
      </x:c>
      <x:c r="Y244" s="68" t="n">
        <x:f>X244-W244</x:f>
        <x:v>0</x:v>
      </x:c>
      <x:c r="Z244" s="66" t="n">
        <x:f>W244/'공식·설정'!$B$8</x:f>
        <x:v>0.0105133056640625</x:v>
      </x:c>
      <x:c r="AA244" s="66" t="n">
        <x:f>X244/'공식·설정'!$B$8</x:f>
        <x:v>0.0105133056640625</x:v>
      </x:c>
      <x:c r="AB244" s="67" t="str">
        <x:f>IF(AND(I244=0,L244=0,Q244=0,T244=0,Y244=0),"PASS","FAIL")</x:f>
        <x:v>PASS</x:v>
      </x:c>
    </x:row>
    <x:row r="245" ht="18" customHeight="1">
      <x:c r="A245" s="14" t="n">
        <x:v>348</x:v>
      </x:c>
      <x:c r="B245" s="14" t="n">
        <x:v>240</x:v>
      </x:c>
      <x:c r="C245" s="14" t="n">
        <x:v>336</x:v>
      </x:c>
      <x:c r="D245" s="14" t="n">
        <x:v>3278</x:v>
      </x:c>
      <x:c r="E245" s="14" t="n">
        <x:v>350</x:v>
      </x:c>
      <x:c r="F245" s="14" t="n">
        <x:v>3827</x:v>
      </x:c>
      <x:c r="G245" s="14" t="n">
        <x:v>3748</x:v>
      </x:c>
      <x:c r="H245" s="14" t="n">
        <x:f>INT((F245-D245)*(A245-C245)/(E245-C245))+D245</x:f>
        <x:v>3748</x:v>
      </x:c>
      <x:c r="I245" s="68" t="n">
        <x:f>H245-G245</x:f>
        <x:v>0</x:v>
      </x:c>
      <x:c r="J245" s="14" t="n">
        <x:v>24400</x:v>
      </x:c>
      <x:c r="K245" s="14" t="n">
        <x:f>INT(H245*'공식·설정'!$B$10/'공식·설정'!$B$15)</x:f>
        <x:v>24400</x:v>
      </x:c>
      <x:c r="L245" s="68" t="n">
        <x:f>K245-J245</x:f>
        <x:v>0</x:v>
      </x:c>
      <x:c r="M245" s="65" t="n">
        <x:f>J245/'공식·설정'!$B$7</x:f>
        <x:v>95.3125</x:v>
      </x:c>
      <x:c r="N245" s="65" t="n">
        <x:f>K245/'공식·설정'!$B$7</x:f>
        <x:v>95.3125</x:v>
      </x:c>
      <x:c r="O245" s="14" t="n">
        <x:v>10</x:v>
      </x:c>
      <x:c r="P245" s="14" t="n">
        <x:f>MIN(32767,MAX(0,INT((K245+INT('공식·설정'!$B$12/2))/'공식·설정'!$B$12)))</x:f>
        <x:v>10</x:v>
      </x:c>
      <x:c r="Q245" s="68" t="n">
        <x:f>P245-O245</x:f>
        <x:v>0</x:v>
      </x:c>
      <x:c r="R245" s="14" t="n">
        <x:v>34048</x:v>
      </x:c>
      <x:c r="S245" s="14" t="n">
        <x:f>P245*'공식·설정'!$B$12+'공식·설정'!$B$14</x:f>
        <x:v>34048</x:v>
      </x:c>
      <x:c r="T245" s="68" t="n">
        <x:f>S245-R245</x:f>
        <x:v>0</x:v>
      </x:c>
      <x:c r="U245" s="65" t="n">
        <x:f>R245/'공식·설정'!$B$7</x:f>
        <x:v>133</x:v>
      </x:c>
      <x:c r="V245" s="65" t="n">
        <x:f>S245/'공식·설정'!$B$7</x:f>
        <x:v>133</x:v>
      </x:c>
      <x:c r="W245" s="14" t="n">
        <x:v>682</x:v>
      </x:c>
      <x:c r="X245" s="14" t="n">
        <x:f>INT(ABS(K246-K245)*'공식·설정'!$B$8/K245)</x:f>
        <x:v>682</x:v>
      </x:c>
      <x:c r="Y245" s="68" t="n">
        <x:f>X245-W245</x:f>
        <x:v>0</x:v>
      </x:c>
      <x:c r="Z245" s="66" t="n">
        <x:f>W245/'공식·설정'!$B$8</x:f>
        <x:v>0.010406494140625</x:v>
      </x:c>
      <x:c r="AA245" s="66" t="n">
        <x:f>X245/'공식·설정'!$B$8</x:f>
        <x:v>0.010406494140625</x:v>
      </x:c>
      <x:c r="AB245" s="67" t="str">
        <x:f>IF(AND(I245=0,L245=0,Q245=0,T245=0,Y245=0),"PASS","FAIL")</x:f>
        <x:v>PASS</x:v>
      </x:c>
    </x:row>
    <x:row r="246" ht="18" customHeight="1">
      <x:c r="A246" s="14" t="n">
        <x:v>349</x:v>
      </x:c>
      <x:c r="B246" s="14" t="n">
        <x:v>241</x:v>
      </x:c>
      <x:c r="C246" s="14" t="n">
        <x:v>336</x:v>
      </x:c>
      <x:c r="D246" s="14" t="n">
        <x:v>3278</x:v>
      </x:c>
      <x:c r="E246" s="14" t="n">
        <x:v>350</x:v>
      </x:c>
      <x:c r="F246" s="14" t="n">
        <x:v>3827</x:v>
      </x:c>
      <x:c r="G246" s="14" t="n">
        <x:v>3787</x:v>
      </x:c>
      <x:c r="H246" s="14" t="n">
        <x:f>INT((F246-D246)*(A246-C246)/(E246-C246))+D246</x:f>
        <x:v>3787</x:v>
      </x:c>
      <x:c r="I246" s="68" t="n">
        <x:f>H246-G246</x:f>
        <x:v>0</x:v>
      </x:c>
      <x:c r="J246" s="14" t="n">
        <x:v>24654</x:v>
      </x:c>
      <x:c r="K246" s="14" t="n">
        <x:f>INT(H246*'공식·설정'!$B$10/'공식·설정'!$B$15)</x:f>
        <x:v>24654</x:v>
      </x:c>
      <x:c r="L246" s="68" t="n">
        <x:f>K246-J246</x:f>
        <x:v>0</x:v>
      </x:c>
      <x:c r="M246" s="65" t="n">
        <x:f>J246/'공식·설정'!$B$7</x:f>
        <x:v>96.3046875</x:v>
      </x:c>
      <x:c r="N246" s="65" t="n">
        <x:f>K246/'공식·설정'!$B$7</x:f>
        <x:v>96.3046875</x:v>
      </x:c>
      <x:c r="O246" s="14" t="n">
        <x:v>10</x:v>
      </x:c>
      <x:c r="P246" s="14" t="n">
        <x:f>MIN(32767,MAX(0,INT((K246+INT('공식·설정'!$B$12/2))/'공식·설정'!$B$12)))</x:f>
        <x:v>10</x:v>
      </x:c>
      <x:c r="Q246" s="68" t="n">
        <x:f>P246-O246</x:f>
        <x:v>0</x:v>
      </x:c>
      <x:c r="R246" s="14" t="n">
        <x:v>34048</x:v>
      </x:c>
      <x:c r="S246" s="14" t="n">
        <x:f>P246*'공식·설정'!$B$12+'공식·설정'!$B$14</x:f>
        <x:v>34048</x:v>
      </x:c>
      <x:c r="T246" s="68" t="n">
        <x:f>S246-R246</x:f>
        <x:v>0</x:v>
      </x:c>
      <x:c r="U246" s="65" t="n">
        <x:f>R246/'공식·설정'!$B$7</x:f>
        <x:v>133</x:v>
      </x:c>
      <x:c r="V246" s="65" t="n">
        <x:f>S246/'공식·설정'!$B$7</x:f>
        <x:v>133</x:v>
      </x:c>
      <x:c r="W246" s="14" t="n">
        <x:v>691</x:v>
      </x:c>
      <x:c r="X246" s="14" t="n">
        <x:f>INT(ABS(K247-K246)*'공식·설정'!$B$8/K246)</x:f>
        <x:v>691</x:v>
      </x:c>
      <x:c r="Y246" s="68" t="n">
        <x:f>X246-W246</x:f>
        <x:v>0</x:v>
      </x:c>
      <x:c r="Z246" s="66" t="n">
        <x:f>W246/'공식·설정'!$B$8</x:f>
        <x:v>0.0105438232421875</x:v>
      </x:c>
      <x:c r="AA246" s="66" t="n">
        <x:f>X246/'공식·설정'!$B$8</x:f>
        <x:v>0.0105438232421875</x:v>
      </x:c>
      <x:c r="AB246" s="67" t="str">
        <x:f>IF(AND(I246=0,L246=0,Q246=0,T246=0,Y246=0),"PASS","FAIL")</x:f>
        <x:v>PASS</x:v>
      </x:c>
    </x:row>
    <x:row r="247" ht="18" customHeight="1">
      <x:c r="A247" s="14" t="n">
        <x:v>350</x:v>
      </x:c>
      <x:c r="B247" s="14" t="n">
        <x:v>242</x:v>
      </x:c>
      <x:c r="C247" s="14" t="n">
        <x:v>350</x:v>
      </x:c>
      <x:c r="D247" s="14" t="n">
        <x:v>3827</x:v>
      </x:c>
      <x:c r="E247" s="14" t="n">
        <x:v>364</x:v>
      </x:c>
      <x:c r="F247" s="14" t="n">
        <x:v>4466</x:v>
      </x:c>
      <x:c r="G247" s="14" t="n">
        <x:v>3827</x:v>
      </x:c>
      <x:c r="H247" s="14" t="n">
        <x:f>INT((F247-D247)*(A247-C247)/(E247-C247))+D247</x:f>
        <x:v>3827</x:v>
      </x:c>
      <x:c r="I247" s="68" t="n">
        <x:f>H247-G247</x:f>
        <x:v>0</x:v>
      </x:c>
      <x:c r="J247" s="14" t="n">
        <x:v>24914</x:v>
      </x:c>
      <x:c r="K247" s="14" t="n">
        <x:f>INT(H247*'공식·설정'!$B$10/'공식·설정'!$B$15)</x:f>
        <x:v>24914</x:v>
      </x:c>
      <x:c r="L247" s="68" t="n">
        <x:f>K247-J247</x:f>
        <x:v>0</x:v>
      </x:c>
      <x:c r="M247" s="65" t="n">
        <x:f>J247/'공식·설정'!$B$7</x:f>
        <x:v>97.3203125</x:v>
      </x:c>
      <x:c r="N247" s="65" t="n">
        <x:f>K247/'공식·설정'!$B$7</x:f>
        <x:v>97.3203125</x:v>
      </x:c>
      <x:c r="O247" s="14" t="n">
        <x:v>10</x:v>
      </x:c>
      <x:c r="P247" s="14" t="n">
        <x:f>MIN(32767,MAX(0,INT((K247+INT('공식·설정'!$B$12/2))/'공식·설정'!$B$12)))</x:f>
        <x:v>10</x:v>
      </x:c>
      <x:c r="Q247" s="68" t="n">
        <x:f>P247-O247</x:f>
        <x:v>0</x:v>
      </x:c>
      <x:c r="R247" s="14" t="n">
        <x:v>34048</x:v>
      </x:c>
      <x:c r="S247" s="14" t="n">
        <x:f>P247*'공식·설정'!$B$12+'공식·설정'!$B$14</x:f>
        <x:v>34048</x:v>
      </x:c>
      <x:c r="T247" s="68" t="n">
        <x:f>S247-R247</x:f>
        <x:v>0</x:v>
      </x:c>
      <x:c r="U247" s="65" t="n">
        <x:f>R247/'공식·설정'!$B$7</x:f>
        <x:v>133</x:v>
      </x:c>
      <x:c r="V247" s="65" t="n">
        <x:f>S247/'공식·설정'!$B$7</x:f>
        <x:v>133</x:v>
      </x:c>
      <x:c r="W247" s="14" t="n">
        <x:v>770</x:v>
      </x:c>
      <x:c r="X247" s="14" t="n">
        <x:f>INT(ABS(K248-K247)*'공식·설정'!$B$8/K247)</x:f>
        <x:v>770</x:v>
      </x:c>
      <x:c r="Y247" s="68" t="n">
        <x:f>X247-W247</x:f>
        <x:v>0</x:v>
      </x:c>
      <x:c r="Z247" s="66" t="n">
        <x:f>W247/'공식·설정'!$B$8</x:f>
        <x:v>0.011749267578125</x:v>
      </x:c>
      <x:c r="AA247" s="66" t="n">
        <x:f>X247/'공식·설정'!$B$8</x:f>
        <x:v>0.011749267578125</x:v>
      </x:c>
      <x:c r="AB247" s="67" t="str">
        <x:f>IF(AND(I247=0,L247=0,Q247=0,T247=0,Y247=0),"PASS","FAIL")</x:f>
        <x:v>PASS</x:v>
      </x:c>
    </x:row>
    <x:row r="248" ht="18" customHeight="1">
      <x:c r="A248" s="14" t="n">
        <x:v>351</x:v>
      </x:c>
      <x:c r="B248" s="14" t="n">
        <x:v>243</x:v>
      </x:c>
      <x:c r="C248" s="14" t="n">
        <x:v>350</x:v>
      </x:c>
      <x:c r="D248" s="14" t="n">
        <x:v>3827</x:v>
      </x:c>
      <x:c r="E248" s="14" t="n">
        <x:v>364</x:v>
      </x:c>
      <x:c r="F248" s="14" t="n">
        <x:v>4466</x:v>
      </x:c>
      <x:c r="G248" s="14" t="n">
        <x:v>3872</x:v>
      </x:c>
      <x:c r="H248" s="14" t="n">
        <x:f>INT((F248-D248)*(A248-C248)/(E248-C248))+D248</x:f>
        <x:v>3872</x:v>
      </x:c>
      <x:c r="I248" s="68" t="n">
        <x:f>H248-G248</x:f>
        <x:v>0</x:v>
      </x:c>
      <x:c r="J248" s="14" t="n">
        <x:v>25207</x:v>
      </x:c>
      <x:c r="K248" s="14" t="n">
        <x:f>INT(H248*'공식·설정'!$B$10/'공식·설정'!$B$15)</x:f>
        <x:v>25207</x:v>
      </x:c>
      <x:c r="L248" s="68" t="n">
        <x:f>K248-J248</x:f>
        <x:v>0</x:v>
      </x:c>
      <x:c r="M248" s="65" t="n">
        <x:f>J248/'공식·설정'!$B$7</x:f>
        <x:v>98.46484375</x:v>
      </x:c>
      <x:c r="N248" s="65" t="n">
        <x:f>K248/'공식·설정'!$B$7</x:f>
        <x:v>98.46484375</x:v>
      </x:c>
      <x:c r="O248" s="14" t="n">
        <x:v>10</x:v>
      </x:c>
      <x:c r="P248" s="14" t="n">
        <x:f>MIN(32767,MAX(0,INT((K248+INT('공식·설정'!$B$12/2))/'공식·설정'!$B$12)))</x:f>
        <x:v>10</x:v>
      </x:c>
      <x:c r="Q248" s="68" t="n">
        <x:f>P248-O248</x:f>
        <x:v>0</x:v>
      </x:c>
      <x:c r="R248" s="14" t="n">
        <x:v>34048</x:v>
      </x:c>
      <x:c r="S248" s="14" t="n">
        <x:f>P248*'공식·설정'!$B$12+'공식·설정'!$B$14</x:f>
        <x:v>34048</x:v>
      </x:c>
      <x:c r="T248" s="68" t="n">
        <x:f>S248-R248</x:f>
        <x:v>0</x:v>
      </x:c>
      <x:c r="U248" s="65" t="n">
        <x:f>R248/'공식·설정'!$B$7</x:f>
        <x:v>133</x:v>
      </x:c>
      <x:c r="V248" s="65" t="n">
        <x:f>S248/'공식·설정'!$B$7</x:f>
        <x:v>133</x:v>
      </x:c>
      <x:c r="W248" s="14" t="n">
        <x:v>779</x:v>
      </x:c>
      <x:c r="X248" s="14" t="n">
        <x:f>INT(ABS(K249-K248)*'공식·설정'!$B$8/K248)</x:f>
        <x:v>779</x:v>
      </x:c>
      <x:c r="Y248" s="68" t="n">
        <x:f>X248-W248</x:f>
        <x:v>0</x:v>
      </x:c>
      <x:c r="Z248" s="66" t="n">
        <x:f>W248/'공식·설정'!$B$8</x:f>
        <x:v>0.0118865966796875</x:v>
      </x:c>
      <x:c r="AA248" s="66" t="n">
        <x:f>X248/'공식·설정'!$B$8</x:f>
        <x:v>0.0118865966796875</x:v>
      </x:c>
      <x:c r="AB248" s="67" t="str">
        <x:f>IF(AND(I248=0,L248=0,Q248=0,T248=0,Y248=0),"PASS","FAIL")</x:f>
        <x:v>PASS</x:v>
      </x:c>
    </x:row>
    <x:row r="249" ht="18" customHeight="1">
      <x:c r="A249" s="14" t="n">
        <x:v>352</x:v>
      </x:c>
      <x:c r="B249" s="14" t="n">
        <x:v>244</x:v>
      </x:c>
      <x:c r="C249" s="14" t="n">
        <x:v>350</x:v>
      </x:c>
      <x:c r="D249" s="14" t="n">
        <x:v>3827</x:v>
      </x:c>
      <x:c r="E249" s="14" t="n">
        <x:v>364</x:v>
      </x:c>
      <x:c r="F249" s="14" t="n">
        <x:v>4466</x:v>
      </x:c>
      <x:c r="G249" s="14" t="n">
        <x:v>3918</x:v>
      </x:c>
      <x:c r="H249" s="14" t="n">
        <x:f>INT((F249-D249)*(A249-C249)/(E249-C249))+D249</x:f>
        <x:v>3918</x:v>
      </x:c>
      <x:c r="I249" s="68" t="n">
        <x:f>H249-G249</x:f>
        <x:v>0</x:v>
      </x:c>
      <x:c r="J249" s="14" t="n">
        <x:v>25507</x:v>
      </x:c>
      <x:c r="K249" s="14" t="n">
        <x:f>INT(H249*'공식·설정'!$B$10/'공식·설정'!$B$15)</x:f>
        <x:v>25507</x:v>
      </x:c>
      <x:c r="L249" s="68" t="n">
        <x:f>K249-J249</x:f>
        <x:v>0</x:v>
      </x:c>
      <x:c r="M249" s="65" t="n">
        <x:f>J249/'공식·설정'!$B$7</x:f>
        <x:v>99.63671875</x:v>
      </x:c>
      <x:c r="N249" s="65" t="n">
        <x:f>K249/'공식·설정'!$B$7</x:f>
        <x:v>99.63671875</x:v>
      </x:c>
      <x:c r="O249" s="14" t="n">
        <x:v>10</x:v>
      </x:c>
      <x:c r="P249" s="14" t="n">
        <x:f>MIN(32767,MAX(0,INT((K249+INT('공식·설정'!$B$12/2))/'공식·설정'!$B$12)))</x:f>
        <x:v>10</x:v>
      </x:c>
      <x:c r="Q249" s="68" t="n">
        <x:f>P249-O249</x:f>
        <x:v>0</x:v>
      </x:c>
      <x:c r="R249" s="14" t="n">
        <x:v>34048</x:v>
      </x:c>
      <x:c r="S249" s="14" t="n">
        <x:f>P249*'공식·설정'!$B$12+'공식·설정'!$B$14</x:f>
        <x:v>34048</x:v>
      </x:c>
      <x:c r="T249" s="68" t="n">
        <x:f>S249-R249</x:f>
        <x:v>0</x:v>
      </x:c>
      <x:c r="U249" s="65" t="n">
        <x:f>R249/'공식·설정'!$B$7</x:f>
        <x:v>133</x:v>
      </x:c>
      <x:c r="V249" s="65" t="n">
        <x:f>S249/'공식·설정'!$B$7</x:f>
        <x:v>133</x:v>
      </x:c>
      <x:c r="W249" s="14" t="n">
        <x:v>752</x:v>
      </x:c>
      <x:c r="X249" s="14" t="n">
        <x:f>INT(ABS(K250-K249)*'공식·설정'!$B$8/K249)</x:f>
        <x:v>752</x:v>
      </x:c>
      <x:c r="Y249" s="68" t="n">
        <x:f>X249-W249</x:f>
        <x:v>0</x:v>
      </x:c>
      <x:c r="Z249" s="66" t="n">
        <x:f>W249/'공식·설정'!$B$8</x:f>
        <x:v>0.011474609375</x:v>
      </x:c>
      <x:c r="AA249" s="66" t="n">
        <x:f>X249/'공식·설정'!$B$8</x:f>
        <x:v>0.011474609375</x:v>
      </x:c>
      <x:c r="AB249" s="67" t="str">
        <x:f>IF(AND(I249=0,L249=0,Q249=0,T249=0,Y249=0),"PASS","FAIL")</x:f>
        <x:v>PASS</x:v>
      </x:c>
    </x:row>
    <x:row r="250" ht="18" customHeight="1">
      <x:c r="A250" s="14" t="n">
        <x:v>353</x:v>
      </x:c>
      <x:c r="B250" s="14" t="n">
        <x:v>245</x:v>
      </x:c>
      <x:c r="C250" s="14" t="n">
        <x:v>350</x:v>
      </x:c>
      <x:c r="D250" s="14" t="n">
        <x:v>3827</x:v>
      </x:c>
      <x:c r="E250" s="14" t="n">
        <x:v>364</x:v>
      </x:c>
      <x:c r="F250" s="14" t="n">
        <x:v>4466</x:v>
      </x:c>
      <x:c r="G250" s="14" t="n">
        <x:v>3963</x:v>
      </x:c>
      <x:c r="H250" s="14" t="n">
        <x:f>INT((F250-D250)*(A250-C250)/(E250-C250))+D250</x:f>
        <x:v>3963</x:v>
      </x:c>
      <x:c r="I250" s="68" t="n">
        <x:f>H250-G250</x:f>
        <x:v>0</x:v>
      </x:c>
      <x:c r="J250" s="14" t="n">
        <x:v>25800</x:v>
      </x:c>
      <x:c r="K250" s="14" t="n">
        <x:f>INT(H250*'공식·설정'!$B$10/'공식·설정'!$B$15)</x:f>
        <x:v>25800</x:v>
      </x:c>
      <x:c r="L250" s="68" t="n">
        <x:f>K250-J250</x:f>
        <x:v>0</x:v>
      </x:c>
      <x:c r="M250" s="65" t="n">
        <x:f>J250/'공식·설정'!$B$7</x:f>
        <x:v>100.78125</x:v>
      </x:c>
      <x:c r="N250" s="65" t="n">
        <x:f>K250/'공식·설정'!$B$7</x:f>
        <x:v>100.78125</x:v>
      </x:c>
      <x:c r="O250" s="14" t="n">
        <x:v>10</x:v>
      </x:c>
      <x:c r="P250" s="14" t="n">
        <x:f>MIN(32767,MAX(0,INT((K250+INT('공식·설정'!$B$12/2))/'공식·설정'!$B$12)))</x:f>
        <x:v>10</x:v>
      </x:c>
      <x:c r="Q250" s="68" t="n">
        <x:f>P250-O250</x:f>
        <x:v>0</x:v>
      </x:c>
      <x:c r="R250" s="14" t="n">
        <x:v>34048</x:v>
      </x:c>
      <x:c r="S250" s="14" t="n">
        <x:f>P250*'공식·설정'!$B$12+'공식·설정'!$B$14</x:f>
        <x:v>34048</x:v>
      </x:c>
      <x:c r="T250" s="68" t="n">
        <x:f>S250-R250</x:f>
        <x:v>0</x:v>
      </x:c>
      <x:c r="U250" s="65" t="n">
        <x:f>R250/'공식·설정'!$B$7</x:f>
        <x:v>133</x:v>
      </x:c>
      <x:c r="V250" s="65" t="n">
        <x:f>S250/'공식·설정'!$B$7</x:f>
        <x:v>133</x:v>
      </x:c>
      <x:c r="W250" s="14" t="n">
        <x:v>759</x:v>
      </x:c>
      <x:c r="X250" s="14" t="n">
        <x:f>INT(ABS(K251-K250)*'공식·설정'!$B$8/K250)</x:f>
        <x:v>759</x:v>
      </x:c>
      <x:c r="Y250" s="68" t="n">
        <x:f>X250-W250</x:f>
        <x:v>0</x:v>
      </x:c>
      <x:c r="Z250" s="66" t="n">
        <x:f>W250/'공식·설정'!$B$8</x:f>
        <x:v>0.0115814208984375</x:v>
      </x:c>
      <x:c r="AA250" s="66" t="n">
        <x:f>X250/'공식·설정'!$B$8</x:f>
        <x:v>0.0115814208984375</x:v>
      </x:c>
      <x:c r="AB250" s="67" t="str">
        <x:f>IF(AND(I250=0,L250=0,Q250=0,T250=0,Y250=0),"PASS","FAIL")</x:f>
        <x:v>PASS</x:v>
      </x:c>
    </x:row>
    <x:row r="251" ht="18" customHeight="1">
      <x:c r="A251" s="14" t="n">
        <x:v>354</x:v>
      </x:c>
      <x:c r="B251" s="14" t="n">
        <x:v>246</x:v>
      </x:c>
      <x:c r="C251" s="14" t="n">
        <x:v>350</x:v>
      </x:c>
      <x:c r="D251" s="14" t="n">
        <x:v>3827</x:v>
      </x:c>
      <x:c r="E251" s="14" t="n">
        <x:v>364</x:v>
      </x:c>
      <x:c r="F251" s="14" t="n">
        <x:v>4466</x:v>
      </x:c>
      <x:c r="G251" s="14" t="n">
        <x:v>4009</x:v>
      </x:c>
      <x:c r="H251" s="14" t="n">
        <x:f>INT((F251-D251)*(A251-C251)/(E251-C251))+D251</x:f>
        <x:v>4009</x:v>
      </x:c>
      <x:c r="I251" s="68" t="n">
        <x:f>H251-G251</x:f>
        <x:v>0</x:v>
      </x:c>
      <x:c r="J251" s="14" t="n">
        <x:v>26099</x:v>
      </x:c>
      <x:c r="K251" s="14" t="n">
        <x:f>INT(H251*'공식·설정'!$B$10/'공식·설정'!$B$15)</x:f>
        <x:v>26099</x:v>
      </x:c>
      <x:c r="L251" s="68" t="n">
        <x:f>K251-J251</x:f>
        <x:v>0</x:v>
      </x:c>
      <x:c r="M251" s="65" t="n">
        <x:f>J251/'공식·설정'!$B$7</x:f>
        <x:v>101.94921875</x:v>
      </x:c>
      <x:c r="N251" s="65" t="n">
        <x:f>K251/'공식·설정'!$B$7</x:f>
        <x:v>101.94921875</x:v>
      </x:c>
      <x:c r="O251" s="14" t="n">
        <x:v>10</x:v>
      </x:c>
      <x:c r="P251" s="14" t="n">
        <x:f>MIN(32767,MAX(0,INT((K251+INT('공식·설정'!$B$12/2))/'공식·설정'!$B$12)))</x:f>
        <x:v>10</x:v>
      </x:c>
      <x:c r="Q251" s="68" t="n">
        <x:f>P251-O251</x:f>
        <x:v>0</x:v>
      </x:c>
      <x:c r="R251" s="14" t="n">
        <x:v>34048</x:v>
      </x:c>
      <x:c r="S251" s="14" t="n">
        <x:f>P251*'공식·설정'!$B$12+'공식·설정'!$B$14</x:f>
        <x:v>34048</x:v>
      </x:c>
      <x:c r="T251" s="68" t="n">
        <x:f>S251-R251</x:f>
        <x:v>0</x:v>
      </x:c>
      <x:c r="U251" s="65" t="n">
        <x:f>R251/'공식·설정'!$B$7</x:f>
        <x:v>133</x:v>
      </x:c>
      <x:c r="V251" s="65" t="n">
        <x:f>S251/'공식·설정'!$B$7</x:f>
        <x:v>133</x:v>
      </x:c>
      <x:c r="W251" s="14" t="n">
        <x:v>753</x:v>
      </x:c>
      <x:c r="X251" s="14" t="n">
        <x:f>INT(ABS(K252-K251)*'공식·설정'!$B$8/K251)</x:f>
        <x:v>753</x:v>
      </x:c>
      <x:c r="Y251" s="68" t="n">
        <x:f>X251-W251</x:f>
        <x:v>0</x:v>
      </x:c>
      <x:c r="Z251" s="66" t="n">
        <x:f>W251/'공식·설정'!$B$8</x:f>
        <x:v>0.0114898681640625</x:v>
      </x:c>
      <x:c r="AA251" s="66" t="n">
        <x:f>X251/'공식·설정'!$B$8</x:f>
        <x:v>0.0114898681640625</x:v>
      </x:c>
      <x:c r="AB251" s="67" t="str">
        <x:f>IF(AND(I251=0,L251=0,Q251=0,T251=0,Y251=0),"PASS","FAIL")</x:f>
        <x:v>PASS</x:v>
      </x:c>
    </x:row>
    <x:row r="252" ht="18" customHeight="1">
      <x:c r="A252" s="14" t="n">
        <x:v>355</x:v>
      </x:c>
      <x:c r="B252" s="14" t="n">
        <x:v>247</x:v>
      </x:c>
      <x:c r="C252" s="14" t="n">
        <x:v>350</x:v>
      </x:c>
      <x:c r="D252" s="14" t="n">
        <x:v>3827</x:v>
      </x:c>
      <x:c r="E252" s="14" t="n">
        <x:v>364</x:v>
      </x:c>
      <x:c r="F252" s="14" t="n">
        <x:v>4466</x:v>
      </x:c>
      <x:c r="G252" s="14" t="n">
        <x:v>4055</x:v>
      </x:c>
      <x:c r="H252" s="14" t="n">
        <x:f>INT((F252-D252)*(A252-C252)/(E252-C252))+D252</x:f>
        <x:v>4055</x:v>
      </x:c>
      <x:c r="I252" s="68" t="n">
        <x:f>H252-G252</x:f>
        <x:v>0</x:v>
      </x:c>
      <x:c r="J252" s="14" t="n">
        <x:v>26399</x:v>
      </x:c>
      <x:c r="K252" s="14" t="n">
        <x:f>INT(H252*'공식·설정'!$B$10/'공식·설정'!$B$15)</x:f>
        <x:v>26399</x:v>
      </x:c>
      <x:c r="L252" s="68" t="n">
        <x:f>K252-J252</x:f>
        <x:v>0</x:v>
      </x:c>
      <x:c r="M252" s="65" t="n">
        <x:f>J252/'공식·설정'!$B$7</x:f>
        <x:v>103.12109375</x:v>
      </x:c>
      <x:c r="N252" s="65" t="n">
        <x:f>K252/'공식·설정'!$B$7</x:f>
        <x:v>103.12109375</x:v>
      </x:c>
      <x:c r="O252" s="14" t="n">
        <x:v>10</x:v>
      </x:c>
      <x:c r="P252" s="14" t="n">
        <x:f>MIN(32767,MAX(0,INT((K252+INT('공식·설정'!$B$12/2))/'공식·설정'!$B$12)))</x:f>
        <x:v>10</x:v>
      </x:c>
      <x:c r="Q252" s="68" t="n">
        <x:f>P252-O252</x:f>
        <x:v>0</x:v>
      </x:c>
      <x:c r="R252" s="14" t="n">
        <x:v>34048</x:v>
      </x:c>
      <x:c r="S252" s="14" t="n">
        <x:f>P252*'공식·설정'!$B$12+'공식·설정'!$B$14</x:f>
        <x:v>34048</x:v>
      </x:c>
      <x:c r="T252" s="68" t="n">
        <x:f>S252-R252</x:f>
        <x:v>0</x:v>
      </x:c>
      <x:c r="U252" s="65" t="n">
        <x:f>R252/'공식·설정'!$B$7</x:f>
        <x:v>133</x:v>
      </x:c>
      <x:c r="V252" s="65" t="n">
        <x:f>S252/'공식·설정'!$B$7</x:f>
        <x:v>133</x:v>
      </x:c>
      <x:c r="W252" s="14" t="n">
        <x:v>727</x:v>
      </x:c>
      <x:c r="X252" s="14" t="n">
        <x:f>INT(ABS(K253-K252)*'공식·설정'!$B$8/K252)</x:f>
        <x:v>727</x:v>
      </x:c>
      <x:c r="Y252" s="68" t="n">
        <x:f>X252-W252</x:f>
        <x:v>0</x:v>
      </x:c>
      <x:c r="Z252" s="66" t="n">
        <x:f>W252/'공식·설정'!$B$8</x:f>
        <x:v>0.0110931396484375</x:v>
      </x:c>
      <x:c r="AA252" s="66" t="n">
        <x:f>X252/'공식·설정'!$B$8</x:f>
        <x:v>0.0110931396484375</x:v>
      </x:c>
      <x:c r="AB252" s="67" t="str">
        <x:f>IF(AND(I252=0,L252=0,Q252=0,T252=0,Y252=0),"PASS","FAIL")</x:f>
        <x:v>PASS</x:v>
      </x:c>
    </x:row>
    <x:row r="253" ht="18" customHeight="1">
      <x:c r="A253" s="14" t="n">
        <x:v>356</x:v>
      </x:c>
      <x:c r="B253" s="14" t="n">
        <x:v>248</x:v>
      </x:c>
      <x:c r="C253" s="14" t="n">
        <x:v>350</x:v>
      </x:c>
      <x:c r="D253" s="14" t="n">
        <x:v>3827</x:v>
      </x:c>
      <x:c r="E253" s="14" t="n">
        <x:v>364</x:v>
      </x:c>
      <x:c r="F253" s="14" t="n">
        <x:v>4466</x:v>
      </x:c>
      <x:c r="G253" s="14" t="n">
        <x:v>4100</x:v>
      </x:c>
      <x:c r="H253" s="14" t="n">
        <x:f>INT((F253-D253)*(A253-C253)/(E253-C253))+D253</x:f>
        <x:v>4100</x:v>
      </x:c>
      <x:c r="I253" s="68" t="n">
        <x:f>H253-G253</x:f>
        <x:v>0</x:v>
      </x:c>
      <x:c r="J253" s="14" t="n">
        <x:v>26692</x:v>
      </x:c>
      <x:c r="K253" s="14" t="n">
        <x:f>INT(H253*'공식·설정'!$B$10/'공식·설정'!$B$15)</x:f>
        <x:v>26692</x:v>
      </x:c>
      <x:c r="L253" s="68" t="n">
        <x:f>K253-J253</x:f>
        <x:v>0</x:v>
      </x:c>
      <x:c r="M253" s="65" t="n">
        <x:f>J253/'공식·설정'!$B$7</x:f>
        <x:v>104.265625</x:v>
      </x:c>
      <x:c r="N253" s="65" t="n">
        <x:f>K253/'공식·설정'!$B$7</x:f>
        <x:v>104.265625</x:v>
      </x:c>
      <x:c r="O253" s="14" t="n">
        <x:v>10</x:v>
      </x:c>
      <x:c r="P253" s="14" t="n">
        <x:f>MIN(32767,MAX(0,INT((K253+INT('공식·설정'!$B$12/2))/'공식·설정'!$B$12)))</x:f>
        <x:v>10</x:v>
      </x:c>
      <x:c r="Q253" s="68" t="n">
        <x:f>P253-O253</x:f>
        <x:v>0</x:v>
      </x:c>
      <x:c r="R253" s="14" t="n">
        <x:v>34048</x:v>
      </x:c>
      <x:c r="S253" s="14" t="n">
        <x:f>P253*'공식·설정'!$B$12+'공식·설정'!$B$14</x:f>
        <x:v>34048</x:v>
      </x:c>
      <x:c r="T253" s="68" t="n">
        <x:f>S253-R253</x:f>
        <x:v>0</x:v>
      </x:c>
      <x:c r="U253" s="65" t="n">
        <x:f>R253/'공식·설정'!$B$7</x:f>
        <x:v>133</x:v>
      </x:c>
      <x:c r="V253" s="65" t="n">
        <x:f>S253/'공식·설정'!$B$7</x:f>
        <x:v>133</x:v>
      </x:c>
      <x:c r="W253" s="14" t="n">
        <x:v>734</x:v>
      </x:c>
      <x:c r="X253" s="14" t="n">
        <x:f>INT(ABS(K254-K253)*'공식·설정'!$B$8/K253)</x:f>
        <x:v>734</x:v>
      </x:c>
      <x:c r="Y253" s="68" t="n">
        <x:f>X253-W253</x:f>
        <x:v>0</x:v>
      </x:c>
      <x:c r="Z253" s="66" t="n">
        <x:f>W253/'공식·설정'!$B$8</x:f>
        <x:v>0.011199951171875</x:v>
      </x:c>
      <x:c r="AA253" s="66" t="n">
        <x:f>X253/'공식·설정'!$B$8</x:f>
        <x:v>0.011199951171875</x:v>
      </x:c>
      <x:c r="AB253" s="67" t="str">
        <x:f>IF(AND(I253=0,L253=0,Q253=0,T253=0,Y253=0),"PASS","FAIL")</x:f>
        <x:v>PASS</x:v>
      </x:c>
    </x:row>
    <x:row r="254" ht="18" customHeight="1">
      <x:c r="A254" s="14" t="n">
        <x:v>357</x:v>
      </x:c>
      <x:c r="B254" s="14" t="n">
        <x:v>249</x:v>
      </x:c>
      <x:c r="C254" s="14" t="n">
        <x:v>350</x:v>
      </x:c>
      <x:c r="D254" s="14" t="n">
        <x:v>3827</x:v>
      </x:c>
      <x:c r="E254" s="14" t="n">
        <x:v>364</x:v>
      </x:c>
      <x:c r="F254" s="14" t="n">
        <x:v>4466</x:v>
      </x:c>
      <x:c r="G254" s="14" t="n">
        <x:v>4146</x:v>
      </x:c>
      <x:c r="H254" s="14" t="n">
        <x:f>INT((F254-D254)*(A254-C254)/(E254-C254))+D254</x:f>
        <x:v>4146</x:v>
      </x:c>
      <x:c r="I254" s="68" t="n">
        <x:f>H254-G254</x:f>
        <x:v>0</x:v>
      </x:c>
      <x:c r="J254" s="14" t="n">
        <x:v>26991</x:v>
      </x:c>
      <x:c r="K254" s="14" t="n">
        <x:f>INT(H254*'공식·설정'!$B$10/'공식·설정'!$B$15)</x:f>
        <x:v>26991</x:v>
      </x:c>
      <x:c r="L254" s="68" t="n">
        <x:f>K254-J254</x:f>
        <x:v>0</x:v>
      </x:c>
      <x:c r="M254" s="65" t="n">
        <x:f>J254/'공식·설정'!$B$7</x:f>
        <x:v>105.43359375</x:v>
      </x:c>
      <x:c r="N254" s="65" t="n">
        <x:f>K254/'공식·설정'!$B$7</x:f>
        <x:v>105.43359375</x:v>
      </x:c>
      <x:c r="O254" s="14" t="n">
        <x:v>11</x:v>
      </x:c>
      <x:c r="P254" s="14" t="n">
        <x:f>MIN(32767,MAX(0,INT((K254+INT('공식·설정'!$B$12/2))/'공식·설정'!$B$12)))</x:f>
        <x:v>11</x:v>
      </x:c>
      <x:c r="Q254" s="68" t="n">
        <x:f>P254-O254</x:f>
        <x:v>0</x:v>
      </x:c>
      <x:c r="R254" s="14" t="n">
        <x:v>36608</x:v>
      </x:c>
      <x:c r="S254" s="14" t="n">
        <x:f>P254*'공식·설정'!$B$12+'공식·설정'!$B$14</x:f>
        <x:v>36608</x:v>
      </x:c>
      <x:c r="T254" s="68" t="n">
        <x:f>S254-R254</x:f>
        <x:v>0</x:v>
      </x:c>
      <x:c r="U254" s="65" t="n">
        <x:f>R254/'공식·설정'!$B$7</x:f>
        <x:v>143</x:v>
      </x:c>
      <x:c r="V254" s="65" t="n">
        <x:f>S254/'공식·설정'!$B$7</x:f>
        <x:v>143</x:v>
      </x:c>
      <x:c r="W254" s="14" t="n">
        <x:v>728</x:v>
      </x:c>
      <x:c r="X254" s="14" t="n">
        <x:f>INT(ABS(K255-K254)*'공식·설정'!$B$8/K254)</x:f>
        <x:v>728</x:v>
      </x:c>
      <x:c r="Y254" s="68" t="n">
        <x:f>X254-W254</x:f>
        <x:v>0</x:v>
      </x:c>
      <x:c r="Z254" s="66" t="n">
        <x:f>W254/'공식·설정'!$B$8</x:f>
        <x:v>0.0111083984375</x:v>
      </x:c>
      <x:c r="AA254" s="66" t="n">
        <x:f>X254/'공식·설정'!$B$8</x:f>
        <x:v>0.0111083984375</x:v>
      </x:c>
      <x:c r="AB254" s="67" t="str">
        <x:f>IF(AND(I254=0,L254=0,Q254=0,T254=0,Y254=0),"PASS","FAIL")</x:f>
        <x:v>PASS</x:v>
      </x:c>
    </x:row>
    <x:row r="255" ht="18" customHeight="1">
      <x:c r="A255" s="14" t="n">
        <x:v>358</x:v>
      </x:c>
      <x:c r="B255" s="14" t="n">
        <x:v>250</x:v>
      </x:c>
      <x:c r="C255" s="14" t="n">
        <x:v>350</x:v>
      </x:c>
      <x:c r="D255" s="14" t="n">
        <x:v>3827</x:v>
      </x:c>
      <x:c r="E255" s="14" t="n">
        <x:v>364</x:v>
      </x:c>
      <x:c r="F255" s="14" t="n">
        <x:v>4466</x:v>
      </x:c>
      <x:c r="G255" s="14" t="n">
        <x:v>4192</x:v>
      </x:c>
      <x:c r="H255" s="14" t="n">
        <x:f>INT((F255-D255)*(A255-C255)/(E255-C255))+D255</x:f>
        <x:v>4192</x:v>
      </x:c>
      <x:c r="I255" s="68" t="n">
        <x:f>H255-G255</x:f>
        <x:v>0</x:v>
      </x:c>
      <x:c r="J255" s="14" t="n">
        <x:v>27291</x:v>
      </x:c>
      <x:c r="K255" s="14" t="n">
        <x:f>INT(H255*'공식·설정'!$B$10/'공식·설정'!$B$15)</x:f>
        <x:v>27291</x:v>
      </x:c>
      <x:c r="L255" s="68" t="n">
        <x:f>K255-J255</x:f>
        <x:v>0</x:v>
      </x:c>
      <x:c r="M255" s="65" t="n">
        <x:f>J255/'공식·설정'!$B$7</x:f>
        <x:v>106.60546875</x:v>
      </x:c>
      <x:c r="N255" s="65" t="n">
        <x:f>K255/'공식·설정'!$B$7</x:f>
        <x:v>106.60546875</x:v>
      </x:c>
      <x:c r="O255" s="14" t="n">
        <x:v>11</x:v>
      </x:c>
      <x:c r="P255" s="14" t="n">
        <x:f>MIN(32767,MAX(0,INT((K255+INT('공식·설정'!$B$12/2))/'공식·설정'!$B$12)))</x:f>
        <x:v>11</x:v>
      </x:c>
      <x:c r="Q255" s="68" t="n">
        <x:f>P255-O255</x:f>
        <x:v>0</x:v>
      </x:c>
      <x:c r="R255" s="14" t="n">
        <x:v>36608</x:v>
      </x:c>
      <x:c r="S255" s="14" t="n">
        <x:f>P255*'공식·설정'!$B$12+'공식·설정'!$B$14</x:f>
        <x:v>36608</x:v>
      </x:c>
      <x:c r="T255" s="68" t="n">
        <x:f>S255-R255</x:f>
        <x:v>0</x:v>
      </x:c>
      <x:c r="U255" s="65" t="n">
        <x:f>R255/'공식·설정'!$B$7</x:f>
        <x:v>143</x:v>
      </x:c>
      <x:c r="V255" s="65" t="n">
        <x:f>S255/'공식·설정'!$B$7</x:f>
        <x:v>143</x:v>
      </x:c>
      <x:c r="W255" s="14" t="n">
        <x:v>703</x:v>
      </x:c>
      <x:c r="X255" s="14" t="n">
        <x:f>INT(ABS(K256-K255)*'공식·설정'!$B$8/K255)</x:f>
        <x:v>703</x:v>
      </x:c>
      <x:c r="Y255" s="68" t="n">
        <x:f>X255-W255</x:f>
        <x:v>0</x:v>
      </x:c>
      <x:c r="Z255" s="66" t="n">
        <x:f>W255/'공식·설정'!$B$8</x:f>
        <x:v>0.0107269287109375</x:v>
      </x:c>
      <x:c r="AA255" s="66" t="n">
        <x:f>X255/'공식·설정'!$B$8</x:f>
        <x:v>0.0107269287109375</x:v>
      </x:c>
      <x:c r="AB255" s="67" t="str">
        <x:f>IF(AND(I255=0,L255=0,Q255=0,T255=0,Y255=0),"PASS","FAIL")</x:f>
        <x:v>PASS</x:v>
      </x:c>
    </x:row>
    <x:row r="256" ht="18" customHeight="1">
      <x:c r="A256" s="14" t="n">
        <x:v>359</x:v>
      </x:c>
      <x:c r="B256" s="14" t="n">
        <x:v>251</x:v>
      </x:c>
      <x:c r="C256" s="14" t="n">
        <x:v>350</x:v>
      </x:c>
      <x:c r="D256" s="14" t="n">
        <x:v>3827</x:v>
      </x:c>
      <x:c r="E256" s="14" t="n">
        <x:v>364</x:v>
      </x:c>
      <x:c r="F256" s="14" t="n">
        <x:v>4466</x:v>
      </x:c>
      <x:c r="G256" s="14" t="n">
        <x:v>4237</x:v>
      </x:c>
      <x:c r="H256" s="14" t="n">
        <x:f>INT((F256-D256)*(A256-C256)/(E256-C256))+D256</x:f>
        <x:v>4237</x:v>
      </x:c>
      <x:c r="I256" s="68" t="n">
        <x:f>H256-G256</x:f>
        <x:v>0</x:v>
      </x:c>
      <x:c r="J256" s="14" t="n">
        <x:v>27584</x:v>
      </x:c>
      <x:c r="K256" s="14" t="n">
        <x:f>INT(H256*'공식·설정'!$B$10/'공식·설정'!$B$15)</x:f>
        <x:v>27584</x:v>
      </x:c>
      <x:c r="L256" s="68" t="n">
        <x:f>K256-J256</x:f>
        <x:v>0</x:v>
      </x:c>
      <x:c r="M256" s="65" t="n">
        <x:f>J256/'공식·설정'!$B$7</x:f>
        <x:v>107.75</x:v>
      </x:c>
      <x:c r="N256" s="65" t="n">
        <x:f>K256/'공식·설정'!$B$7</x:f>
        <x:v>107.75</x:v>
      </x:c>
      <x:c r="O256" s="14" t="n">
        <x:v>11</x:v>
      </x:c>
      <x:c r="P256" s="14" t="n">
        <x:f>MIN(32767,MAX(0,INT((K256+INT('공식·설정'!$B$12/2))/'공식·설정'!$B$12)))</x:f>
        <x:v>11</x:v>
      </x:c>
      <x:c r="Q256" s="68" t="n">
        <x:f>P256-O256</x:f>
        <x:v>0</x:v>
      </x:c>
      <x:c r="R256" s="14" t="n">
        <x:v>36608</x:v>
      </x:c>
      <x:c r="S256" s="14" t="n">
        <x:f>P256*'공식·설정'!$B$12+'공식·설정'!$B$14</x:f>
        <x:v>36608</x:v>
      </x:c>
      <x:c r="T256" s="68" t="n">
        <x:f>S256-R256</x:f>
        <x:v>0</x:v>
      </x:c>
      <x:c r="U256" s="65" t="n">
        <x:f>R256/'공식·설정'!$B$7</x:f>
        <x:v>143</x:v>
      </x:c>
      <x:c r="V256" s="65" t="n">
        <x:f>S256/'공식·설정'!$B$7</x:f>
        <x:v>143</x:v>
      </x:c>
      <x:c r="W256" s="14" t="n">
        <x:v>710</x:v>
      </x:c>
      <x:c r="X256" s="14" t="n">
        <x:f>INT(ABS(K257-K256)*'공식·설정'!$B$8/K256)</x:f>
        <x:v>710</x:v>
      </x:c>
      <x:c r="Y256" s="68" t="n">
        <x:f>X256-W256</x:f>
        <x:v>0</x:v>
      </x:c>
      <x:c r="Z256" s="66" t="n">
        <x:f>W256/'공식·설정'!$B$8</x:f>
        <x:v>0.010833740234375</x:v>
      </x:c>
      <x:c r="AA256" s="66" t="n">
        <x:f>X256/'공식·설정'!$B$8</x:f>
        <x:v>0.010833740234375</x:v>
      </x:c>
      <x:c r="AB256" s="67" t="str">
        <x:f>IF(AND(I256=0,L256=0,Q256=0,T256=0,Y256=0),"PASS","FAIL")</x:f>
        <x:v>PASS</x:v>
      </x:c>
    </x:row>
    <x:row r="257" ht="18" customHeight="1">
      <x:c r="A257" s="14" t="n">
        <x:v>360</x:v>
      </x:c>
      <x:c r="B257" s="14" t="n">
        <x:v>252</x:v>
      </x:c>
      <x:c r="C257" s="14" t="n">
        <x:v>350</x:v>
      </x:c>
      <x:c r="D257" s="14" t="n">
        <x:v>3827</x:v>
      </x:c>
      <x:c r="E257" s="14" t="n">
        <x:v>364</x:v>
      </x:c>
      <x:c r="F257" s="14" t="n">
        <x:v>4466</x:v>
      </x:c>
      <x:c r="G257" s="14" t="n">
        <x:v>4283</x:v>
      </x:c>
      <x:c r="H257" s="14" t="n">
        <x:f>INT((F257-D257)*(A257-C257)/(E257-C257))+D257</x:f>
        <x:v>4283</x:v>
      </x:c>
      <x:c r="I257" s="68" t="n">
        <x:f>H257-G257</x:f>
        <x:v>0</x:v>
      </x:c>
      <x:c r="J257" s="14" t="n">
        <x:v>27883</x:v>
      </x:c>
      <x:c r="K257" s="14" t="n">
        <x:f>INT(H257*'공식·설정'!$B$10/'공식·설정'!$B$15)</x:f>
        <x:v>27883</x:v>
      </x:c>
      <x:c r="L257" s="68" t="n">
        <x:f>K257-J257</x:f>
        <x:v>0</x:v>
      </x:c>
      <x:c r="M257" s="65" t="n">
        <x:f>J257/'공식·설정'!$B$7</x:f>
        <x:v>108.91796875</x:v>
      </x:c>
      <x:c r="N257" s="65" t="n">
        <x:f>K257/'공식·설정'!$B$7</x:f>
        <x:v>108.91796875</x:v>
      </x:c>
      <x:c r="O257" s="14" t="n">
        <x:v>11</x:v>
      </x:c>
      <x:c r="P257" s="14" t="n">
        <x:f>MIN(32767,MAX(0,INT((K257+INT('공식·설정'!$B$12/2))/'공식·설정'!$B$12)))</x:f>
        <x:v>11</x:v>
      </x:c>
      <x:c r="Q257" s="68" t="n">
        <x:f>P257-O257</x:f>
        <x:v>0</x:v>
      </x:c>
      <x:c r="R257" s="14" t="n">
        <x:v>36608</x:v>
      </x:c>
      <x:c r="S257" s="14" t="n">
        <x:f>P257*'공식·설정'!$B$12+'공식·설정'!$B$14</x:f>
        <x:v>36608</x:v>
      </x:c>
      <x:c r="T257" s="68" t="n">
        <x:f>S257-R257</x:f>
        <x:v>0</x:v>
      </x:c>
      <x:c r="U257" s="65" t="n">
        <x:f>R257/'공식·설정'!$B$7</x:f>
        <x:v>143</x:v>
      </x:c>
      <x:c r="V257" s="65" t="n">
        <x:f>S257/'공식·설정'!$B$7</x:f>
        <x:v>143</x:v>
      </x:c>
      <x:c r="W257" s="14" t="n">
        <x:v>705</x:v>
      </x:c>
      <x:c r="X257" s="14" t="n">
        <x:f>INT(ABS(K258-K257)*'공식·설정'!$B$8/K257)</x:f>
        <x:v>705</x:v>
      </x:c>
      <x:c r="Y257" s="68" t="n">
        <x:f>X257-W257</x:f>
        <x:v>0</x:v>
      </x:c>
      <x:c r="Z257" s="66" t="n">
        <x:f>W257/'공식·설정'!$B$8</x:f>
        <x:v>0.0107574462890625</x:v>
      </x:c>
      <x:c r="AA257" s="66" t="n">
        <x:f>X257/'공식·설정'!$B$8</x:f>
        <x:v>0.0107574462890625</x:v>
      </x:c>
      <x:c r="AB257" s="67" t="str">
        <x:f>IF(AND(I257=0,L257=0,Q257=0,T257=0,Y257=0),"PASS","FAIL")</x:f>
        <x:v>PASS</x:v>
      </x:c>
    </x:row>
    <x:row r="258" ht="18" customHeight="1">
      <x:c r="A258" s="14" t="n">
        <x:v>361</x:v>
      </x:c>
      <x:c r="B258" s="14" t="n">
        <x:v>253</x:v>
      </x:c>
      <x:c r="C258" s="14" t="n">
        <x:v>350</x:v>
      </x:c>
      <x:c r="D258" s="14" t="n">
        <x:v>3827</x:v>
      </x:c>
      <x:c r="E258" s="14" t="n">
        <x:v>364</x:v>
      </x:c>
      <x:c r="F258" s="14" t="n">
        <x:v>4466</x:v>
      </x:c>
      <x:c r="G258" s="14" t="n">
        <x:v>4329</x:v>
      </x:c>
      <x:c r="H258" s="14" t="n">
        <x:f>INT((F258-D258)*(A258-C258)/(E258-C258))+D258</x:f>
        <x:v>4329</x:v>
      </x:c>
      <x:c r="I258" s="68" t="n">
        <x:f>H258-G258</x:f>
        <x:v>0</x:v>
      </x:c>
      <x:c r="J258" s="14" t="n">
        <x:v>28183</x:v>
      </x:c>
      <x:c r="K258" s="14" t="n">
        <x:f>INT(H258*'공식·설정'!$B$10/'공식·설정'!$B$15)</x:f>
        <x:v>28183</x:v>
      </x:c>
      <x:c r="L258" s="68" t="n">
        <x:f>K258-J258</x:f>
        <x:v>0</x:v>
      </x:c>
      <x:c r="M258" s="65" t="n">
        <x:f>J258/'공식·설정'!$B$7</x:f>
        <x:v>110.08984375</x:v>
      </x:c>
      <x:c r="N258" s="65" t="n">
        <x:f>K258/'공식·설정'!$B$7</x:f>
        <x:v>110.08984375</x:v>
      </x:c>
      <x:c r="O258" s="14" t="n">
        <x:v>11</x:v>
      </x:c>
      <x:c r="P258" s="14" t="n">
        <x:f>MIN(32767,MAX(0,INT((K258+INT('공식·설정'!$B$12/2))/'공식·설정'!$B$12)))</x:f>
        <x:v>11</x:v>
      </x:c>
      <x:c r="Q258" s="68" t="n">
        <x:f>P258-O258</x:f>
        <x:v>0</x:v>
      </x:c>
      <x:c r="R258" s="14" t="n">
        <x:v>36608</x:v>
      </x:c>
      <x:c r="S258" s="14" t="n">
        <x:f>P258*'공식·설정'!$B$12+'공식·설정'!$B$14</x:f>
        <x:v>36608</x:v>
      </x:c>
      <x:c r="T258" s="68" t="n">
        <x:f>S258-R258</x:f>
        <x:v>0</x:v>
      </x:c>
      <x:c r="U258" s="65" t="n">
        <x:f>R258/'공식·설정'!$B$7</x:f>
        <x:v>143</x:v>
      </x:c>
      <x:c r="V258" s="65" t="n">
        <x:f>S258/'공식·설정'!$B$7</x:f>
        <x:v>143</x:v>
      </x:c>
      <x:c r="W258" s="14" t="n">
        <x:v>679</x:v>
      </x:c>
      <x:c r="X258" s="14" t="n">
        <x:f>INT(ABS(K259-K258)*'공식·설정'!$B$8/K258)</x:f>
        <x:v>679</x:v>
      </x:c>
      <x:c r="Y258" s="68" t="n">
        <x:f>X258-W258</x:f>
        <x:v>0</x:v>
      </x:c>
      <x:c r="Z258" s="66" t="n">
        <x:f>W258/'공식·설정'!$B$8</x:f>
        <x:v>0.0103607177734375</x:v>
      </x:c>
      <x:c r="AA258" s="66" t="n">
        <x:f>X258/'공식·설정'!$B$8</x:f>
        <x:v>0.0103607177734375</x:v>
      </x:c>
      <x:c r="AB258" s="67" t="str">
        <x:f>IF(AND(I258=0,L258=0,Q258=0,T258=0,Y258=0),"PASS","FAIL")</x:f>
        <x:v>PASS</x:v>
      </x:c>
    </x:row>
    <x:row r="259" ht="18" customHeight="1">
      <x:c r="A259" s="14" t="n">
        <x:v>362</x:v>
      </x:c>
      <x:c r="B259" s="14" t="n">
        <x:v>254</x:v>
      </x:c>
      <x:c r="C259" s="14" t="n">
        <x:v>350</x:v>
      </x:c>
      <x:c r="D259" s="14" t="n">
        <x:v>3827</x:v>
      </x:c>
      <x:c r="E259" s="14" t="n">
        <x:v>364</x:v>
      </x:c>
      <x:c r="F259" s="14" t="n">
        <x:v>4466</x:v>
      </x:c>
      <x:c r="G259" s="14" t="n">
        <x:v>4374</x:v>
      </x:c>
      <x:c r="H259" s="14" t="n">
        <x:f>INT((F259-D259)*(A259-C259)/(E259-C259))+D259</x:f>
        <x:v>4374</x:v>
      </x:c>
      <x:c r="I259" s="68" t="n">
        <x:f>H259-G259</x:f>
        <x:v>0</x:v>
      </x:c>
      <x:c r="J259" s="14" t="n">
        <x:v>28475</x:v>
      </x:c>
      <x:c r="K259" s="14" t="n">
        <x:f>INT(H259*'공식·설정'!$B$10/'공식·설정'!$B$15)</x:f>
        <x:v>28475</x:v>
      </x:c>
      <x:c r="L259" s="68" t="n">
        <x:f>K259-J259</x:f>
        <x:v>0</x:v>
      </x:c>
      <x:c r="M259" s="65" t="n">
        <x:f>J259/'공식·설정'!$B$7</x:f>
        <x:v>111.23046875</x:v>
      </x:c>
      <x:c r="N259" s="65" t="n">
        <x:f>K259/'공식·설정'!$B$7</x:f>
        <x:v>111.23046875</x:v>
      </x:c>
      <x:c r="O259" s="14" t="n">
        <x:v>11</x:v>
      </x:c>
      <x:c r="P259" s="14" t="n">
        <x:f>MIN(32767,MAX(0,INT((K259+INT('공식·설정'!$B$12/2))/'공식·설정'!$B$12)))</x:f>
        <x:v>11</x:v>
      </x:c>
      <x:c r="Q259" s="68" t="n">
        <x:f>P259-O259</x:f>
        <x:v>0</x:v>
      </x:c>
      <x:c r="R259" s="14" t="n">
        <x:v>36608</x:v>
      </x:c>
      <x:c r="S259" s="14" t="n">
        <x:f>P259*'공식·설정'!$B$12+'공식·설정'!$B$14</x:f>
        <x:v>36608</x:v>
      </x:c>
      <x:c r="T259" s="68" t="n">
        <x:f>S259-R259</x:f>
        <x:v>0</x:v>
      </x:c>
      <x:c r="U259" s="65" t="n">
        <x:f>R259/'공식·설정'!$B$7</x:f>
        <x:v>143</x:v>
      </x:c>
      <x:c r="V259" s="65" t="n">
        <x:f>S259/'공식·설정'!$B$7</x:f>
        <x:v>143</x:v>
      </x:c>
      <x:c r="W259" s="14" t="n">
        <x:v>690</x:v>
      </x:c>
      <x:c r="X259" s="14" t="n">
        <x:f>INT(ABS(K260-K259)*'공식·설정'!$B$8/K259)</x:f>
        <x:v>690</x:v>
      </x:c>
      <x:c r="Y259" s="68" t="n">
        <x:f>X259-W259</x:f>
        <x:v>0</x:v>
      </x:c>
      <x:c r="Z259" s="66" t="n">
        <x:f>W259/'공식·설정'!$B$8</x:f>
        <x:v>0.010528564453125</x:v>
      </x:c>
      <x:c r="AA259" s="66" t="n">
        <x:f>X259/'공식·설정'!$B$8</x:f>
        <x:v>0.010528564453125</x:v>
      </x:c>
      <x:c r="AB259" s="67" t="str">
        <x:f>IF(AND(I259=0,L259=0,Q259=0,T259=0,Y259=0),"PASS","FAIL")</x:f>
        <x:v>PASS</x:v>
      </x:c>
    </x:row>
    <x:row r="260" ht="18" customHeight="1">
      <x:c r="A260" s="14" t="n">
        <x:v>363</x:v>
      </x:c>
      <x:c r="B260" s="14" t="n">
        <x:v>255</x:v>
      </x:c>
      <x:c r="C260" s="14" t="n">
        <x:v>350</x:v>
      </x:c>
      <x:c r="D260" s="14" t="n">
        <x:v>3827</x:v>
      </x:c>
      <x:c r="E260" s="14" t="n">
        <x:v>364</x:v>
      </x:c>
      <x:c r="F260" s="14" t="n">
        <x:v>4466</x:v>
      </x:c>
      <x:c r="G260" s="14" t="n">
        <x:v>4420</x:v>
      </x:c>
      <x:c r="H260" s="14" t="n">
        <x:f>INT((F260-D260)*(A260-C260)/(E260-C260))+D260</x:f>
        <x:v>4420</x:v>
      </x:c>
      <x:c r="I260" s="68" t="n">
        <x:f>H260-G260</x:f>
        <x:v>0</x:v>
      </x:c>
      <x:c r="J260" s="14" t="n">
        <x:v>28775</x:v>
      </x:c>
      <x:c r="K260" s="14" t="n">
        <x:f>INT(H260*'공식·설정'!$B$10/'공식·설정'!$B$15)</x:f>
        <x:v>28775</x:v>
      </x:c>
      <x:c r="L260" s="68" t="n">
        <x:f>K260-J260</x:f>
        <x:v>0</x:v>
      </x:c>
      <x:c r="M260" s="65" t="n">
        <x:f>J260/'공식·설정'!$B$7</x:f>
        <x:v>112.40234375</x:v>
      </x:c>
      <x:c r="N260" s="65" t="n">
        <x:f>K260/'공식·설정'!$B$7</x:f>
        <x:v>112.40234375</x:v>
      </x:c>
      <x:c r="O260" s="14" t="n">
        <x:v>11</x:v>
      </x:c>
      <x:c r="P260" s="14" t="n">
        <x:f>MIN(32767,MAX(0,INT((K260+INT('공식·설정'!$B$12/2))/'공식·설정'!$B$12)))</x:f>
        <x:v>11</x:v>
      </x:c>
      <x:c r="Q260" s="68" t="n">
        <x:f>P260-O260</x:f>
        <x:v>0</x:v>
      </x:c>
      <x:c r="R260" s="14" t="n">
        <x:v>36608</x:v>
      </x:c>
      <x:c r="S260" s="14" t="n">
        <x:f>P260*'공식·설정'!$B$12+'공식·설정'!$B$14</x:f>
        <x:v>36608</x:v>
      </x:c>
      <x:c r="T260" s="68" t="n">
        <x:f>S260-R260</x:f>
        <x:v>0</x:v>
      </x:c>
      <x:c r="U260" s="65" t="n">
        <x:f>R260/'공식·설정'!$B$7</x:f>
        <x:v>143</x:v>
      </x:c>
      <x:c r="V260" s="65" t="n">
        <x:f>S260/'공식·설정'!$B$7</x:f>
        <x:v>143</x:v>
      </x:c>
      <x:c r="W260" s="14" t="n">
        <x:v>680</x:v>
      </x:c>
      <x:c r="X260" s="14" t="n">
        <x:f>INT(ABS(K261-K260)*'공식·설정'!$B$8/K260)</x:f>
        <x:v>680</x:v>
      </x:c>
      <x:c r="Y260" s="68" t="n">
        <x:f>X260-W260</x:f>
        <x:v>0</x:v>
      </x:c>
      <x:c r="Z260" s="66" t="n">
        <x:f>W260/'공식·설정'!$B$8</x:f>
        <x:v>0.0103759765625</x:v>
      </x:c>
      <x:c r="AA260" s="66" t="n">
        <x:f>X260/'공식·설정'!$B$8</x:f>
        <x:v>0.0103759765625</x:v>
      </x:c>
      <x:c r="AB260" s="67" t="str">
        <x:f>IF(AND(I260=0,L260=0,Q260=0,T260=0,Y260=0),"PASS","FAIL")</x:f>
        <x:v>PASS</x:v>
      </x:c>
    </x:row>
    <x:row r="261" ht="18" customHeight="1">
      <x:c r="A261" s="14" t="n">
        <x:v>364</x:v>
      </x:c>
      <x:c r="B261" s="14" t="n">
        <x:v>256</x:v>
      </x:c>
      <x:c r="C261" s="14" t="n">
        <x:v>364</x:v>
      </x:c>
      <x:c r="D261" s="14" t="n">
        <x:v>4466</x:v>
      </x:c>
      <x:c r="E261" s="14" t="n">
        <x:v>378</x:v>
      </x:c>
      <x:c r="F261" s="14" t="n">
        <x:v>5209</x:v>
      </x:c>
      <x:c r="G261" s="14" t="n">
        <x:v>4466</x:v>
      </x:c>
      <x:c r="H261" s="14" t="n">
        <x:f>INT((F261-D261)*(A261-C261)/(E261-C261))+D261</x:f>
        <x:v>4466</x:v>
      </x:c>
      <x:c r="I261" s="68" t="n">
        <x:f>H261-G261</x:f>
        <x:v>0</x:v>
      </x:c>
      <x:c r="J261" s="14" t="n">
        <x:v>29074</x:v>
      </x:c>
      <x:c r="K261" s="14" t="n">
        <x:f>INT(H261*'공식·설정'!$B$10/'공식·설정'!$B$15)</x:f>
        <x:v>29074</x:v>
      </x:c>
      <x:c r="L261" s="68" t="n">
        <x:f>K261-J261</x:f>
        <x:v>0</x:v>
      </x:c>
      <x:c r="M261" s="65" t="n">
        <x:f>J261/'공식·설정'!$B$7</x:f>
        <x:v>113.5703125</x:v>
      </x:c>
      <x:c r="N261" s="65" t="n">
        <x:f>K261/'공식·설정'!$B$7</x:f>
        <x:v>113.5703125</x:v>
      </x:c>
      <x:c r="O261" s="14" t="n">
        <x:v>11</x:v>
      </x:c>
      <x:c r="P261" s="14" t="n">
        <x:f>MIN(32767,MAX(0,INT((K261+INT('공식·설정'!$B$12/2))/'공식·설정'!$B$12)))</x:f>
        <x:v>11</x:v>
      </x:c>
      <x:c r="Q261" s="68" t="n">
        <x:f>P261-O261</x:f>
        <x:v>0</x:v>
      </x:c>
      <x:c r="R261" s="14" t="n">
        <x:v>36608</x:v>
      </x:c>
      <x:c r="S261" s="14" t="n">
        <x:f>P261*'공식·설정'!$B$12+'공식·설정'!$B$14</x:f>
        <x:v>36608</x:v>
      </x:c>
      <x:c r="T261" s="68" t="n">
        <x:f>S261-R261</x:f>
        <x:v>0</x:v>
      </x:c>
      <x:c r="U261" s="65" t="n">
        <x:f>R261/'공식·설정'!$B$7</x:f>
        <x:v>143</x:v>
      </x:c>
      <x:c r="V261" s="65" t="n">
        <x:f>S261/'공식·설정'!$B$7</x:f>
        <x:v>143</x:v>
      </x:c>
      <x:c r="W261" s="14" t="n">
        <x:v>777</x:v>
      </x:c>
      <x:c r="X261" s="14" t="n">
        <x:f>INT(ABS(K262-K261)*'공식·설정'!$B$8/K261)</x:f>
        <x:v>777</x:v>
      </x:c>
      <x:c r="Y261" s="68" t="n">
        <x:f>X261-W261</x:f>
        <x:v>0</x:v>
      </x:c>
      <x:c r="Z261" s="66" t="n">
        <x:f>W261/'공식·설정'!$B$8</x:f>
        <x:v>0.0118560791015625</x:v>
      </x:c>
      <x:c r="AA261" s="66" t="n">
        <x:f>X261/'공식·설정'!$B$8</x:f>
        <x:v>0.0118560791015625</x:v>
      </x:c>
      <x:c r="AB261" s="67" t="str">
        <x:f>IF(AND(I261=0,L261=0,Q261=0,T261=0,Y261=0),"PASS","FAIL")</x:f>
        <x:v>PASS</x:v>
      </x:c>
    </x:row>
    <x:row r="262" ht="18" customHeight="1">
      <x:c r="A262" s="14" t="n">
        <x:v>365</x:v>
      </x:c>
      <x:c r="B262" s="14" t="n">
        <x:v>257</x:v>
      </x:c>
      <x:c r="C262" s="14" t="n">
        <x:v>364</x:v>
      </x:c>
      <x:c r="D262" s="14" t="n">
        <x:v>4466</x:v>
      </x:c>
      <x:c r="E262" s="14" t="n">
        <x:v>378</x:v>
      </x:c>
      <x:c r="F262" s="14" t="n">
        <x:v>5209</x:v>
      </x:c>
      <x:c r="G262" s="14" t="n">
        <x:v>4519</x:v>
      </x:c>
      <x:c r="H262" s="14" t="n">
        <x:f>INT((F262-D262)*(A262-C262)/(E262-C262))+D262</x:f>
        <x:v>4519</x:v>
      </x:c>
      <x:c r="I262" s="68" t="n">
        <x:f>H262-G262</x:f>
        <x:v>0</x:v>
      </x:c>
      <x:c r="J262" s="14" t="n">
        <x:v>29419</x:v>
      </x:c>
      <x:c r="K262" s="14" t="n">
        <x:f>INT(H262*'공식·설정'!$B$10/'공식·설정'!$B$15)</x:f>
        <x:v>29419</x:v>
      </x:c>
      <x:c r="L262" s="68" t="n">
        <x:f>K262-J262</x:f>
        <x:v>0</x:v>
      </x:c>
      <x:c r="M262" s="65" t="n">
        <x:f>J262/'공식·설정'!$B$7</x:f>
        <x:v>114.91796875</x:v>
      </x:c>
      <x:c r="N262" s="65" t="n">
        <x:f>K262/'공식·설정'!$B$7</x:f>
        <x:v>114.91796875</x:v>
      </x:c>
      <x:c r="O262" s="14" t="n">
        <x:v>11</x:v>
      </x:c>
      <x:c r="P262" s="14" t="n">
        <x:f>MIN(32767,MAX(0,INT((K262+INT('공식·설정'!$B$12/2))/'공식·설정'!$B$12)))</x:f>
        <x:v>11</x:v>
      </x:c>
      <x:c r="Q262" s="68" t="n">
        <x:f>P262-O262</x:f>
        <x:v>0</x:v>
      </x:c>
      <x:c r="R262" s="14" t="n">
        <x:v>36608</x:v>
      </x:c>
      <x:c r="S262" s="14" t="n">
        <x:f>P262*'공식·설정'!$B$12+'공식·설정'!$B$14</x:f>
        <x:v>36608</x:v>
      </x:c>
      <x:c r="T262" s="68" t="n">
        <x:f>S262-R262</x:f>
        <x:v>0</x:v>
      </x:c>
      <x:c r="U262" s="65" t="n">
        <x:f>R262/'공식·설정'!$B$7</x:f>
        <x:v>143</x:v>
      </x:c>
      <x:c r="V262" s="65" t="n">
        <x:f>S262/'공식·설정'!$B$7</x:f>
        <x:v>143</x:v>
      </x:c>
      <x:c r="W262" s="14" t="n">
        <x:v>770</x:v>
      </x:c>
      <x:c r="X262" s="14" t="n">
        <x:f>INT(ABS(K263-K262)*'공식·설정'!$B$8/K262)</x:f>
        <x:v>770</x:v>
      </x:c>
      <x:c r="Y262" s="68" t="n">
        <x:f>X262-W262</x:f>
        <x:v>0</x:v>
      </x:c>
      <x:c r="Z262" s="66" t="n">
        <x:f>W262/'공식·설정'!$B$8</x:f>
        <x:v>0.011749267578125</x:v>
      </x:c>
      <x:c r="AA262" s="66" t="n">
        <x:f>X262/'공식·설정'!$B$8</x:f>
        <x:v>0.011749267578125</x:v>
      </x:c>
      <x:c r="AB262" s="67" t="str">
        <x:f>IF(AND(I262=0,L262=0,Q262=0,T262=0,Y262=0),"PASS","FAIL")</x:f>
        <x:v>PASS</x:v>
      </x:c>
    </x:row>
    <x:row r="263" ht="18" customHeight="1">
      <x:c r="A263" s="14" t="n">
        <x:v>366</x:v>
      </x:c>
      <x:c r="B263" s="14" t="n">
        <x:v>258</x:v>
      </x:c>
      <x:c r="C263" s="14" t="n">
        <x:v>364</x:v>
      </x:c>
      <x:c r="D263" s="14" t="n">
        <x:v>4466</x:v>
      </x:c>
      <x:c r="E263" s="14" t="n">
        <x:v>378</x:v>
      </x:c>
      <x:c r="F263" s="14" t="n">
        <x:v>5209</x:v>
      </x:c>
      <x:c r="G263" s="14" t="n">
        <x:v>4572</x:v>
      </x:c>
      <x:c r="H263" s="14" t="n">
        <x:f>INT((F263-D263)*(A263-C263)/(E263-C263))+D263</x:f>
        <x:v>4572</x:v>
      </x:c>
      <x:c r="I263" s="68" t="n">
        <x:f>H263-G263</x:f>
        <x:v>0</x:v>
      </x:c>
      <x:c r="J263" s="14" t="n">
        <x:v>29765</x:v>
      </x:c>
      <x:c r="K263" s="14" t="n">
        <x:f>INT(H263*'공식·설정'!$B$10/'공식·설정'!$B$15)</x:f>
        <x:v>29765</x:v>
      </x:c>
      <x:c r="L263" s="68" t="n">
        <x:f>K263-J263</x:f>
        <x:v>0</x:v>
      </x:c>
      <x:c r="M263" s="65" t="n">
        <x:f>J263/'공식·설정'!$B$7</x:f>
        <x:v>116.26953125</x:v>
      </x:c>
      <x:c r="N263" s="65" t="n">
        <x:f>K263/'공식·설정'!$B$7</x:f>
        <x:v>116.26953125</x:v>
      </x:c>
      <x:c r="O263" s="14" t="n">
        <x:v>12</x:v>
      </x:c>
      <x:c r="P263" s="14" t="n">
        <x:f>MIN(32767,MAX(0,INT((K263+INT('공식·설정'!$B$12/2))/'공식·설정'!$B$12)))</x:f>
        <x:v>12</x:v>
      </x:c>
      <x:c r="Q263" s="68" t="n">
        <x:f>P263-O263</x:f>
        <x:v>0</x:v>
      </x:c>
      <x:c r="R263" s="14" t="n">
        <x:v>39168</x:v>
      </x:c>
      <x:c r="S263" s="14" t="n">
        <x:f>P263*'공식·설정'!$B$12+'공식·설정'!$B$14</x:f>
        <x:v>39168</x:v>
      </x:c>
      <x:c r="T263" s="68" t="n">
        <x:f>S263-R263</x:f>
        <x:v>0</x:v>
      </x:c>
      <x:c r="U263" s="65" t="n">
        <x:f>R263/'공식·설정'!$B$7</x:f>
        <x:v>153</x:v>
      </x:c>
      <x:c r="V263" s="65" t="n">
        <x:f>S263/'공식·설정'!$B$7</x:f>
        <x:v>153</x:v>
      </x:c>
      <x:c r="W263" s="14" t="n">
        <x:v>759</x:v>
      </x:c>
      <x:c r="X263" s="14" t="n">
        <x:f>INT(ABS(K264-K263)*'공식·설정'!$B$8/K263)</x:f>
        <x:v>759</x:v>
      </x:c>
      <x:c r="Y263" s="68" t="n">
        <x:f>X263-W263</x:f>
        <x:v>0</x:v>
      </x:c>
      <x:c r="Z263" s="66" t="n">
        <x:f>W263/'공식·설정'!$B$8</x:f>
        <x:v>0.0115814208984375</x:v>
      </x:c>
      <x:c r="AA263" s="66" t="n">
        <x:f>X263/'공식·설정'!$B$8</x:f>
        <x:v>0.0115814208984375</x:v>
      </x:c>
      <x:c r="AB263" s="67" t="str">
        <x:f>IF(AND(I263=0,L263=0,Q263=0,T263=0,Y263=0),"PASS","FAIL")</x:f>
        <x:v>PASS</x:v>
      </x:c>
    </x:row>
    <x:row r="264" ht="18" customHeight="1">
      <x:c r="A264" s="14" t="n">
        <x:v>367</x:v>
      </x:c>
      <x:c r="B264" s="14" t="n">
        <x:v>259</x:v>
      </x:c>
      <x:c r="C264" s="14" t="n">
        <x:v>364</x:v>
      </x:c>
      <x:c r="D264" s="14" t="n">
        <x:v>4466</x:v>
      </x:c>
      <x:c r="E264" s="14" t="n">
        <x:v>378</x:v>
      </x:c>
      <x:c r="F264" s="14" t="n">
        <x:v>5209</x:v>
      </x:c>
      <x:c r="G264" s="14" t="n">
        <x:v>4625</x:v>
      </x:c>
      <x:c r="H264" s="14" t="n">
        <x:f>INT((F264-D264)*(A264-C264)/(E264-C264))+D264</x:f>
        <x:v>4625</x:v>
      </x:c>
      <x:c r="I264" s="68" t="n">
        <x:f>H264-G264</x:f>
        <x:v>0</x:v>
      </x:c>
      <x:c r="J264" s="14" t="n">
        <x:v>30110</x:v>
      </x:c>
      <x:c r="K264" s="14" t="n">
        <x:f>INT(H264*'공식·설정'!$B$10/'공식·설정'!$B$15)</x:f>
        <x:v>30110</x:v>
      </x:c>
      <x:c r="L264" s="68" t="n">
        <x:f>K264-J264</x:f>
        <x:v>0</x:v>
      </x:c>
      <x:c r="M264" s="65" t="n">
        <x:f>J264/'공식·설정'!$B$7</x:f>
        <x:v>117.6171875</x:v>
      </x:c>
      <x:c r="N264" s="65" t="n">
        <x:f>K264/'공식·설정'!$B$7</x:f>
        <x:v>117.6171875</x:v>
      </x:c>
      <x:c r="O264" s="14" t="n">
        <x:v>12</x:v>
      </x:c>
      <x:c r="P264" s="14" t="n">
        <x:f>MIN(32767,MAX(0,INT((K264+INT('공식·설정'!$B$12/2))/'공식·설정'!$B$12)))</x:f>
        <x:v>12</x:v>
      </x:c>
      <x:c r="Q264" s="68" t="n">
        <x:f>P264-O264</x:f>
        <x:v>0</x:v>
      </x:c>
      <x:c r="R264" s="14" t="n">
        <x:v>39168</x:v>
      </x:c>
      <x:c r="S264" s="14" t="n">
        <x:f>P264*'공식·설정'!$B$12+'공식·설정'!$B$14</x:f>
        <x:v>39168</x:v>
      </x:c>
      <x:c r="T264" s="68" t="n">
        <x:f>S264-R264</x:f>
        <x:v>0</x:v>
      </x:c>
      <x:c r="U264" s="65" t="n">
        <x:f>R264/'공식·설정'!$B$7</x:f>
        <x:v>153</x:v>
      </x:c>
      <x:c r="V264" s="65" t="n">
        <x:f>S264/'공식·설정'!$B$7</x:f>
        <x:v>153</x:v>
      </x:c>
      <x:c r="W264" s="14" t="n">
        <x:v>750</x:v>
      </x:c>
      <x:c r="X264" s="14" t="n">
        <x:f>INT(ABS(K265-K264)*'공식·설정'!$B$8/K264)</x:f>
        <x:v>750</x:v>
      </x:c>
      <x:c r="Y264" s="68" t="n">
        <x:f>X264-W264</x:f>
        <x:v>0</x:v>
      </x:c>
      <x:c r="Z264" s="66" t="n">
        <x:f>W264/'공식·설정'!$B$8</x:f>
        <x:v>0.011444091796875</x:v>
      </x:c>
      <x:c r="AA264" s="66" t="n">
        <x:f>X264/'공식·설정'!$B$8</x:f>
        <x:v>0.011444091796875</x:v>
      </x:c>
      <x:c r="AB264" s="67" t="str">
        <x:f>IF(AND(I264=0,L264=0,Q264=0,T264=0,Y264=0),"PASS","FAIL")</x:f>
        <x:v>PASS</x:v>
      </x:c>
    </x:row>
    <x:row r="265" ht="18" customHeight="1">
      <x:c r="A265" s="14" t="n">
        <x:v>368</x:v>
      </x:c>
      <x:c r="B265" s="14" t="n">
        <x:v>260</x:v>
      </x:c>
      <x:c r="C265" s="14" t="n">
        <x:v>364</x:v>
      </x:c>
      <x:c r="D265" s="14" t="n">
        <x:v>4466</x:v>
      </x:c>
      <x:c r="E265" s="14" t="n">
        <x:v>378</x:v>
      </x:c>
      <x:c r="F265" s="14" t="n">
        <x:v>5209</x:v>
      </x:c>
      <x:c r="G265" s="14" t="n">
        <x:v>4678</x:v>
      </x:c>
      <x:c r="H265" s="14" t="n">
        <x:f>INT((F265-D265)*(A265-C265)/(E265-C265))+D265</x:f>
        <x:v>4678</x:v>
      </x:c>
      <x:c r="I265" s="68" t="n">
        <x:f>H265-G265</x:f>
        <x:v>0</x:v>
      </x:c>
      <x:c r="J265" s="14" t="n">
        <x:v>30455</x:v>
      </x:c>
      <x:c r="K265" s="14" t="n">
        <x:f>INT(H265*'공식·설정'!$B$10/'공식·설정'!$B$15)</x:f>
        <x:v>30455</x:v>
      </x:c>
      <x:c r="L265" s="68" t="n">
        <x:f>K265-J265</x:f>
        <x:v>0</x:v>
      </x:c>
      <x:c r="M265" s="65" t="n">
        <x:f>J265/'공식·설정'!$B$7</x:f>
        <x:v>118.96484375</x:v>
      </x:c>
      <x:c r="N265" s="65" t="n">
        <x:f>K265/'공식·설정'!$B$7</x:f>
        <x:v>118.96484375</x:v>
      </x:c>
      <x:c r="O265" s="14" t="n">
        <x:v>12</x:v>
      </x:c>
      <x:c r="P265" s="14" t="n">
        <x:f>MIN(32767,MAX(0,INT((K265+INT('공식·설정'!$B$12/2))/'공식·설정'!$B$12)))</x:f>
        <x:v>12</x:v>
      </x:c>
      <x:c r="Q265" s="68" t="n">
        <x:f>P265-O265</x:f>
        <x:v>0</x:v>
      </x:c>
      <x:c r="R265" s="14" t="n">
        <x:v>39168</x:v>
      </x:c>
      <x:c r="S265" s="14" t="n">
        <x:f>P265*'공식·설정'!$B$12+'공식·설정'!$B$14</x:f>
        <x:v>39168</x:v>
      </x:c>
      <x:c r="T265" s="68" t="n">
        <x:f>S265-R265</x:f>
        <x:v>0</x:v>
      </x:c>
      <x:c r="U265" s="65" t="n">
        <x:f>R265/'공식·설정'!$B$7</x:f>
        <x:v>153</x:v>
      </x:c>
      <x:c r="V265" s="65" t="n">
        <x:f>S265/'공식·설정'!$B$7</x:f>
        <x:v>153</x:v>
      </x:c>
      <x:c r="W265" s="14" t="n">
        <x:v>742</x:v>
      </x:c>
      <x:c r="X265" s="14" t="n">
        <x:f>INT(ABS(K266-K265)*'공식·설정'!$B$8/K265)</x:f>
        <x:v>742</x:v>
      </x:c>
      <x:c r="Y265" s="68" t="n">
        <x:f>X265-W265</x:f>
        <x:v>0</x:v>
      </x:c>
      <x:c r="Z265" s="66" t="n">
        <x:f>W265/'공식·설정'!$B$8</x:f>
        <x:v>0.011322021484375</x:v>
      </x:c>
      <x:c r="AA265" s="66" t="n">
        <x:f>X265/'공식·설정'!$B$8</x:f>
        <x:v>0.011322021484375</x:v>
      </x:c>
      <x:c r="AB265" s="67" t="str">
        <x:f>IF(AND(I265=0,L265=0,Q265=0,T265=0,Y265=0),"PASS","FAIL")</x:f>
        <x:v>PASS</x:v>
      </x:c>
    </x:row>
    <x:row r="266" ht="18" customHeight="1">
      <x:c r="A266" s="14" t="n">
        <x:v>369</x:v>
      </x:c>
      <x:c r="B266" s="14" t="n">
        <x:v>261</x:v>
      </x:c>
      <x:c r="C266" s="14" t="n">
        <x:v>364</x:v>
      </x:c>
      <x:c r="D266" s="14" t="n">
        <x:v>4466</x:v>
      </x:c>
      <x:c r="E266" s="14" t="n">
        <x:v>378</x:v>
      </x:c>
      <x:c r="F266" s="14" t="n">
        <x:v>5209</x:v>
      </x:c>
      <x:c r="G266" s="14" t="n">
        <x:v>4731</x:v>
      </x:c>
      <x:c r="H266" s="14" t="n">
        <x:f>INT((F266-D266)*(A266-C266)/(E266-C266))+D266</x:f>
        <x:v>4731</x:v>
      </x:c>
      <x:c r="I266" s="68" t="n">
        <x:f>H266-G266</x:f>
        <x:v>0</x:v>
      </x:c>
      <x:c r="J266" s="14" t="n">
        <x:v>30800</x:v>
      </x:c>
      <x:c r="K266" s="14" t="n">
        <x:f>INT(H266*'공식·설정'!$B$10/'공식·설정'!$B$15)</x:f>
        <x:v>30800</x:v>
      </x:c>
      <x:c r="L266" s="68" t="n">
        <x:f>K266-J266</x:f>
        <x:v>0</x:v>
      </x:c>
      <x:c r="M266" s="65" t="n">
        <x:f>J266/'공식·설정'!$B$7</x:f>
        <x:v>120.3125</x:v>
      </x:c>
      <x:c r="N266" s="65" t="n">
        <x:f>K266/'공식·설정'!$B$7</x:f>
        <x:v>120.3125</x:v>
      </x:c>
      <x:c r="O266" s="14" t="n">
        <x:v>12</x:v>
      </x:c>
      <x:c r="P266" s="14" t="n">
        <x:f>MIN(32767,MAX(0,INT((K266+INT('공식·설정'!$B$12/2))/'공식·설정'!$B$12)))</x:f>
        <x:v>12</x:v>
      </x:c>
      <x:c r="Q266" s="68" t="n">
        <x:f>P266-O266</x:f>
        <x:v>0</x:v>
      </x:c>
      <x:c r="R266" s="14" t="n">
        <x:v>39168</x:v>
      </x:c>
      <x:c r="S266" s="14" t="n">
        <x:f>P266*'공식·설정'!$B$12+'공식·설정'!$B$14</x:f>
        <x:v>39168</x:v>
      </x:c>
      <x:c r="T266" s="68" t="n">
        <x:f>S266-R266</x:f>
        <x:v>0</x:v>
      </x:c>
      <x:c r="U266" s="65" t="n">
        <x:f>R266/'공식·설정'!$B$7</x:f>
        <x:v>153</x:v>
      </x:c>
      <x:c r="V266" s="65" t="n">
        <x:f>S266/'공식·설정'!$B$7</x:f>
        <x:v>153</x:v>
      </x:c>
      <x:c r="W266" s="14" t="n">
        <x:v>734</x:v>
      </x:c>
      <x:c r="X266" s="14" t="n">
        <x:f>INT(ABS(K267-K266)*'공식·설정'!$B$8/K266)</x:f>
        <x:v>734</x:v>
      </x:c>
      <x:c r="Y266" s="68" t="n">
        <x:f>X266-W266</x:f>
        <x:v>0</x:v>
      </x:c>
      <x:c r="Z266" s="66" t="n">
        <x:f>W266/'공식·설정'!$B$8</x:f>
        <x:v>0.011199951171875</x:v>
      </x:c>
      <x:c r="AA266" s="66" t="n">
        <x:f>X266/'공식·설정'!$B$8</x:f>
        <x:v>0.011199951171875</x:v>
      </x:c>
      <x:c r="AB266" s="67" t="str">
        <x:f>IF(AND(I266=0,L266=0,Q266=0,T266=0,Y266=0),"PASS","FAIL")</x:f>
        <x:v>PASS</x:v>
      </x:c>
    </x:row>
    <x:row r="267" ht="18" customHeight="1">
      <x:c r="A267" s="14" t="n">
        <x:v>370</x:v>
      </x:c>
      <x:c r="B267" s="14" t="n">
        <x:v>262</x:v>
      </x:c>
      <x:c r="C267" s="14" t="n">
        <x:v>364</x:v>
      </x:c>
      <x:c r="D267" s="14" t="n">
        <x:v>4466</x:v>
      </x:c>
      <x:c r="E267" s="14" t="n">
        <x:v>378</x:v>
      </x:c>
      <x:c r="F267" s="14" t="n">
        <x:v>5209</x:v>
      </x:c>
      <x:c r="G267" s="14" t="n">
        <x:v>4784</x:v>
      </x:c>
      <x:c r="H267" s="14" t="n">
        <x:f>INT((F267-D267)*(A267-C267)/(E267-C267))+D267</x:f>
        <x:v>4784</x:v>
      </x:c>
      <x:c r="I267" s="68" t="n">
        <x:f>H267-G267</x:f>
        <x:v>0</x:v>
      </x:c>
      <x:c r="J267" s="14" t="n">
        <x:v>31145</x:v>
      </x:c>
      <x:c r="K267" s="14" t="n">
        <x:f>INT(H267*'공식·설정'!$B$10/'공식·설정'!$B$15)</x:f>
        <x:v>31145</x:v>
      </x:c>
      <x:c r="L267" s="68" t="n">
        <x:f>K267-J267</x:f>
        <x:v>0</x:v>
      </x:c>
      <x:c r="M267" s="65" t="n">
        <x:f>J267/'공식·설정'!$B$7</x:f>
        <x:v>121.66015625</x:v>
      </x:c>
      <x:c r="N267" s="65" t="n">
        <x:f>K267/'공식·설정'!$B$7</x:f>
        <x:v>121.66015625</x:v>
      </x:c>
      <x:c r="O267" s="14" t="n">
        <x:v>12</x:v>
      </x:c>
      <x:c r="P267" s="14" t="n">
        <x:f>MIN(32767,MAX(0,INT((K267+INT('공식·설정'!$B$12/2))/'공식·설정'!$B$12)))</x:f>
        <x:v>12</x:v>
      </x:c>
      <x:c r="Q267" s="68" t="n">
        <x:f>P267-O267</x:f>
        <x:v>0</x:v>
      </x:c>
      <x:c r="R267" s="14" t="n">
        <x:v>39168</x:v>
      </x:c>
      <x:c r="S267" s="14" t="n">
        <x:f>P267*'공식·설정'!$B$12+'공식·설정'!$B$14</x:f>
        <x:v>39168</x:v>
      </x:c>
      <x:c r="T267" s="68" t="n">
        <x:f>S267-R267</x:f>
        <x:v>0</x:v>
      </x:c>
      <x:c r="U267" s="65" t="n">
        <x:f>R267/'공식·설정'!$B$7</x:f>
        <x:v>153</x:v>
      </x:c>
      <x:c r="V267" s="65" t="n">
        <x:f>S267/'공식·설정'!$B$7</x:f>
        <x:v>153</x:v>
      </x:c>
      <x:c r="W267" s="14" t="n">
        <x:v>725</x:v>
      </x:c>
      <x:c r="X267" s="14" t="n">
        <x:f>INT(ABS(K268-K267)*'공식·설정'!$B$8/K267)</x:f>
        <x:v>725</x:v>
      </x:c>
      <x:c r="Y267" s="68" t="n">
        <x:f>X267-W267</x:f>
        <x:v>0</x:v>
      </x:c>
      <x:c r="Z267" s="66" t="n">
        <x:f>W267/'공식·설정'!$B$8</x:f>
        <x:v>0.0110626220703125</x:v>
      </x:c>
      <x:c r="AA267" s="66" t="n">
        <x:f>X267/'공식·설정'!$B$8</x:f>
        <x:v>0.0110626220703125</x:v>
      </x:c>
      <x:c r="AB267" s="67" t="str">
        <x:f>IF(AND(I267=0,L267=0,Q267=0,T267=0,Y267=0),"PASS","FAIL")</x:f>
        <x:v>PASS</x:v>
      </x:c>
    </x:row>
    <x:row r="268" ht="18" customHeight="1">
      <x:c r="A268" s="14" t="n">
        <x:v>371</x:v>
      </x:c>
      <x:c r="B268" s="14" t="n">
        <x:v>263</x:v>
      </x:c>
      <x:c r="C268" s="14" t="n">
        <x:v>364</x:v>
      </x:c>
      <x:c r="D268" s="14" t="n">
        <x:v>4466</x:v>
      </x:c>
      <x:c r="E268" s="14" t="n">
        <x:v>378</x:v>
      </x:c>
      <x:c r="F268" s="14" t="n">
        <x:v>5209</x:v>
      </x:c>
      <x:c r="G268" s="14" t="n">
        <x:v>4837</x:v>
      </x:c>
      <x:c r="H268" s="14" t="n">
        <x:f>INT((F268-D268)*(A268-C268)/(E268-C268))+D268</x:f>
        <x:v>4837</x:v>
      </x:c>
      <x:c r="I268" s="68" t="n">
        <x:f>H268-G268</x:f>
        <x:v>0</x:v>
      </x:c>
      <x:c r="J268" s="14" t="n">
        <x:v>31490</x:v>
      </x:c>
      <x:c r="K268" s="14" t="n">
        <x:f>INT(H268*'공식·설정'!$B$10/'공식·설정'!$B$15)</x:f>
        <x:v>31490</x:v>
      </x:c>
      <x:c r="L268" s="68" t="n">
        <x:f>K268-J268</x:f>
        <x:v>0</x:v>
      </x:c>
      <x:c r="M268" s="65" t="n">
        <x:f>J268/'공식·설정'!$B$7</x:f>
        <x:v>123.0078125</x:v>
      </x:c>
      <x:c r="N268" s="65" t="n">
        <x:f>K268/'공식·설정'!$B$7</x:f>
        <x:v>123.0078125</x:v>
      </x:c>
      <x:c r="O268" s="14" t="n">
        <x:v>12</x:v>
      </x:c>
      <x:c r="P268" s="14" t="n">
        <x:f>MIN(32767,MAX(0,INT((K268+INT('공식·설정'!$B$12/2))/'공식·설정'!$B$12)))</x:f>
        <x:v>12</x:v>
      </x:c>
      <x:c r="Q268" s="68" t="n">
        <x:f>P268-O268</x:f>
        <x:v>0</x:v>
      </x:c>
      <x:c r="R268" s="14" t="n">
        <x:v>39168</x:v>
      </x:c>
      <x:c r="S268" s="14" t="n">
        <x:f>P268*'공식·설정'!$B$12+'공식·설정'!$B$14</x:f>
        <x:v>39168</x:v>
      </x:c>
      <x:c r="T268" s="68" t="n">
        <x:f>S268-R268</x:f>
        <x:v>0</x:v>
      </x:c>
      <x:c r="U268" s="65" t="n">
        <x:f>R268/'공식·설정'!$B$7</x:f>
        <x:v>153</x:v>
      </x:c>
      <x:c r="V268" s="65" t="n">
        <x:f>S268/'공식·설정'!$B$7</x:f>
        <x:v>153</x:v>
      </x:c>
      <x:c r="W268" s="14" t="n">
        <x:v>718</x:v>
      </x:c>
      <x:c r="X268" s="14" t="n">
        <x:f>INT(ABS(K269-K268)*'공식·설정'!$B$8/K268)</x:f>
        <x:v>718</x:v>
      </x:c>
      <x:c r="Y268" s="68" t="n">
        <x:f>X268-W268</x:f>
        <x:v>0</x:v>
      </x:c>
      <x:c r="Z268" s="66" t="n">
        <x:f>W268/'공식·설정'!$B$8</x:f>
        <x:v>0.010955810546875</x:v>
      </x:c>
      <x:c r="AA268" s="66" t="n">
        <x:f>X268/'공식·설정'!$B$8</x:f>
        <x:v>0.010955810546875</x:v>
      </x:c>
      <x:c r="AB268" s="67" t="str">
        <x:f>IF(AND(I268=0,L268=0,Q268=0,T268=0,Y268=0),"PASS","FAIL")</x:f>
        <x:v>PASS</x:v>
      </x:c>
    </x:row>
    <x:row r="269" ht="18" customHeight="1">
      <x:c r="A269" s="14" t="n">
        <x:v>372</x:v>
      </x:c>
      <x:c r="B269" s="14" t="n">
        <x:v>264</x:v>
      </x:c>
      <x:c r="C269" s="14" t="n">
        <x:v>364</x:v>
      </x:c>
      <x:c r="D269" s="14" t="n">
        <x:v>4466</x:v>
      </x:c>
      <x:c r="E269" s="14" t="n">
        <x:v>378</x:v>
      </x:c>
      <x:c r="F269" s="14" t="n">
        <x:v>5209</x:v>
      </x:c>
      <x:c r="G269" s="14" t="n">
        <x:v>4890</x:v>
      </x:c>
      <x:c r="H269" s="14" t="n">
        <x:f>INT((F269-D269)*(A269-C269)/(E269-C269))+D269</x:f>
        <x:v>4890</x:v>
      </x:c>
      <x:c r="I269" s="68" t="n">
        <x:f>H269-G269</x:f>
        <x:v>0</x:v>
      </x:c>
      <x:c r="J269" s="14" t="n">
        <x:v>31835</x:v>
      </x:c>
      <x:c r="K269" s="14" t="n">
        <x:f>INT(H269*'공식·설정'!$B$10/'공식·설정'!$B$15)</x:f>
        <x:v>31835</x:v>
      </x:c>
      <x:c r="L269" s="68" t="n">
        <x:f>K269-J269</x:f>
        <x:v>0</x:v>
      </x:c>
      <x:c r="M269" s="65" t="n">
        <x:f>J269/'공식·설정'!$B$7</x:f>
        <x:v>124.35546875</x:v>
      </x:c>
      <x:c r="N269" s="65" t="n">
        <x:f>K269/'공식·설정'!$B$7</x:f>
        <x:v>124.35546875</x:v>
      </x:c>
      <x:c r="O269" s="14" t="n">
        <x:v>12</x:v>
      </x:c>
      <x:c r="P269" s="14" t="n">
        <x:f>MIN(32767,MAX(0,INT((K269+INT('공식·설정'!$B$12/2))/'공식·설정'!$B$12)))</x:f>
        <x:v>12</x:v>
      </x:c>
      <x:c r="Q269" s="68" t="n">
        <x:f>P269-O269</x:f>
        <x:v>0</x:v>
      </x:c>
      <x:c r="R269" s="14" t="n">
        <x:v>39168</x:v>
      </x:c>
      <x:c r="S269" s="14" t="n">
        <x:f>P269*'공식·설정'!$B$12+'공식·설정'!$B$14</x:f>
        <x:v>39168</x:v>
      </x:c>
      <x:c r="T269" s="68" t="n">
        <x:f>S269-R269</x:f>
        <x:v>0</x:v>
      </x:c>
      <x:c r="U269" s="65" t="n">
        <x:f>R269/'공식·설정'!$B$7</x:f>
        <x:v>153</x:v>
      </x:c>
      <x:c r="V269" s="65" t="n">
        <x:f>S269/'공식·설정'!$B$7</x:f>
        <x:v>153</x:v>
      </x:c>
      <x:c r="W269" s="14" t="n">
        <x:v>710</x:v>
      </x:c>
      <x:c r="X269" s="14" t="n">
        <x:f>INT(ABS(K270-K269)*'공식·설정'!$B$8/K269)</x:f>
        <x:v>710</x:v>
      </x:c>
      <x:c r="Y269" s="68" t="n">
        <x:f>X269-W269</x:f>
        <x:v>0</x:v>
      </x:c>
      <x:c r="Z269" s="66" t="n">
        <x:f>W269/'공식·설정'!$B$8</x:f>
        <x:v>0.010833740234375</x:v>
      </x:c>
      <x:c r="AA269" s="66" t="n">
        <x:f>X269/'공식·설정'!$B$8</x:f>
        <x:v>0.010833740234375</x:v>
      </x:c>
      <x:c r="AB269" s="67" t="str">
        <x:f>IF(AND(I269=0,L269=0,Q269=0,T269=0,Y269=0),"PASS","FAIL")</x:f>
        <x:v>PASS</x:v>
      </x:c>
    </x:row>
    <x:row r="270" ht="18" customHeight="1">
      <x:c r="A270" s="14" t="n">
        <x:v>373</x:v>
      </x:c>
      <x:c r="B270" s="14" t="n">
        <x:v>265</x:v>
      </x:c>
      <x:c r="C270" s="14" t="n">
        <x:v>364</x:v>
      </x:c>
      <x:c r="D270" s="14" t="n">
        <x:v>4466</x:v>
      </x:c>
      <x:c r="E270" s="14" t="n">
        <x:v>378</x:v>
      </x:c>
      <x:c r="F270" s="14" t="n">
        <x:v>5209</x:v>
      </x:c>
      <x:c r="G270" s="14" t="n">
        <x:v>4943</x:v>
      </x:c>
      <x:c r="H270" s="14" t="n">
        <x:f>INT((F270-D270)*(A270-C270)/(E270-C270))+D270</x:f>
        <x:v>4943</x:v>
      </x:c>
      <x:c r="I270" s="68" t="n">
        <x:f>H270-G270</x:f>
        <x:v>0</x:v>
      </x:c>
      <x:c r="J270" s="14" t="n">
        <x:v>32180</x:v>
      </x:c>
      <x:c r="K270" s="14" t="n">
        <x:f>INT(H270*'공식·설정'!$B$10/'공식·설정'!$B$15)</x:f>
        <x:v>32180</x:v>
      </x:c>
      <x:c r="L270" s="68" t="n">
        <x:f>K270-J270</x:f>
        <x:v>0</x:v>
      </x:c>
      <x:c r="M270" s="65" t="n">
        <x:f>J270/'공식·설정'!$B$7</x:f>
        <x:v>125.703125</x:v>
      </x:c>
      <x:c r="N270" s="65" t="n">
        <x:f>K270/'공식·설정'!$B$7</x:f>
        <x:v>125.703125</x:v>
      </x:c>
      <x:c r="O270" s="14" t="n">
        <x:v>13</x:v>
      </x:c>
      <x:c r="P270" s="14" t="n">
        <x:f>MIN(32767,MAX(0,INT((K270+INT('공식·설정'!$B$12/2))/'공식·설정'!$B$12)))</x:f>
        <x:v>13</x:v>
      </x:c>
      <x:c r="Q270" s="68" t="n">
        <x:f>P270-O270</x:f>
        <x:v>0</x:v>
      </x:c>
      <x:c r="R270" s="14" t="n">
        <x:v>41728</x:v>
      </x:c>
      <x:c r="S270" s="14" t="n">
        <x:f>P270*'공식·설정'!$B$12+'공식·설정'!$B$14</x:f>
        <x:v>41728</x:v>
      </x:c>
      <x:c r="T270" s="68" t="n">
        <x:f>S270-R270</x:f>
        <x:v>0</x:v>
      </x:c>
      <x:c r="U270" s="65" t="n">
        <x:f>R270/'공식·설정'!$B$7</x:f>
        <x:v>163</x:v>
      </x:c>
      <x:c r="V270" s="65" t="n">
        <x:f>S270/'공식·설정'!$B$7</x:f>
        <x:v>163</x:v>
      </x:c>
      <x:c r="W270" s="14" t="n">
        <x:v>702</x:v>
      </x:c>
      <x:c r="X270" s="14" t="n">
        <x:f>INT(ABS(K271-K270)*'공식·설정'!$B$8/K270)</x:f>
        <x:v>702</x:v>
      </x:c>
      <x:c r="Y270" s="68" t="n">
        <x:f>X270-W270</x:f>
        <x:v>0</x:v>
      </x:c>
      <x:c r="Z270" s="66" t="n">
        <x:f>W270/'공식·설정'!$B$8</x:f>
        <x:v>0.010711669921875</x:v>
      </x:c>
      <x:c r="AA270" s="66" t="n">
        <x:f>X270/'공식·설정'!$B$8</x:f>
        <x:v>0.010711669921875</x:v>
      </x:c>
      <x:c r="AB270" s="67" t="str">
        <x:f>IF(AND(I270=0,L270=0,Q270=0,T270=0,Y270=0),"PASS","FAIL")</x:f>
        <x:v>PASS</x:v>
      </x:c>
    </x:row>
    <x:row r="271" ht="18" customHeight="1">
      <x:c r="A271" s="14" t="n">
        <x:v>374</x:v>
      </x:c>
      <x:c r="B271" s="14" t="n">
        <x:v>266</x:v>
      </x:c>
      <x:c r="C271" s="14" t="n">
        <x:v>364</x:v>
      </x:c>
      <x:c r="D271" s="14" t="n">
        <x:v>4466</x:v>
      </x:c>
      <x:c r="E271" s="14" t="n">
        <x:v>378</x:v>
      </x:c>
      <x:c r="F271" s="14" t="n">
        <x:v>5209</x:v>
      </x:c>
      <x:c r="G271" s="14" t="n">
        <x:v>4996</x:v>
      </x:c>
      <x:c r="H271" s="14" t="n">
        <x:f>INT((F271-D271)*(A271-C271)/(E271-C271))+D271</x:f>
        <x:v>4996</x:v>
      </x:c>
      <x:c r="I271" s="68" t="n">
        <x:f>H271-G271</x:f>
        <x:v>0</x:v>
      </x:c>
      <x:c r="J271" s="14" t="n">
        <x:v>32525</x:v>
      </x:c>
      <x:c r="K271" s="14" t="n">
        <x:f>INT(H271*'공식·설정'!$B$10/'공식·설정'!$B$15)</x:f>
        <x:v>32525</x:v>
      </x:c>
      <x:c r="L271" s="68" t="n">
        <x:f>K271-J271</x:f>
        <x:v>0</x:v>
      </x:c>
      <x:c r="M271" s="65" t="n">
        <x:f>J271/'공식·설정'!$B$7</x:f>
        <x:v>127.05078125</x:v>
      </x:c>
      <x:c r="N271" s="65" t="n">
        <x:f>K271/'공식·설정'!$B$7</x:f>
        <x:v>127.05078125</x:v>
      </x:c>
      <x:c r="O271" s="14" t="n">
        <x:v>13</x:v>
      </x:c>
      <x:c r="P271" s="14" t="n">
        <x:f>MIN(32767,MAX(0,INT((K271+INT('공식·설정'!$B$12/2))/'공식·설정'!$B$12)))</x:f>
        <x:v>13</x:v>
      </x:c>
      <x:c r="Q271" s="68" t="n">
        <x:f>P271-O271</x:f>
        <x:v>0</x:v>
      </x:c>
      <x:c r="R271" s="14" t="n">
        <x:v>41728</x:v>
      </x:c>
      <x:c r="S271" s="14" t="n">
        <x:f>P271*'공식·설정'!$B$12+'공식·설정'!$B$14</x:f>
        <x:v>41728</x:v>
      </x:c>
      <x:c r="T271" s="68" t="n">
        <x:f>S271-R271</x:f>
        <x:v>0</x:v>
      </x:c>
      <x:c r="U271" s="65" t="n">
        <x:f>R271/'공식·설정'!$B$7</x:f>
        <x:v>163</x:v>
      </x:c>
      <x:c r="V271" s="65" t="n">
        <x:f>S271/'공식·설정'!$B$7</x:f>
        <x:v>163</x:v>
      </x:c>
      <x:c r="W271" s="14" t="n">
        <x:v>695</x:v>
      </x:c>
      <x:c r="X271" s="14" t="n">
        <x:f>INT(ABS(K272-K271)*'공식·설정'!$B$8/K271)</x:f>
        <x:v>695</x:v>
      </x:c>
      <x:c r="Y271" s="68" t="n">
        <x:f>X271-W271</x:f>
        <x:v>0</x:v>
      </x:c>
      <x:c r="Z271" s="66" t="n">
        <x:f>W271/'공식·설정'!$B$8</x:f>
        <x:v>0.0106048583984375</x:v>
      </x:c>
      <x:c r="AA271" s="66" t="n">
        <x:f>X271/'공식·설정'!$B$8</x:f>
        <x:v>0.0106048583984375</x:v>
      </x:c>
      <x:c r="AB271" s="67" t="str">
        <x:f>IF(AND(I271=0,L271=0,Q271=0,T271=0,Y271=0),"PASS","FAIL")</x:f>
        <x:v>PASS</x:v>
      </x:c>
    </x:row>
    <x:row r="272" ht="18" customHeight="1">
      <x:c r="A272" s="14" t="n">
        <x:v>375</x:v>
      </x:c>
      <x:c r="B272" s="14" t="n">
        <x:v>267</x:v>
      </x:c>
      <x:c r="C272" s="14" t="n">
        <x:v>364</x:v>
      </x:c>
      <x:c r="D272" s="14" t="n">
        <x:v>4466</x:v>
      </x:c>
      <x:c r="E272" s="14" t="n">
        <x:v>378</x:v>
      </x:c>
      <x:c r="F272" s="14" t="n">
        <x:v>5209</x:v>
      </x:c>
      <x:c r="G272" s="14" t="n">
        <x:v>5049</x:v>
      </x:c>
      <x:c r="H272" s="14" t="n">
        <x:f>INT((F272-D272)*(A272-C272)/(E272-C272))+D272</x:f>
        <x:v>5049</x:v>
      </x:c>
      <x:c r="I272" s="68" t="n">
        <x:f>H272-G272</x:f>
        <x:v>0</x:v>
      </x:c>
      <x:c r="J272" s="14" t="n">
        <x:v>32870</x:v>
      </x:c>
      <x:c r="K272" s="14" t="n">
        <x:f>INT(H272*'공식·설정'!$B$10/'공식·설정'!$B$15)</x:f>
        <x:v>32870</x:v>
      </x:c>
      <x:c r="L272" s="68" t="n">
        <x:f>K272-J272</x:f>
        <x:v>0</x:v>
      </x:c>
      <x:c r="M272" s="65" t="n">
        <x:f>J272/'공식·설정'!$B$7</x:f>
        <x:v>128.3984375</x:v>
      </x:c>
      <x:c r="N272" s="65" t="n">
        <x:f>K272/'공식·설정'!$B$7</x:f>
        <x:v>128.3984375</x:v>
      </x:c>
      <x:c r="O272" s="14" t="n">
        <x:v>13</x:v>
      </x:c>
      <x:c r="P272" s="14" t="n">
        <x:f>MIN(32767,MAX(0,INT((K272+INT('공식·설정'!$B$12/2))/'공식·설정'!$B$12)))</x:f>
        <x:v>13</x:v>
      </x:c>
      <x:c r="Q272" s="68" t="n">
        <x:f>P272-O272</x:f>
        <x:v>0</x:v>
      </x:c>
      <x:c r="R272" s="14" t="n">
        <x:v>41728</x:v>
      </x:c>
      <x:c r="S272" s="14" t="n">
        <x:f>P272*'공식·설정'!$B$12+'공식·설정'!$B$14</x:f>
        <x:v>41728</x:v>
      </x:c>
      <x:c r="T272" s="68" t="n">
        <x:f>S272-R272</x:f>
        <x:v>0</x:v>
      </x:c>
      <x:c r="U272" s="65" t="n">
        <x:f>R272/'공식·설정'!$B$7</x:f>
        <x:v>163</x:v>
      </x:c>
      <x:c r="V272" s="65" t="n">
        <x:f>S272/'공식·설정'!$B$7</x:f>
        <x:v>163</x:v>
      </x:c>
      <x:c r="W272" s="14" t="n">
        <x:v>687</x:v>
      </x:c>
      <x:c r="X272" s="14" t="n">
        <x:f>INT(ABS(K273-K272)*'공식·설정'!$B$8/K272)</x:f>
        <x:v>687</x:v>
      </x:c>
      <x:c r="Y272" s="68" t="n">
        <x:f>X272-W272</x:f>
        <x:v>0</x:v>
      </x:c>
      <x:c r="Z272" s="66" t="n">
        <x:f>W272/'공식·설정'!$B$8</x:f>
        <x:v>0.0104827880859375</x:v>
      </x:c>
      <x:c r="AA272" s="66" t="n">
        <x:f>X272/'공식·설정'!$B$8</x:f>
        <x:v>0.0104827880859375</x:v>
      </x:c>
      <x:c r="AB272" s="67" t="str">
        <x:f>IF(AND(I272=0,L272=0,Q272=0,T272=0,Y272=0),"PASS","FAIL")</x:f>
        <x:v>PASS</x:v>
      </x:c>
    </x:row>
    <x:row r="273" ht="18" customHeight="1">
      <x:c r="A273" s="14" t="n">
        <x:v>376</x:v>
      </x:c>
      <x:c r="B273" s="14" t="n">
        <x:v>268</x:v>
      </x:c>
      <x:c r="C273" s="14" t="n">
        <x:v>364</x:v>
      </x:c>
      <x:c r="D273" s="14" t="n">
        <x:v>4466</x:v>
      </x:c>
      <x:c r="E273" s="14" t="n">
        <x:v>378</x:v>
      </x:c>
      <x:c r="F273" s="14" t="n">
        <x:v>5209</x:v>
      </x:c>
      <x:c r="G273" s="14" t="n">
        <x:v>5102</x:v>
      </x:c>
      <x:c r="H273" s="14" t="n">
        <x:f>INT((F273-D273)*(A273-C273)/(E273-C273))+D273</x:f>
        <x:v>5102</x:v>
      </x:c>
      <x:c r="I273" s="68" t="n">
        <x:f>H273-G273</x:f>
        <x:v>0</x:v>
      </x:c>
      <x:c r="J273" s="14" t="n">
        <x:v>33215</x:v>
      </x:c>
      <x:c r="K273" s="14" t="n">
        <x:f>INT(H273*'공식·설정'!$B$10/'공식·설정'!$B$15)</x:f>
        <x:v>33215</x:v>
      </x:c>
      <x:c r="L273" s="68" t="n">
        <x:f>K273-J273</x:f>
        <x:v>0</x:v>
      </x:c>
      <x:c r="M273" s="65" t="n">
        <x:f>J273/'공식·설정'!$B$7</x:f>
        <x:v>129.74609375</x:v>
      </x:c>
      <x:c r="N273" s="65" t="n">
        <x:f>K273/'공식·설정'!$B$7</x:f>
        <x:v>129.74609375</x:v>
      </x:c>
      <x:c r="O273" s="14" t="n">
        <x:v>13</x:v>
      </x:c>
      <x:c r="P273" s="14" t="n">
        <x:f>MIN(32767,MAX(0,INT((K273+INT('공식·설정'!$B$12/2))/'공식·설정'!$B$12)))</x:f>
        <x:v>13</x:v>
      </x:c>
      <x:c r="Q273" s="68" t="n">
        <x:f>P273-O273</x:f>
        <x:v>0</x:v>
      </x:c>
      <x:c r="R273" s="14" t="n">
        <x:v>41728</x:v>
      </x:c>
      <x:c r="S273" s="14" t="n">
        <x:f>P273*'공식·설정'!$B$12+'공식·설정'!$B$14</x:f>
        <x:v>41728</x:v>
      </x:c>
      <x:c r="T273" s="68" t="n">
        <x:f>S273-R273</x:f>
        <x:v>0</x:v>
      </x:c>
      <x:c r="U273" s="65" t="n">
        <x:f>R273/'공식·설정'!$B$7</x:f>
        <x:v>163</x:v>
      </x:c>
      <x:c r="V273" s="65" t="n">
        <x:f>S273/'공식·설정'!$B$7</x:f>
        <x:v>163</x:v>
      </x:c>
      <x:c r="W273" s="14" t="n">
        <x:v>680</x:v>
      </x:c>
      <x:c r="X273" s="14" t="n">
        <x:f>INT(ABS(K274-K273)*'공식·설정'!$B$8/K273)</x:f>
        <x:v>680</x:v>
      </x:c>
      <x:c r="Y273" s="68" t="n">
        <x:f>X273-W273</x:f>
        <x:v>0</x:v>
      </x:c>
      <x:c r="Z273" s="66" t="n">
        <x:f>W273/'공식·설정'!$B$8</x:f>
        <x:v>0.0103759765625</x:v>
      </x:c>
      <x:c r="AA273" s="66" t="n">
        <x:f>X273/'공식·설정'!$B$8</x:f>
        <x:v>0.0103759765625</x:v>
      </x:c>
      <x:c r="AB273" s="67" t="str">
        <x:f>IF(AND(I273=0,L273=0,Q273=0,T273=0,Y273=0),"PASS","FAIL")</x:f>
        <x:v>PASS</x:v>
      </x:c>
    </x:row>
    <x:row r="274" ht="18" customHeight="1">
      <x:c r="A274" s="14" t="n">
        <x:v>377</x:v>
      </x:c>
      <x:c r="B274" s="14" t="n">
        <x:v>269</x:v>
      </x:c>
      <x:c r="C274" s="14" t="n">
        <x:v>364</x:v>
      </x:c>
      <x:c r="D274" s="14" t="n">
        <x:v>4466</x:v>
      </x:c>
      <x:c r="E274" s="14" t="n">
        <x:v>378</x:v>
      </x:c>
      <x:c r="F274" s="14" t="n">
        <x:v>5209</x:v>
      </x:c>
      <x:c r="G274" s="14" t="n">
        <x:v>5155</x:v>
      </x:c>
      <x:c r="H274" s="14" t="n">
        <x:f>INT((F274-D274)*(A274-C274)/(E274-C274))+D274</x:f>
        <x:v>5155</x:v>
      </x:c>
      <x:c r="I274" s="68" t="n">
        <x:f>H274-G274</x:f>
        <x:v>0</x:v>
      </x:c>
      <x:c r="J274" s="14" t="n">
        <x:v>33560</x:v>
      </x:c>
      <x:c r="K274" s="14" t="n">
        <x:f>INT(H274*'공식·설정'!$B$10/'공식·설정'!$B$15)</x:f>
        <x:v>33560</x:v>
      </x:c>
      <x:c r="L274" s="68" t="n">
        <x:f>K274-J274</x:f>
        <x:v>0</x:v>
      </x:c>
      <x:c r="M274" s="65" t="n">
        <x:f>J274/'공식·설정'!$B$7</x:f>
        <x:v>131.09375</x:v>
      </x:c>
      <x:c r="N274" s="65" t="n">
        <x:f>K274/'공식·설정'!$B$7</x:f>
        <x:v>131.09375</x:v>
      </x:c>
      <x:c r="O274" s="14" t="n">
        <x:v>13</x:v>
      </x:c>
      <x:c r="P274" s="14" t="n">
        <x:f>MIN(32767,MAX(0,INT((K274+INT('공식·설정'!$B$12/2))/'공식·설정'!$B$12)))</x:f>
        <x:v>13</x:v>
      </x:c>
      <x:c r="Q274" s="68" t="n">
        <x:f>P274-O274</x:f>
        <x:v>0</x:v>
      </x:c>
      <x:c r="R274" s="14" t="n">
        <x:v>41728</x:v>
      </x:c>
      <x:c r="S274" s="14" t="n">
        <x:f>P274*'공식·설정'!$B$12+'공식·설정'!$B$14</x:f>
        <x:v>41728</x:v>
      </x:c>
      <x:c r="T274" s="68" t="n">
        <x:f>S274-R274</x:f>
        <x:v>0</x:v>
      </x:c>
      <x:c r="U274" s="65" t="n">
        <x:f>R274/'공식·설정'!$B$7</x:f>
        <x:v>163</x:v>
      </x:c>
      <x:c r="V274" s="65" t="n">
        <x:f>S274/'공식·설정'!$B$7</x:f>
        <x:v>163</x:v>
      </x:c>
      <x:c r="W274" s="14" t="n">
        <x:v>687</x:v>
      </x:c>
      <x:c r="X274" s="14" t="n">
        <x:f>INT(ABS(K275-K274)*'공식·설정'!$B$8/K274)</x:f>
        <x:v>687</x:v>
      </x:c>
      <x:c r="Y274" s="68" t="n">
        <x:f>X274-W274</x:f>
        <x:v>0</x:v>
      </x:c>
      <x:c r="Z274" s="66" t="n">
        <x:f>W274/'공식·설정'!$B$8</x:f>
        <x:v>0.0104827880859375</x:v>
      </x:c>
      <x:c r="AA274" s="66" t="n">
        <x:f>X274/'공식·설정'!$B$8</x:f>
        <x:v>0.0104827880859375</x:v>
      </x:c>
      <x:c r="AB274" s="67" t="str">
        <x:f>IF(AND(I274=0,L274=0,Q274=0,T274=0,Y274=0),"PASS","FAIL")</x:f>
        <x:v>PASS</x:v>
      </x:c>
    </x:row>
    <x:row r="275" ht="18" customHeight="1">
      <x:c r="A275" s="14" t="n">
        <x:v>378</x:v>
      </x:c>
      <x:c r="B275" s="14" t="n">
        <x:v>270</x:v>
      </x:c>
      <x:c r="C275" s="14" t="n">
        <x:v>378</x:v>
      </x:c>
      <x:c r="D275" s="14" t="n">
        <x:v>5209</x:v>
      </x:c>
      <x:c r="E275" s="14" t="n">
        <x:v>392</x:v>
      </x:c>
      <x:c r="F275" s="14" t="n">
        <x:v>6074</x:v>
      </x:c>
      <x:c r="G275" s="14" t="n">
        <x:v>5209</x:v>
      </x:c>
      <x:c r="H275" s="14" t="n">
        <x:f>INT((F275-D275)*(A275-C275)/(E275-C275))+D275</x:f>
        <x:v>5209</x:v>
      </x:c>
      <x:c r="I275" s="68" t="n">
        <x:f>H275-G275</x:f>
        <x:v>0</x:v>
      </x:c>
      <x:c r="J275" s="14" t="n">
        <x:v>33912</x:v>
      </x:c>
      <x:c r="K275" s="14" t="n">
        <x:f>INT(H275*'공식·설정'!$B$10/'공식·설정'!$B$15)</x:f>
        <x:v>33912</x:v>
      </x:c>
      <x:c r="L275" s="68" t="n">
        <x:f>K275-J275</x:f>
        <x:v>0</x:v>
      </x:c>
      <x:c r="M275" s="65" t="n">
        <x:f>J275/'공식·설정'!$B$7</x:f>
        <x:v>132.46875</x:v>
      </x:c>
      <x:c r="N275" s="65" t="n">
        <x:f>K275/'공식·설정'!$B$7</x:f>
        <x:v>132.46875</x:v>
      </x:c>
      <x:c r="O275" s="14" t="n">
        <x:v>13</x:v>
      </x:c>
      <x:c r="P275" s="14" t="n">
        <x:f>MIN(32767,MAX(0,INT((K275+INT('공식·설정'!$B$12/2))/'공식·설정'!$B$12)))</x:f>
        <x:v>13</x:v>
      </x:c>
      <x:c r="Q275" s="68" t="n">
        <x:f>P275-O275</x:f>
        <x:v>0</x:v>
      </x:c>
      <x:c r="R275" s="14" t="n">
        <x:v>41728</x:v>
      </x:c>
      <x:c r="S275" s="14" t="n">
        <x:f>P275*'공식·설정'!$B$12+'공식·설정'!$B$14</x:f>
        <x:v>41728</x:v>
      </x:c>
      <x:c r="T275" s="68" t="n">
        <x:f>S275-R275</x:f>
        <x:v>0</x:v>
      </x:c>
      <x:c r="U275" s="65" t="n">
        <x:f>R275/'공식·설정'!$B$7</x:f>
        <x:v>163</x:v>
      </x:c>
      <x:c r="V275" s="65" t="n">
        <x:f>S275/'공식·설정'!$B$7</x:f>
        <x:v>163</x:v>
      </x:c>
      <x:c r="W275" s="14" t="n">
        <x:v>767</x:v>
      </x:c>
      <x:c r="X275" s="14" t="n">
        <x:f>INT(ABS(K276-K275)*'공식·설정'!$B$8/K275)</x:f>
        <x:v>767</x:v>
      </x:c>
      <x:c r="Y275" s="68" t="n">
        <x:f>X275-W275</x:f>
        <x:v>0</x:v>
      </x:c>
      <x:c r="Z275" s="66" t="n">
        <x:f>W275/'공식·설정'!$B$8</x:f>
        <x:v>0.0117034912109375</x:v>
      </x:c>
      <x:c r="AA275" s="66" t="n">
        <x:f>X275/'공식·설정'!$B$8</x:f>
        <x:v>0.0117034912109375</x:v>
      </x:c>
      <x:c r="AB275" s="67" t="str">
        <x:f>IF(AND(I275=0,L275=0,Q275=0,T275=0,Y275=0),"PASS","FAIL")</x:f>
        <x:v>PASS</x:v>
      </x:c>
    </x:row>
    <x:row r="276" ht="18" customHeight="1">
      <x:c r="A276" s="14" t="n">
        <x:v>379</x:v>
      </x:c>
      <x:c r="B276" s="14" t="n">
        <x:v>271</x:v>
      </x:c>
      <x:c r="C276" s="14" t="n">
        <x:v>378</x:v>
      </x:c>
      <x:c r="D276" s="14" t="n">
        <x:v>5209</x:v>
      </x:c>
      <x:c r="E276" s="14" t="n">
        <x:v>392</x:v>
      </x:c>
      <x:c r="F276" s="14" t="n">
        <x:v>6074</x:v>
      </x:c>
      <x:c r="G276" s="14" t="n">
        <x:v>5270</x:v>
      </x:c>
      <x:c r="H276" s="14" t="n">
        <x:f>INT((F276-D276)*(A276-C276)/(E276-C276))+D276</x:f>
        <x:v>5270</x:v>
      </x:c>
      <x:c r="I276" s="68" t="n">
        <x:f>H276-G276</x:f>
        <x:v>0</x:v>
      </x:c>
      <x:c r="J276" s="14" t="n">
        <x:v>34309</x:v>
      </x:c>
      <x:c r="K276" s="14" t="n">
        <x:f>INT(H276*'공식·설정'!$B$10/'공식·설정'!$B$15)</x:f>
        <x:v>34309</x:v>
      </x:c>
      <x:c r="L276" s="68" t="n">
        <x:f>K276-J276</x:f>
        <x:v>0</x:v>
      </x:c>
      <x:c r="M276" s="65" t="n">
        <x:f>J276/'공식·설정'!$B$7</x:f>
        <x:v>134.01953125</x:v>
      </x:c>
      <x:c r="N276" s="65" t="n">
        <x:f>K276/'공식·설정'!$B$7</x:f>
        <x:v>134.01953125</x:v>
      </x:c>
      <x:c r="O276" s="14" t="n">
        <x:v>13</x:v>
      </x:c>
      <x:c r="P276" s="14" t="n">
        <x:f>MIN(32767,MAX(0,INT((K276+INT('공식·설정'!$B$12/2))/'공식·설정'!$B$12)))</x:f>
        <x:v>13</x:v>
      </x:c>
      <x:c r="Q276" s="68" t="n">
        <x:f>P276-O276</x:f>
        <x:v>0</x:v>
      </x:c>
      <x:c r="R276" s="14" t="n">
        <x:v>41728</x:v>
      </x:c>
      <x:c r="S276" s="14" t="n">
        <x:f>P276*'공식·설정'!$B$12+'공식·설정'!$B$14</x:f>
        <x:v>41728</x:v>
      </x:c>
      <x:c r="T276" s="68" t="n">
        <x:f>S276-R276</x:f>
        <x:v>0</x:v>
      </x:c>
      <x:c r="U276" s="65" t="n">
        <x:f>R276/'공식·설정'!$B$7</x:f>
        <x:v>163</x:v>
      </x:c>
      <x:c r="V276" s="65" t="n">
        <x:f>S276/'공식·설정'!$B$7</x:f>
        <x:v>163</x:v>
      </x:c>
      <x:c r="W276" s="14" t="n">
        <x:v>769</x:v>
      </x:c>
      <x:c r="X276" s="14" t="n">
        <x:f>INT(ABS(K277-K276)*'공식·설정'!$B$8/K276)</x:f>
        <x:v>769</x:v>
      </x:c>
      <x:c r="Y276" s="68" t="n">
        <x:f>X276-W276</x:f>
        <x:v>0</x:v>
      </x:c>
      <x:c r="Z276" s="66" t="n">
        <x:f>W276/'공식·설정'!$B$8</x:f>
        <x:v>0.0117340087890625</x:v>
      </x:c>
      <x:c r="AA276" s="66" t="n">
        <x:f>X276/'공식·설정'!$B$8</x:f>
        <x:v>0.0117340087890625</x:v>
      </x:c>
      <x:c r="AB276" s="67" t="str">
        <x:f>IF(AND(I276=0,L276=0,Q276=0,T276=0,Y276=0),"PASS","FAIL")</x:f>
        <x:v>PASS</x:v>
      </x:c>
    </x:row>
    <x:row r="277" ht="18" customHeight="1">
      <x:c r="A277" s="14" t="n">
        <x:v>380</x:v>
      </x:c>
      <x:c r="B277" s="14" t="n">
        <x:v>272</x:v>
      </x:c>
      <x:c r="C277" s="14" t="n">
        <x:v>378</x:v>
      </x:c>
      <x:c r="D277" s="14" t="n">
        <x:v>5209</x:v>
      </x:c>
      <x:c r="E277" s="14" t="n">
        <x:v>392</x:v>
      </x:c>
      <x:c r="F277" s="14" t="n">
        <x:v>6074</x:v>
      </x:c>
      <x:c r="G277" s="14" t="n">
        <x:v>5332</x:v>
      </x:c>
      <x:c r="H277" s="14" t="n">
        <x:f>INT((F277-D277)*(A277-C277)/(E277-C277))+D277</x:f>
        <x:v>5332</x:v>
      </x:c>
      <x:c r="I277" s="68" t="n">
        <x:f>H277-G277</x:f>
        <x:v>0</x:v>
      </x:c>
      <x:c r="J277" s="14" t="n">
        <x:v>34712</x:v>
      </x:c>
      <x:c r="K277" s="14" t="n">
        <x:f>INT(H277*'공식·설정'!$B$10/'공식·설정'!$B$15)</x:f>
        <x:v>34712</x:v>
      </x:c>
      <x:c r="L277" s="68" t="n">
        <x:f>K277-J277</x:f>
        <x:v>0</x:v>
      </x:c>
      <x:c r="M277" s="65" t="n">
        <x:f>J277/'공식·설정'!$B$7</x:f>
        <x:v>135.59375</x:v>
      </x:c>
      <x:c r="N277" s="65" t="n">
        <x:f>K277/'공식·설정'!$B$7</x:f>
        <x:v>135.59375</x:v>
      </x:c>
      <x:c r="O277" s="14" t="n">
        <x:v>14</x:v>
      </x:c>
      <x:c r="P277" s="14" t="n">
        <x:f>MIN(32767,MAX(0,INT((K277+INT('공식·설정'!$B$12/2))/'공식·설정'!$B$12)))</x:f>
        <x:v>14</x:v>
      </x:c>
      <x:c r="Q277" s="68" t="n">
        <x:f>P277-O277</x:f>
        <x:v>0</x:v>
      </x:c>
      <x:c r="R277" s="14" t="n">
        <x:v>44288</x:v>
      </x:c>
      <x:c r="S277" s="14" t="n">
        <x:f>P277*'공식·설정'!$B$12+'공식·설정'!$B$14</x:f>
        <x:v>44288</x:v>
      </x:c>
      <x:c r="T277" s="68" t="n">
        <x:f>S277-R277</x:f>
        <x:v>0</x:v>
      </x:c>
      <x:c r="U277" s="65" t="n">
        <x:f>R277/'공식·설정'!$B$7</x:f>
        <x:v>173</x:v>
      </x:c>
      <x:c r="V277" s="65" t="n">
        <x:f>S277/'공식·설정'!$B$7</x:f>
        <x:v>173</x:v>
      </x:c>
      <x:c r="W277" s="14" t="n">
        <x:v>762</x:v>
      </x:c>
      <x:c r="X277" s="14" t="n">
        <x:f>INT(ABS(K278-K277)*'공식·설정'!$B$8/K277)</x:f>
        <x:v>762</x:v>
      </x:c>
      <x:c r="Y277" s="68" t="n">
        <x:f>X277-W277</x:f>
        <x:v>0</x:v>
      </x:c>
      <x:c r="Z277" s="66" t="n">
        <x:f>W277/'공식·설정'!$B$8</x:f>
        <x:v>0.011627197265625</x:v>
      </x:c>
      <x:c r="AA277" s="66" t="n">
        <x:f>X277/'공식·설정'!$B$8</x:f>
        <x:v>0.011627197265625</x:v>
      </x:c>
      <x:c r="AB277" s="67" t="str">
        <x:f>IF(AND(I277=0,L277=0,Q277=0,T277=0,Y277=0),"PASS","FAIL")</x:f>
        <x:v>PASS</x:v>
      </x:c>
    </x:row>
    <x:row r="278" ht="18" customHeight="1">
      <x:c r="A278" s="14" t="n">
        <x:v>381</x:v>
      </x:c>
      <x:c r="B278" s="14" t="n">
        <x:v>273</x:v>
      </x:c>
      <x:c r="C278" s="14" t="n">
        <x:v>378</x:v>
      </x:c>
      <x:c r="D278" s="14" t="n">
        <x:v>5209</x:v>
      </x:c>
      <x:c r="E278" s="14" t="n">
        <x:v>392</x:v>
      </x:c>
      <x:c r="F278" s="14" t="n">
        <x:v>6074</x:v>
      </x:c>
      <x:c r="G278" s="14" t="n">
        <x:v>5394</x:v>
      </x:c>
      <x:c r="H278" s="14" t="n">
        <x:f>INT((F278-D278)*(A278-C278)/(E278-C278))+D278</x:f>
        <x:v>5394</x:v>
      </x:c>
      <x:c r="I278" s="68" t="n">
        <x:f>H278-G278</x:f>
        <x:v>0</x:v>
      </x:c>
      <x:c r="J278" s="14" t="n">
        <x:v>35116</x:v>
      </x:c>
      <x:c r="K278" s="14" t="n">
        <x:f>INT(H278*'공식·설정'!$B$10/'공식·설정'!$B$15)</x:f>
        <x:v>35116</x:v>
      </x:c>
      <x:c r="L278" s="68" t="n">
        <x:f>K278-J278</x:f>
        <x:v>0</x:v>
      </x:c>
      <x:c r="M278" s="65" t="n">
        <x:f>J278/'공식·설정'!$B$7</x:f>
        <x:v>137.171875</x:v>
      </x:c>
      <x:c r="N278" s="65" t="n">
        <x:f>K278/'공식·설정'!$B$7</x:f>
        <x:v>137.171875</x:v>
      </x:c>
      <x:c r="O278" s="14" t="n">
        <x:v>14</x:v>
      </x:c>
      <x:c r="P278" s="14" t="n">
        <x:f>MIN(32767,MAX(0,INT((K278+INT('공식·설정'!$B$12/2))/'공식·설정'!$B$12)))</x:f>
        <x:v>14</x:v>
      </x:c>
      <x:c r="Q278" s="68" t="n">
        <x:f>P278-O278</x:f>
        <x:v>0</x:v>
      </x:c>
      <x:c r="R278" s="14" t="n">
        <x:v>44288</x:v>
      </x:c>
      <x:c r="S278" s="14" t="n">
        <x:f>P278*'공식·설정'!$B$12+'공식·설정'!$B$14</x:f>
        <x:v>44288</x:v>
      </x:c>
      <x:c r="T278" s="68" t="n">
        <x:f>S278-R278</x:f>
        <x:v>0</x:v>
      </x:c>
      <x:c r="U278" s="65" t="n">
        <x:f>R278/'공식·설정'!$B$7</x:f>
        <x:v>173</x:v>
      </x:c>
      <x:c r="V278" s="65" t="n">
        <x:f>S278/'공식·설정'!$B$7</x:f>
        <x:v>173</x:v>
      </x:c>
      <x:c r="W278" s="14" t="n">
        <x:v>753</x:v>
      </x:c>
      <x:c r="X278" s="14" t="n">
        <x:f>INT(ABS(K279-K278)*'공식·설정'!$B$8/K278)</x:f>
        <x:v>753</x:v>
      </x:c>
      <x:c r="Y278" s="68" t="n">
        <x:f>X278-W278</x:f>
        <x:v>0</x:v>
      </x:c>
      <x:c r="Z278" s="66" t="n">
        <x:f>W278/'공식·설정'!$B$8</x:f>
        <x:v>0.0114898681640625</x:v>
      </x:c>
      <x:c r="AA278" s="66" t="n">
        <x:f>X278/'공식·설정'!$B$8</x:f>
        <x:v>0.0114898681640625</x:v>
      </x:c>
      <x:c r="AB278" s="67" t="str">
        <x:f>IF(AND(I278=0,L278=0,Q278=0,T278=0,Y278=0),"PASS","FAIL")</x:f>
        <x:v>PASS</x:v>
      </x:c>
    </x:row>
    <x:row r="279" ht="18" customHeight="1">
      <x:c r="A279" s="14" t="n">
        <x:v>382</x:v>
      </x:c>
      <x:c r="B279" s="14" t="n">
        <x:v>274</x:v>
      </x:c>
      <x:c r="C279" s="14" t="n">
        <x:v>378</x:v>
      </x:c>
      <x:c r="D279" s="14" t="n">
        <x:v>5209</x:v>
      </x:c>
      <x:c r="E279" s="14" t="n">
        <x:v>392</x:v>
      </x:c>
      <x:c r="F279" s="14" t="n">
        <x:v>6074</x:v>
      </x:c>
      <x:c r="G279" s="14" t="n">
        <x:v>5456</x:v>
      </x:c>
      <x:c r="H279" s="14" t="n">
        <x:f>INT((F279-D279)*(A279-C279)/(E279-C279))+D279</x:f>
        <x:v>5456</x:v>
      </x:c>
      <x:c r="I279" s="68" t="n">
        <x:f>H279-G279</x:f>
        <x:v>0</x:v>
      </x:c>
      <x:c r="J279" s="14" t="n">
        <x:v>35520</x:v>
      </x:c>
      <x:c r="K279" s="14" t="n">
        <x:f>INT(H279*'공식·설정'!$B$10/'공식·설정'!$B$15)</x:f>
        <x:v>35520</x:v>
      </x:c>
      <x:c r="L279" s="68" t="n">
        <x:f>K279-J279</x:f>
        <x:v>0</x:v>
      </x:c>
      <x:c r="M279" s="65" t="n">
        <x:f>J279/'공식·설정'!$B$7</x:f>
        <x:v>138.75</x:v>
      </x:c>
      <x:c r="N279" s="65" t="n">
        <x:f>K279/'공식·설정'!$B$7</x:f>
        <x:v>138.75</x:v>
      </x:c>
      <x:c r="O279" s="14" t="n">
        <x:v>14</x:v>
      </x:c>
      <x:c r="P279" s="14" t="n">
        <x:f>MIN(32767,MAX(0,INT((K279+INT('공식·설정'!$B$12/2))/'공식·설정'!$B$12)))</x:f>
        <x:v>14</x:v>
      </x:c>
      <x:c r="Q279" s="68" t="n">
        <x:f>P279-O279</x:f>
        <x:v>0</x:v>
      </x:c>
      <x:c r="R279" s="14" t="n">
        <x:v>44288</x:v>
      </x:c>
      <x:c r="S279" s="14" t="n">
        <x:f>P279*'공식·설정'!$B$12+'공식·설정'!$B$14</x:f>
        <x:v>44288</x:v>
      </x:c>
      <x:c r="T279" s="68" t="n">
        <x:f>S279-R279</x:f>
        <x:v>0</x:v>
      </x:c>
      <x:c r="U279" s="65" t="n">
        <x:f>R279/'공식·설정'!$B$7</x:f>
        <x:v>173</x:v>
      </x:c>
      <x:c r="V279" s="65" t="n">
        <x:f>S279/'공식·설정'!$B$7</x:f>
        <x:v>173</x:v>
      </x:c>
      <x:c r="W279" s="14" t="n">
        <x:v>732</x:v>
      </x:c>
      <x:c r="X279" s="14" t="n">
        <x:f>INT(ABS(K280-K279)*'공식·설정'!$B$8/K279)</x:f>
        <x:v>732</x:v>
      </x:c>
      <x:c r="Y279" s="68" t="n">
        <x:f>X279-W279</x:f>
        <x:v>0</x:v>
      </x:c>
      <x:c r="Z279" s="66" t="n">
        <x:f>W279/'공식·설정'!$B$8</x:f>
        <x:v>0.01116943359375</x:v>
      </x:c>
      <x:c r="AA279" s="66" t="n">
        <x:f>X279/'공식·설정'!$B$8</x:f>
        <x:v>0.01116943359375</x:v>
      </x:c>
      <x:c r="AB279" s="67" t="str">
        <x:f>IF(AND(I279=0,L279=0,Q279=0,T279=0,Y279=0),"PASS","FAIL")</x:f>
        <x:v>PASS</x:v>
      </x:c>
    </x:row>
    <x:row r="280" ht="18" customHeight="1">
      <x:c r="A280" s="14" t="n">
        <x:v>383</x:v>
      </x:c>
      <x:c r="B280" s="14" t="n">
        <x:v>275</x:v>
      </x:c>
      <x:c r="C280" s="14" t="n">
        <x:v>378</x:v>
      </x:c>
      <x:c r="D280" s="14" t="n">
        <x:v>5209</x:v>
      </x:c>
      <x:c r="E280" s="14" t="n">
        <x:v>392</x:v>
      </x:c>
      <x:c r="F280" s="14" t="n">
        <x:v>6074</x:v>
      </x:c>
      <x:c r="G280" s="14" t="n">
        <x:v>5517</x:v>
      </x:c>
      <x:c r="H280" s="14" t="n">
        <x:f>INT((F280-D280)*(A280-C280)/(E280-C280))+D280</x:f>
        <x:v>5517</x:v>
      </x:c>
      <x:c r="I280" s="68" t="n">
        <x:f>H280-G280</x:f>
        <x:v>0</x:v>
      </x:c>
      <x:c r="J280" s="14" t="n">
        <x:v>35917</x:v>
      </x:c>
      <x:c r="K280" s="14" t="n">
        <x:f>INT(H280*'공식·설정'!$B$10/'공식·설정'!$B$15)</x:f>
        <x:v>35917</x:v>
      </x:c>
      <x:c r="L280" s="68" t="n">
        <x:f>K280-J280</x:f>
        <x:v>0</x:v>
      </x:c>
      <x:c r="M280" s="65" t="n">
        <x:f>J280/'공식·설정'!$B$7</x:f>
        <x:v>140.30078125</x:v>
      </x:c>
      <x:c r="N280" s="65" t="n">
        <x:f>K280/'공식·설정'!$B$7</x:f>
        <x:v>140.30078125</x:v>
      </x:c>
      <x:c r="O280" s="14" t="n">
        <x:v>14</x:v>
      </x:c>
      <x:c r="P280" s="14" t="n">
        <x:f>MIN(32767,MAX(0,INT((K280+INT('공식·설정'!$B$12/2))/'공식·설정'!$B$12)))</x:f>
        <x:v>14</x:v>
      </x:c>
      <x:c r="Q280" s="68" t="n">
        <x:f>P280-O280</x:f>
        <x:v>0</x:v>
      </x:c>
      <x:c r="R280" s="14" t="n">
        <x:v>44288</x:v>
      </x:c>
      <x:c r="S280" s="14" t="n">
        <x:f>P280*'공식·설정'!$B$12+'공식·설정'!$B$14</x:f>
        <x:v>44288</x:v>
      </x:c>
      <x:c r="T280" s="68" t="n">
        <x:f>S280-R280</x:f>
        <x:v>0</x:v>
      </x:c>
      <x:c r="U280" s="65" t="n">
        <x:f>R280/'공식·설정'!$B$7</x:f>
        <x:v>173</x:v>
      </x:c>
      <x:c r="V280" s="65" t="n">
        <x:f>S280/'공식·설정'!$B$7</x:f>
        <x:v>173</x:v>
      </x:c>
      <x:c r="W280" s="14" t="n">
        <x:v>735</x:v>
      </x:c>
      <x:c r="X280" s="14" t="n">
        <x:f>INT(ABS(K281-K280)*'공식·설정'!$B$8/K280)</x:f>
        <x:v>735</x:v>
      </x:c>
      <x:c r="Y280" s="68" t="n">
        <x:f>X280-W280</x:f>
        <x:v>0</x:v>
      </x:c>
      <x:c r="Z280" s="66" t="n">
        <x:f>W280/'공식·설정'!$B$8</x:f>
        <x:v>0.0112152099609375</x:v>
      </x:c>
      <x:c r="AA280" s="66" t="n">
        <x:f>X280/'공식·설정'!$B$8</x:f>
        <x:v>0.0112152099609375</x:v>
      </x:c>
      <x:c r="AB280" s="67" t="str">
        <x:f>IF(AND(I280=0,L280=0,Q280=0,T280=0,Y280=0),"PASS","FAIL")</x:f>
        <x:v>PASS</x:v>
      </x:c>
    </x:row>
    <x:row r="281" ht="18" customHeight="1">
      <x:c r="A281" s="14" t="n">
        <x:v>384</x:v>
      </x:c>
      <x:c r="B281" s="14" t="n">
        <x:v>276</x:v>
      </x:c>
      <x:c r="C281" s="14" t="n">
        <x:v>378</x:v>
      </x:c>
      <x:c r="D281" s="14" t="n">
        <x:v>5209</x:v>
      </x:c>
      <x:c r="E281" s="14" t="n">
        <x:v>392</x:v>
      </x:c>
      <x:c r="F281" s="14" t="n">
        <x:v>6074</x:v>
      </x:c>
      <x:c r="G281" s="14" t="n">
        <x:v>5579</x:v>
      </x:c>
      <x:c r="H281" s="14" t="n">
        <x:f>INT((F281-D281)*(A281-C281)/(E281-C281))+D281</x:f>
        <x:v>5579</x:v>
      </x:c>
      <x:c r="I281" s="68" t="n">
        <x:f>H281-G281</x:f>
        <x:v>0</x:v>
      </x:c>
      <x:c r="J281" s="14" t="n">
        <x:v>36320</x:v>
      </x:c>
      <x:c r="K281" s="14" t="n">
        <x:f>INT(H281*'공식·설정'!$B$10/'공식·설정'!$B$15)</x:f>
        <x:v>36320</x:v>
      </x:c>
      <x:c r="L281" s="68" t="n">
        <x:f>K281-J281</x:f>
        <x:v>0</x:v>
      </x:c>
      <x:c r="M281" s="65" t="n">
        <x:f>J281/'공식·설정'!$B$7</x:f>
        <x:v>141.875</x:v>
      </x:c>
      <x:c r="N281" s="65" t="n">
        <x:f>K281/'공식·설정'!$B$7</x:f>
        <x:v>141.875</x:v>
      </x:c>
      <x:c r="O281" s="14" t="n">
        <x:v>14</x:v>
      </x:c>
      <x:c r="P281" s="14" t="n">
        <x:f>MIN(32767,MAX(0,INT((K281+INT('공식·설정'!$B$12/2))/'공식·설정'!$B$12)))</x:f>
        <x:v>14</x:v>
      </x:c>
      <x:c r="Q281" s="68" t="n">
        <x:f>P281-O281</x:f>
        <x:v>0</x:v>
      </x:c>
      <x:c r="R281" s="14" t="n">
        <x:v>44288</x:v>
      </x:c>
      <x:c r="S281" s="14" t="n">
        <x:f>P281*'공식·설정'!$B$12+'공식·설정'!$B$14</x:f>
        <x:v>44288</x:v>
      </x:c>
      <x:c r="T281" s="68" t="n">
        <x:f>S281-R281</x:f>
        <x:v>0</x:v>
      </x:c>
      <x:c r="U281" s="65" t="n">
        <x:f>R281/'공식·설정'!$B$7</x:f>
        <x:v>173</x:v>
      </x:c>
      <x:c r="V281" s="65" t="n">
        <x:f>S281/'공식·설정'!$B$7</x:f>
        <x:v>173</x:v>
      </x:c>
      <x:c r="W281" s="14" t="n">
        <x:v>728</x:v>
      </x:c>
      <x:c r="X281" s="14" t="n">
        <x:f>INT(ABS(K282-K281)*'공식·설정'!$B$8/K281)</x:f>
        <x:v>728</x:v>
      </x:c>
      <x:c r="Y281" s="68" t="n">
        <x:f>X281-W281</x:f>
        <x:v>0</x:v>
      </x:c>
      <x:c r="Z281" s="66" t="n">
        <x:f>W281/'공식·설정'!$B$8</x:f>
        <x:v>0.0111083984375</x:v>
      </x:c>
      <x:c r="AA281" s="66" t="n">
        <x:f>X281/'공식·설정'!$B$8</x:f>
        <x:v>0.0111083984375</x:v>
      </x:c>
      <x:c r="AB281" s="67" t="str">
        <x:f>IF(AND(I281=0,L281=0,Q281=0,T281=0,Y281=0),"PASS","FAIL")</x:f>
        <x:v>PASS</x:v>
      </x:c>
    </x:row>
    <x:row r="282" ht="18" customHeight="1">
      <x:c r="A282" s="14" t="n">
        <x:v>385</x:v>
      </x:c>
      <x:c r="B282" s="14" t="n">
        <x:v>277</x:v>
      </x:c>
      <x:c r="C282" s="14" t="n">
        <x:v>378</x:v>
      </x:c>
      <x:c r="D282" s="14" t="n">
        <x:v>5209</x:v>
      </x:c>
      <x:c r="E282" s="14" t="n">
        <x:v>392</x:v>
      </x:c>
      <x:c r="F282" s="14" t="n">
        <x:v>6074</x:v>
      </x:c>
      <x:c r="G282" s="14" t="n">
        <x:v>5641</x:v>
      </x:c>
      <x:c r="H282" s="14" t="n">
        <x:f>INT((F282-D282)*(A282-C282)/(E282-C282))+D282</x:f>
        <x:v>5641</x:v>
      </x:c>
      <x:c r="I282" s="68" t="n">
        <x:f>H282-G282</x:f>
        <x:v>0</x:v>
      </x:c>
      <x:c r="J282" s="14" t="n">
        <x:v>36724</x:v>
      </x:c>
      <x:c r="K282" s="14" t="n">
        <x:f>INT(H282*'공식·설정'!$B$10/'공식·설정'!$B$15)</x:f>
        <x:v>36724</x:v>
      </x:c>
      <x:c r="L282" s="68" t="n">
        <x:f>K282-J282</x:f>
        <x:v>0</x:v>
      </x:c>
      <x:c r="M282" s="65" t="n">
        <x:f>J282/'공식·설정'!$B$7</x:f>
        <x:v>143.453125</x:v>
      </x:c>
      <x:c r="N282" s="65" t="n">
        <x:f>K282/'공식·설정'!$B$7</x:f>
        <x:v>143.453125</x:v>
      </x:c>
      <x:c r="O282" s="14" t="n">
        <x:v>14</x:v>
      </x:c>
      <x:c r="P282" s="14" t="n">
        <x:f>MIN(32767,MAX(0,INT((K282+INT('공식·설정'!$B$12/2))/'공식·설정'!$B$12)))</x:f>
        <x:v>14</x:v>
      </x:c>
      <x:c r="Q282" s="68" t="n">
        <x:f>P282-O282</x:f>
        <x:v>0</x:v>
      </x:c>
      <x:c r="R282" s="14" t="n">
        <x:v>44288</x:v>
      </x:c>
      <x:c r="S282" s="14" t="n">
        <x:f>P282*'공식·설정'!$B$12+'공식·설정'!$B$14</x:f>
        <x:v>44288</x:v>
      </x:c>
      <x:c r="T282" s="68" t="n">
        <x:f>S282-R282</x:f>
        <x:v>0</x:v>
      </x:c>
      <x:c r="U282" s="65" t="n">
        <x:f>R282/'공식·설정'!$B$7</x:f>
        <x:v>173</x:v>
      </x:c>
      <x:c r="V282" s="65" t="n">
        <x:f>S282/'공식·설정'!$B$7</x:f>
        <x:v>173</x:v>
      </x:c>
      <x:c r="W282" s="14" t="n">
        <x:v>720</x:v>
      </x:c>
      <x:c r="X282" s="14" t="n">
        <x:f>INT(ABS(K283-K282)*'공식·설정'!$B$8/K282)</x:f>
        <x:v>720</x:v>
      </x:c>
      <x:c r="Y282" s="68" t="n">
        <x:f>X282-W282</x:f>
        <x:v>0</x:v>
      </x:c>
      <x:c r="Z282" s="66" t="n">
        <x:f>W282/'공식·설정'!$B$8</x:f>
        <x:v>0.010986328125</x:v>
      </x:c>
      <x:c r="AA282" s="66" t="n">
        <x:f>X282/'공식·설정'!$B$8</x:f>
        <x:v>0.010986328125</x:v>
      </x:c>
      <x:c r="AB282" s="67" t="str">
        <x:f>IF(AND(I282=0,L282=0,Q282=0,T282=0,Y282=0),"PASS","FAIL")</x:f>
        <x:v>PASS</x:v>
      </x:c>
    </x:row>
    <x:row r="283" ht="18" customHeight="1">
      <x:c r="A283" s="14" t="n">
        <x:v>386</x:v>
      </x:c>
      <x:c r="B283" s="14" t="n">
        <x:v>278</x:v>
      </x:c>
      <x:c r="C283" s="14" t="n">
        <x:v>378</x:v>
      </x:c>
      <x:c r="D283" s="14" t="n">
        <x:v>5209</x:v>
      </x:c>
      <x:c r="E283" s="14" t="n">
        <x:v>392</x:v>
      </x:c>
      <x:c r="F283" s="14" t="n">
        <x:v>6074</x:v>
      </x:c>
      <x:c r="G283" s="14" t="n">
        <x:v>5703</x:v>
      </x:c>
      <x:c r="H283" s="14" t="n">
        <x:f>INT((F283-D283)*(A283-C283)/(E283-C283))+D283</x:f>
        <x:v>5703</x:v>
      </x:c>
      <x:c r="I283" s="68" t="n">
        <x:f>H283-G283</x:f>
        <x:v>0</x:v>
      </x:c>
      <x:c r="J283" s="14" t="n">
        <x:v>37128</x:v>
      </x:c>
      <x:c r="K283" s="14" t="n">
        <x:f>INT(H283*'공식·설정'!$B$10/'공식·설정'!$B$15)</x:f>
        <x:v>37128</x:v>
      </x:c>
      <x:c r="L283" s="68" t="n">
        <x:f>K283-J283</x:f>
        <x:v>0</x:v>
      </x:c>
      <x:c r="M283" s="65" t="n">
        <x:f>J283/'공식·설정'!$B$7</x:f>
        <x:v>145.03125</x:v>
      </x:c>
      <x:c r="N283" s="65" t="n">
        <x:f>K283/'공식·설정'!$B$7</x:f>
        <x:v>145.03125</x:v>
      </x:c>
      <x:c r="O283" s="14" t="n">
        <x:v>15</x:v>
      </x:c>
      <x:c r="P283" s="14" t="n">
        <x:f>MIN(32767,MAX(0,INT((K283+INT('공식·설정'!$B$12/2))/'공식·설정'!$B$12)))</x:f>
        <x:v>15</x:v>
      </x:c>
      <x:c r="Q283" s="68" t="n">
        <x:f>P283-O283</x:f>
        <x:v>0</x:v>
      </x:c>
      <x:c r="R283" s="14" t="n">
        <x:v>46848</x:v>
      </x:c>
      <x:c r="S283" s="14" t="n">
        <x:f>P283*'공식·설정'!$B$12+'공식·설정'!$B$14</x:f>
        <x:v>46848</x:v>
      </x:c>
      <x:c r="T283" s="68" t="n">
        <x:f>S283-R283</x:f>
        <x:v>0</x:v>
      </x:c>
      <x:c r="U283" s="65" t="n">
        <x:f>R283/'공식·설정'!$B$7</x:f>
        <x:v>183</x:v>
      </x:c>
      <x:c r="V283" s="65" t="n">
        <x:f>S283/'공식·설정'!$B$7</x:f>
        <x:v>183</x:v>
      </x:c>
      <x:c r="W283" s="14" t="n">
        <x:v>711</x:v>
      </x:c>
      <x:c r="X283" s="14" t="n">
        <x:f>INT(ABS(K284-K283)*'공식·설정'!$B$8/K283)</x:f>
        <x:v>711</x:v>
      </x:c>
      <x:c r="Y283" s="68" t="n">
        <x:f>X283-W283</x:f>
        <x:v>0</x:v>
      </x:c>
      <x:c r="Z283" s="66" t="n">
        <x:f>W283/'공식·설정'!$B$8</x:f>
        <x:v>0.0108489990234375</x:v>
      </x:c>
      <x:c r="AA283" s="66" t="n">
        <x:f>X283/'공식·설정'!$B$8</x:f>
        <x:v>0.0108489990234375</x:v>
      </x:c>
      <x:c r="AB283" s="67" t="str">
        <x:f>IF(AND(I283=0,L283=0,Q283=0,T283=0,Y283=0),"PASS","FAIL")</x:f>
        <x:v>PASS</x:v>
      </x:c>
    </x:row>
    <x:row r="284" ht="18" customHeight="1">
      <x:c r="A284" s="14" t="n">
        <x:v>387</x:v>
      </x:c>
      <x:c r="B284" s="14" t="n">
        <x:v>279</x:v>
      </x:c>
      <x:c r="C284" s="14" t="n">
        <x:v>378</x:v>
      </x:c>
      <x:c r="D284" s="14" t="n">
        <x:v>5209</x:v>
      </x:c>
      <x:c r="E284" s="14" t="n">
        <x:v>392</x:v>
      </x:c>
      <x:c r="F284" s="14" t="n">
        <x:v>6074</x:v>
      </x:c>
      <x:c r="G284" s="14" t="n">
        <x:v>5765</x:v>
      </x:c>
      <x:c r="H284" s="14" t="n">
        <x:f>INT((F284-D284)*(A284-C284)/(E284-C284))+D284</x:f>
        <x:v>5765</x:v>
      </x:c>
      <x:c r="I284" s="68" t="n">
        <x:f>H284-G284</x:f>
        <x:v>0</x:v>
      </x:c>
      <x:c r="J284" s="14" t="n">
        <x:v>37531</x:v>
      </x:c>
      <x:c r="K284" s="14" t="n">
        <x:f>INT(H284*'공식·설정'!$B$10/'공식·설정'!$B$15)</x:f>
        <x:v>37531</x:v>
      </x:c>
      <x:c r="L284" s="68" t="n">
        <x:f>K284-J284</x:f>
        <x:v>0</x:v>
      </x:c>
      <x:c r="M284" s="65" t="n">
        <x:f>J284/'공식·설정'!$B$7</x:f>
        <x:v>146.60546875</x:v>
      </x:c>
      <x:c r="N284" s="65" t="n">
        <x:f>K284/'공식·설정'!$B$7</x:f>
        <x:v>146.60546875</x:v>
      </x:c>
      <x:c r="O284" s="14" t="n">
        <x:v>15</x:v>
      </x:c>
      <x:c r="P284" s="14" t="n">
        <x:f>MIN(32767,MAX(0,INT((K284+INT('공식·설정'!$B$12/2))/'공식·설정'!$B$12)))</x:f>
        <x:v>15</x:v>
      </x:c>
      <x:c r="Q284" s="68" t="n">
        <x:f>P284-O284</x:f>
        <x:v>0</x:v>
      </x:c>
      <x:c r="R284" s="14" t="n">
        <x:v>46848</x:v>
      </x:c>
      <x:c r="S284" s="14" t="n">
        <x:f>P284*'공식·설정'!$B$12+'공식·설정'!$B$14</x:f>
        <x:v>46848</x:v>
      </x:c>
      <x:c r="T284" s="68" t="n">
        <x:f>S284-R284</x:f>
        <x:v>0</x:v>
      </x:c>
      <x:c r="U284" s="65" t="n">
        <x:f>R284/'공식·설정'!$B$7</x:f>
        <x:v>183</x:v>
      </x:c>
      <x:c r="V284" s="65" t="n">
        <x:f>S284/'공식·설정'!$B$7</x:f>
        <x:v>183</x:v>
      </x:c>
      <x:c r="W284" s="14" t="n">
        <x:v>693</x:v>
      </x:c>
      <x:c r="X284" s="14" t="n">
        <x:f>INT(ABS(K285-K284)*'공식·설정'!$B$8/K284)</x:f>
        <x:v>693</x:v>
      </x:c>
      <x:c r="Y284" s="68" t="n">
        <x:f>X284-W284</x:f>
        <x:v>0</x:v>
      </x:c>
      <x:c r="Z284" s="66" t="n">
        <x:f>W284/'공식·설정'!$B$8</x:f>
        <x:v>0.0105743408203125</x:v>
      </x:c>
      <x:c r="AA284" s="66" t="n">
        <x:f>X284/'공식·설정'!$B$8</x:f>
        <x:v>0.0105743408203125</x:v>
      </x:c>
      <x:c r="AB284" s="67" t="str">
        <x:f>IF(AND(I284=0,L284=0,Q284=0,T284=0,Y284=0),"PASS","FAIL")</x:f>
        <x:v>PASS</x:v>
      </x:c>
    </x:row>
    <x:row r="285" ht="18" customHeight="1">
      <x:c r="A285" s="14" t="n">
        <x:v>388</x:v>
      </x:c>
      <x:c r="B285" s="14" t="n">
        <x:v>280</x:v>
      </x:c>
      <x:c r="C285" s="14" t="n">
        <x:v>378</x:v>
      </x:c>
      <x:c r="D285" s="14" t="n">
        <x:v>5209</x:v>
      </x:c>
      <x:c r="E285" s="14" t="n">
        <x:v>392</x:v>
      </x:c>
      <x:c r="F285" s="14" t="n">
        <x:v>6074</x:v>
      </x:c>
      <x:c r="G285" s="14" t="n">
        <x:v>5826</x:v>
      </x:c>
      <x:c r="H285" s="14" t="n">
        <x:f>INT((F285-D285)*(A285-C285)/(E285-C285))+D285</x:f>
        <x:v>5826</x:v>
      </x:c>
      <x:c r="I285" s="68" t="n">
        <x:f>H285-G285</x:f>
        <x:v>0</x:v>
      </x:c>
      <x:c r="J285" s="14" t="n">
        <x:v>37928</x:v>
      </x:c>
      <x:c r="K285" s="14" t="n">
        <x:f>INT(H285*'공식·설정'!$B$10/'공식·설정'!$B$15)</x:f>
        <x:v>37928</x:v>
      </x:c>
      <x:c r="L285" s="68" t="n">
        <x:f>K285-J285</x:f>
        <x:v>0</x:v>
      </x:c>
      <x:c r="M285" s="65" t="n">
        <x:f>J285/'공식·설정'!$B$7</x:f>
        <x:v>148.15625</x:v>
      </x:c>
      <x:c r="N285" s="65" t="n">
        <x:f>K285/'공식·설정'!$B$7</x:f>
        <x:v>148.15625</x:v>
      </x:c>
      <x:c r="O285" s="14" t="n">
        <x:v>15</x:v>
      </x:c>
      <x:c r="P285" s="14" t="n">
        <x:f>MIN(32767,MAX(0,INT((K285+INT('공식·설정'!$B$12/2))/'공식·설정'!$B$12)))</x:f>
        <x:v>15</x:v>
      </x:c>
      <x:c r="Q285" s="68" t="n">
        <x:f>P285-O285</x:f>
        <x:v>0</x:v>
      </x:c>
      <x:c r="R285" s="14" t="n">
        <x:v>46848</x:v>
      </x:c>
      <x:c r="S285" s="14" t="n">
        <x:f>P285*'공식·설정'!$B$12+'공식·설정'!$B$14</x:f>
        <x:v>46848</x:v>
      </x:c>
      <x:c r="T285" s="68" t="n">
        <x:f>S285-R285</x:f>
        <x:v>0</x:v>
      </x:c>
      <x:c r="U285" s="65" t="n">
        <x:f>R285/'공식·설정'!$B$7</x:f>
        <x:v>183</x:v>
      </x:c>
      <x:c r="V285" s="65" t="n">
        <x:f>S285/'공식·설정'!$B$7</x:f>
        <x:v>183</x:v>
      </x:c>
      <x:c r="W285" s="14" t="n">
        <x:v>698</x:v>
      </x:c>
      <x:c r="X285" s="14" t="n">
        <x:f>INT(ABS(K286-K285)*'공식·설정'!$B$8/K285)</x:f>
        <x:v>698</x:v>
      </x:c>
      <x:c r="Y285" s="68" t="n">
        <x:f>X285-W285</x:f>
        <x:v>0</x:v>
      </x:c>
      <x:c r="Z285" s="66" t="n">
        <x:f>W285/'공식·설정'!$B$8</x:f>
        <x:v>0.010650634765625</x:v>
      </x:c>
      <x:c r="AA285" s="66" t="n">
        <x:f>X285/'공식·설정'!$B$8</x:f>
        <x:v>0.010650634765625</x:v>
      </x:c>
      <x:c r="AB285" s="67" t="str">
        <x:f>IF(AND(I285=0,L285=0,Q285=0,T285=0,Y285=0),"PASS","FAIL")</x:f>
        <x:v>PASS</x:v>
      </x:c>
    </x:row>
    <x:row r="286" ht="18" customHeight="1">
      <x:c r="A286" s="14" t="n">
        <x:v>389</x:v>
      </x:c>
      <x:c r="B286" s="14" t="n">
        <x:v>281</x:v>
      </x:c>
      <x:c r="C286" s="14" t="n">
        <x:v>378</x:v>
      </x:c>
      <x:c r="D286" s="14" t="n">
        <x:v>5209</x:v>
      </x:c>
      <x:c r="E286" s="14" t="n">
        <x:v>392</x:v>
      </x:c>
      <x:c r="F286" s="14" t="n">
        <x:v>6074</x:v>
      </x:c>
      <x:c r="G286" s="14" t="n">
        <x:v>5888</x:v>
      </x:c>
      <x:c r="H286" s="14" t="n">
        <x:f>INT((F286-D286)*(A286-C286)/(E286-C286))+D286</x:f>
        <x:v>5888</x:v>
      </x:c>
      <x:c r="I286" s="68" t="n">
        <x:f>H286-G286</x:f>
        <x:v>0</x:v>
      </x:c>
      <x:c r="J286" s="14" t="n">
        <x:v>38332</x:v>
      </x:c>
      <x:c r="K286" s="14" t="n">
        <x:f>INT(H286*'공식·설정'!$B$10/'공식·설정'!$B$15)</x:f>
        <x:v>38332</x:v>
      </x:c>
      <x:c r="L286" s="68" t="n">
        <x:f>K286-J286</x:f>
        <x:v>0</x:v>
      </x:c>
      <x:c r="M286" s="65" t="n">
        <x:f>J286/'공식·설정'!$B$7</x:f>
        <x:v>149.734375</x:v>
      </x:c>
      <x:c r="N286" s="65" t="n">
        <x:f>K286/'공식·설정'!$B$7</x:f>
        <x:v>149.734375</x:v>
      </x:c>
      <x:c r="O286" s="14" t="n">
        <x:v>15</x:v>
      </x:c>
      <x:c r="P286" s="14" t="n">
        <x:f>MIN(32767,MAX(0,INT((K286+INT('공식·설정'!$B$12/2))/'공식·설정'!$B$12)))</x:f>
        <x:v>15</x:v>
      </x:c>
      <x:c r="Q286" s="68" t="n">
        <x:f>P286-O286</x:f>
        <x:v>0</x:v>
      </x:c>
      <x:c r="R286" s="14" t="n">
        <x:v>46848</x:v>
      </x:c>
      <x:c r="S286" s="14" t="n">
        <x:f>P286*'공식·설정'!$B$12+'공식·설정'!$B$14</x:f>
        <x:v>46848</x:v>
      </x:c>
      <x:c r="T286" s="68" t="n">
        <x:f>S286-R286</x:f>
        <x:v>0</x:v>
      </x:c>
      <x:c r="U286" s="65" t="n">
        <x:f>R286/'공식·설정'!$B$7</x:f>
        <x:v>183</x:v>
      </x:c>
      <x:c r="V286" s="65" t="n">
        <x:f>S286/'공식·설정'!$B$7</x:f>
        <x:v>183</x:v>
      </x:c>
      <x:c r="W286" s="14" t="n">
        <x:v>690</x:v>
      </x:c>
      <x:c r="X286" s="14" t="n">
        <x:f>INT(ABS(K287-K286)*'공식·설정'!$B$8/K286)</x:f>
        <x:v>690</x:v>
      </x:c>
      <x:c r="Y286" s="68" t="n">
        <x:f>X286-W286</x:f>
        <x:v>0</x:v>
      </x:c>
      <x:c r="Z286" s="66" t="n">
        <x:f>W286/'공식·설정'!$B$8</x:f>
        <x:v>0.010528564453125</x:v>
      </x:c>
      <x:c r="AA286" s="66" t="n">
        <x:f>X286/'공식·설정'!$B$8</x:f>
        <x:v>0.010528564453125</x:v>
      </x:c>
      <x:c r="AB286" s="67" t="str">
        <x:f>IF(AND(I286=0,L286=0,Q286=0,T286=0,Y286=0),"PASS","FAIL")</x:f>
        <x:v>PASS</x:v>
      </x:c>
    </x:row>
    <x:row r="287" ht="18" customHeight="1">
      <x:c r="A287" s="14" t="n">
        <x:v>390</x:v>
      </x:c>
      <x:c r="B287" s="14" t="n">
        <x:v>282</x:v>
      </x:c>
      <x:c r="C287" s="14" t="n">
        <x:v>378</x:v>
      </x:c>
      <x:c r="D287" s="14" t="n">
        <x:v>5209</x:v>
      </x:c>
      <x:c r="E287" s="14" t="n">
        <x:v>392</x:v>
      </x:c>
      <x:c r="F287" s="14" t="n">
        <x:v>6074</x:v>
      </x:c>
      <x:c r="G287" s="14" t="n">
        <x:v>5950</x:v>
      </x:c>
      <x:c r="H287" s="14" t="n">
        <x:f>INT((F287-D287)*(A287-C287)/(E287-C287))+D287</x:f>
        <x:v>5950</x:v>
      </x:c>
      <x:c r="I287" s="68" t="n">
        <x:f>H287-G287</x:f>
        <x:v>0</x:v>
      </x:c>
      <x:c r="J287" s="14" t="n">
        <x:v>38736</x:v>
      </x:c>
      <x:c r="K287" s="14" t="n">
        <x:f>INT(H287*'공식·설정'!$B$10/'공식·설정'!$B$15)</x:f>
        <x:v>38736</x:v>
      </x:c>
      <x:c r="L287" s="68" t="n">
        <x:f>K287-J287</x:f>
        <x:v>0</x:v>
      </x:c>
      <x:c r="M287" s="65" t="n">
        <x:f>J287/'공식·설정'!$B$7</x:f>
        <x:v>151.3125</x:v>
      </x:c>
      <x:c r="N287" s="65" t="n">
        <x:f>K287/'공식·설정'!$B$7</x:f>
        <x:v>151.3125</x:v>
      </x:c>
      <x:c r="O287" s="14" t="n">
        <x:v>15</x:v>
      </x:c>
      <x:c r="P287" s="14" t="n">
        <x:f>MIN(32767,MAX(0,INT((K287+INT('공식·설정'!$B$12/2))/'공식·설정'!$B$12)))</x:f>
        <x:v>15</x:v>
      </x:c>
      <x:c r="Q287" s="68" t="n">
        <x:f>P287-O287</x:f>
        <x:v>0</x:v>
      </x:c>
      <x:c r="R287" s="14" t="n">
        <x:v>46848</x:v>
      </x:c>
      <x:c r="S287" s="14" t="n">
        <x:f>P287*'공식·설정'!$B$12+'공식·설정'!$B$14</x:f>
        <x:v>46848</x:v>
      </x:c>
      <x:c r="T287" s="68" t="n">
        <x:f>S287-R287</x:f>
        <x:v>0</x:v>
      </x:c>
      <x:c r="U287" s="65" t="n">
        <x:f>R287/'공식·설정'!$B$7</x:f>
        <x:v>183</x:v>
      </x:c>
      <x:c r="V287" s="65" t="n">
        <x:f>S287/'공식·설정'!$B$7</x:f>
        <x:v>183</x:v>
      </x:c>
      <x:c r="W287" s="14" t="n">
        <x:v>681</x:v>
      </x:c>
      <x:c r="X287" s="14" t="n">
        <x:f>INT(ABS(K288-K287)*'공식·설정'!$B$8/K287)</x:f>
        <x:v>681</x:v>
      </x:c>
      <x:c r="Y287" s="68" t="n">
        <x:f>X287-W287</x:f>
        <x:v>0</x:v>
      </x:c>
      <x:c r="Z287" s="66" t="n">
        <x:f>W287/'공식·설정'!$B$8</x:f>
        <x:v>0.0103912353515625</x:v>
      </x:c>
      <x:c r="AA287" s="66" t="n">
        <x:f>X287/'공식·설정'!$B$8</x:f>
        <x:v>0.0103912353515625</x:v>
      </x:c>
      <x:c r="AB287" s="67" t="str">
        <x:f>IF(AND(I287=0,L287=0,Q287=0,T287=0,Y287=0),"PASS","FAIL")</x:f>
        <x:v>PASS</x:v>
      </x:c>
    </x:row>
    <x:row r="288" ht="18" customHeight="1">
      <x:c r="A288" s="14" t="n">
        <x:v>391</x:v>
      </x:c>
      <x:c r="B288" s="14" t="n">
        <x:v>283</x:v>
      </x:c>
      <x:c r="C288" s="14" t="n">
        <x:v>378</x:v>
      </x:c>
      <x:c r="D288" s="14" t="n">
        <x:v>5209</x:v>
      </x:c>
      <x:c r="E288" s="14" t="n">
        <x:v>392</x:v>
      </x:c>
      <x:c r="F288" s="14" t="n">
        <x:v>6074</x:v>
      </x:c>
      <x:c r="G288" s="14" t="n">
        <x:v>6012</x:v>
      </x:c>
      <x:c r="H288" s="14" t="n">
        <x:f>INT((F288-D288)*(A288-C288)/(E288-C288))+D288</x:f>
        <x:v>6012</x:v>
      </x:c>
      <x:c r="I288" s="68" t="n">
        <x:f>H288-G288</x:f>
        <x:v>0</x:v>
      </x:c>
      <x:c r="J288" s="14" t="n">
        <x:v>39139</x:v>
      </x:c>
      <x:c r="K288" s="14" t="n">
        <x:f>INT(H288*'공식·설정'!$B$10/'공식·설정'!$B$15)</x:f>
        <x:v>39139</x:v>
      </x:c>
      <x:c r="L288" s="68" t="n">
        <x:f>K288-J288</x:f>
        <x:v>0</x:v>
      </x:c>
      <x:c r="M288" s="65" t="n">
        <x:f>J288/'공식·설정'!$B$7</x:f>
        <x:v>152.88671875</x:v>
      </x:c>
      <x:c r="N288" s="65" t="n">
        <x:f>K288/'공식·설정'!$B$7</x:f>
        <x:v>152.88671875</x:v>
      </x:c>
      <x:c r="O288" s="14" t="n">
        <x:v>15</x:v>
      </x:c>
      <x:c r="P288" s="14" t="n">
        <x:f>MIN(32767,MAX(0,INT((K288+INT('공식·설정'!$B$12/2))/'공식·설정'!$B$12)))</x:f>
        <x:v>15</x:v>
      </x:c>
      <x:c r="Q288" s="68" t="n">
        <x:f>P288-O288</x:f>
        <x:v>0</x:v>
      </x:c>
      <x:c r="R288" s="14" t="n">
        <x:v>46848</x:v>
      </x:c>
      <x:c r="S288" s="14" t="n">
        <x:f>P288*'공식·설정'!$B$12+'공식·설정'!$B$14</x:f>
        <x:v>46848</x:v>
      </x:c>
      <x:c r="T288" s="68" t="n">
        <x:f>S288-R288</x:f>
        <x:v>0</x:v>
      </x:c>
      <x:c r="U288" s="65" t="n">
        <x:f>R288/'공식·설정'!$B$7</x:f>
        <x:v>183</x:v>
      </x:c>
      <x:c r="V288" s="65" t="n">
        <x:f>S288/'공식·설정'!$B$7</x:f>
        <x:v>183</x:v>
      </x:c>
      <x:c r="W288" s="14" t="n">
        <x:v>676</x:v>
      </x:c>
      <x:c r="X288" s="14" t="n">
        <x:f>INT(ABS(K289-K288)*'공식·설정'!$B$8/K288)</x:f>
        <x:v>676</x:v>
      </x:c>
      <x:c r="Y288" s="68" t="n">
        <x:f>X288-W288</x:f>
        <x:v>0</x:v>
      </x:c>
      <x:c r="Z288" s="66" t="n">
        <x:f>W288/'공식·설정'!$B$8</x:f>
        <x:v>0.01031494140625</x:v>
      </x:c>
      <x:c r="AA288" s="66" t="n">
        <x:f>X288/'공식·설정'!$B$8</x:f>
        <x:v>0.01031494140625</x:v>
      </x:c>
      <x:c r="AB288" s="67" t="str">
        <x:f>IF(AND(I288=0,L288=0,Q288=0,T288=0,Y288=0),"PASS","FAIL")</x:f>
        <x:v>PASS</x:v>
      </x:c>
    </x:row>
    <x:row r="289" ht="18" customHeight="1">
      <x:c r="A289" s="14" t="n">
        <x:v>392</x:v>
      </x:c>
      <x:c r="B289" s="14" t="n">
        <x:v>284</x:v>
      </x:c>
      <x:c r="C289" s="14" t="n">
        <x:v>392</x:v>
      </x:c>
      <x:c r="D289" s="14" t="n">
        <x:v>6074</x:v>
      </x:c>
      <x:c r="E289" s="14" t="n">
        <x:v>406</x:v>
      </x:c>
      <x:c r="F289" s="14" t="n">
        <x:v>7079</x:v>
      </x:c>
      <x:c r="G289" s="14" t="n">
        <x:v>6074</x:v>
      </x:c>
      <x:c r="H289" s="14" t="n">
        <x:f>INT((F289-D289)*(A289-C289)/(E289-C289))+D289</x:f>
        <x:v>6074</x:v>
      </x:c>
      <x:c r="I289" s="68" t="n">
        <x:f>H289-G289</x:f>
        <x:v>0</x:v>
      </x:c>
      <x:c r="J289" s="14" t="n">
        <x:v>39543</x:v>
      </x:c>
      <x:c r="K289" s="14" t="n">
        <x:f>INT(H289*'공식·설정'!$B$10/'공식·설정'!$B$15)</x:f>
        <x:v>39543</x:v>
      </x:c>
      <x:c r="L289" s="68" t="n">
        <x:f>K289-J289</x:f>
        <x:v>0</x:v>
      </x:c>
      <x:c r="M289" s="65" t="n">
        <x:f>J289/'공식·설정'!$B$7</x:f>
        <x:v>154.46484375</x:v>
      </x:c>
      <x:c r="N289" s="65" t="n">
        <x:f>K289/'공식·설정'!$B$7</x:f>
        <x:v>154.46484375</x:v>
      </x:c>
      <x:c r="O289" s="14" t="n">
        <x:v>15</x:v>
      </x:c>
      <x:c r="P289" s="14" t="n">
        <x:f>MIN(32767,MAX(0,INT((K289+INT('공식·설정'!$B$12/2))/'공식·설정'!$B$12)))</x:f>
        <x:v>15</x:v>
      </x:c>
      <x:c r="Q289" s="68" t="n">
        <x:f>P289-O289</x:f>
        <x:v>0</x:v>
      </x:c>
      <x:c r="R289" s="14" t="n">
        <x:v>46848</x:v>
      </x:c>
      <x:c r="S289" s="14" t="n">
        <x:f>P289*'공식·설정'!$B$12+'공식·설정'!$B$14</x:f>
        <x:v>46848</x:v>
      </x:c>
      <x:c r="T289" s="68" t="n">
        <x:f>S289-R289</x:f>
        <x:v>0</x:v>
      </x:c>
      <x:c r="U289" s="65" t="n">
        <x:f>R289/'공식·설정'!$B$7</x:f>
        <x:v>183</x:v>
      </x:c>
      <x:c r="V289" s="65" t="n">
        <x:f>S289/'공식·설정'!$B$7</x:f>
        <x:v>183</x:v>
      </x:c>
      <x:c r="W289" s="14" t="n">
        <x:v>765</x:v>
      </x:c>
      <x:c r="X289" s="14" t="n">
        <x:f>INT(ABS(K290-K289)*'공식·설정'!$B$8/K289)</x:f>
        <x:v>765</x:v>
      </x:c>
      <x:c r="Y289" s="68" t="n">
        <x:f>X289-W289</x:f>
        <x:v>0</x:v>
      </x:c>
      <x:c r="Z289" s="66" t="n">
        <x:f>W289/'공식·설정'!$B$8</x:f>
        <x:v>0.0116729736328125</x:v>
      </x:c>
      <x:c r="AA289" s="66" t="n">
        <x:f>X289/'공식·설정'!$B$8</x:f>
        <x:v>0.0116729736328125</x:v>
      </x:c>
      <x:c r="AB289" s="67" t="str">
        <x:f>IF(AND(I289=0,L289=0,Q289=0,T289=0,Y289=0),"PASS","FAIL")</x:f>
        <x:v>PASS</x:v>
      </x:c>
    </x:row>
    <x:row r="290" ht="18" customHeight="1">
      <x:c r="A290" s="14" t="n">
        <x:v>393</x:v>
      </x:c>
      <x:c r="B290" s="14" t="n">
        <x:v>285</x:v>
      </x:c>
      <x:c r="C290" s="14" t="n">
        <x:v>392</x:v>
      </x:c>
      <x:c r="D290" s="14" t="n">
        <x:v>6074</x:v>
      </x:c>
      <x:c r="E290" s="14" t="n">
        <x:v>406</x:v>
      </x:c>
      <x:c r="F290" s="14" t="n">
        <x:v>7079</x:v>
      </x:c>
      <x:c r="G290" s="14" t="n">
        <x:v>6145</x:v>
      </x:c>
      <x:c r="H290" s="14" t="n">
        <x:f>INT((F290-D290)*(A290-C290)/(E290-C290))+D290</x:f>
        <x:v>6145</x:v>
      </x:c>
      <x:c r="I290" s="68" t="n">
        <x:f>H290-G290</x:f>
        <x:v>0</x:v>
      </x:c>
      <x:c r="J290" s="14" t="n">
        <x:v>40005</x:v>
      </x:c>
      <x:c r="K290" s="14" t="n">
        <x:f>INT(H290*'공식·설정'!$B$10/'공식·설정'!$B$15)</x:f>
        <x:v>40005</x:v>
      </x:c>
      <x:c r="L290" s="68" t="n">
        <x:f>K290-J290</x:f>
        <x:v>0</x:v>
      </x:c>
      <x:c r="M290" s="65" t="n">
        <x:f>J290/'공식·설정'!$B$7</x:f>
        <x:v>156.26953125</x:v>
      </x:c>
      <x:c r="N290" s="65" t="n">
        <x:f>K290/'공식·설정'!$B$7</x:f>
        <x:v>156.26953125</x:v>
      </x:c>
      <x:c r="O290" s="14" t="n">
        <x:v>16</x:v>
      </x:c>
      <x:c r="P290" s="14" t="n">
        <x:f>MIN(32767,MAX(0,INT((K290+INT('공식·설정'!$B$12/2))/'공식·설정'!$B$12)))</x:f>
        <x:v>16</x:v>
      </x:c>
      <x:c r="Q290" s="68" t="n">
        <x:f>P290-O290</x:f>
        <x:v>0</x:v>
      </x:c>
      <x:c r="R290" s="14" t="n">
        <x:v>49408</x:v>
      </x:c>
      <x:c r="S290" s="14" t="n">
        <x:f>P290*'공식·설정'!$B$12+'공식·설정'!$B$14</x:f>
        <x:v>49408</x:v>
      </x:c>
      <x:c r="T290" s="68" t="n">
        <x:f>S290-R290</x:f>
        <x:v>0</x:v>
      </x:c>
      <x:c r="U290" s="65" t="n">
        <x:f>R290/'공식·설정'!$B$7</x:f>
        <x:v>193</x:v>
      </x:c>
      <x:c r="V290" s="65" t="n">
        <x:f>S290/'공식·설정'!$B$7</x:f>
        <x:v>193</x:v>
      </x:c>
      <x:c r="W290" s="14" t="n">
        <x:v>768</x:v>
      </x:c>
      <x:c r="X290" s="14" t="n">
        <x:f>INT(ABS(K291-K290)*'공식·설정'!$B$8/K290)</x:f>
        <x:v>768</x:v>
      </x:c>
      <x:c r="Y290" s="68" t="n">
        <x:f>X290-W290</x:f>
        <x:v>0</x:v>
      </x:c>
      <x:c r="Z290" s="66" t="n">
        <x:f>W290/'공식·설정'!$B$8</x:f>
        <x:v>0.01171875</x:v>
      </x:c>
      <x:c r="AA290" s="66" t="n">
        <x:f>X290/'공식·설정'!$B$8</x:f>
        <x:v>0.01171875</x:v>
      </x:c>
      <x:c r="AB290" s="67" t="str">
        <x:f>IF(AND(I290=0,L290=0,Q290=0,T290=0,Y290=0),"PASS","FAIL")</x:f>
        <x:v>PASS</x:v>
      </x:c>
    </x:row>
    <x:row r="291" ht="18" customHeight="1">
      <x:c r="A291" s="14" t="n">
        <x:v>394</x:v>
      </x:c>
      <x:c r="B291" s="14" t="n">
        <x:v>286</x:v>
      </x:c>
      <x:c r="C291" s="14" t="n">
        <x:v>392</x:v>
      </x:c>
      <x:c r="D291" s="14" t="n">
        <x:v>6074</x:v>
      </x:c>
      <x:c r="E291" s="14" t="n">
        <x:v>406</x:v>
      </x:c>
      <x:c r="F291" s="14" t="n">
        <x:v>7079</x:v>
      </x:c>
      <x:c r="G291" s="14" t="n">
        <x:v>6217</x:v>
      </x:c>
      <x:c r="H291" s="14" t="n">
        <x:f>INT((F291-D291)*(A291-C291)/(E291-C291))+D291</x:f>
        <x:v>6217</x:v>
      </x:c>
      <x:c r="I291" s="68" t="n">
        <x:f>H291-G291</x:f>
        <x:v>0</x:v>
      </x:c>
      <x:c r="J291" s="14" t="n">
        <x:v>40474</x:v>
      </x:c>
      <x:c r="K291" s="14" t="n">
        <x:f>INT(H291*'공식·설정'!$B$10/'공식·설정'!$B$15)</x:f>
        <x:v>40474</x:v>
      </x:c>
      <x:c r="L291" s="68" t="n">
        <x:f>K291-J291</x:f>
        <x:v>0</x:v>
      </x:c>
      <x:c r="M291" s="65" t="n">
        <x:f>J291/'공식·설정'!$B$7</x:f>
        <x:v>158.1015625</x:v>
      </x:c>
      <x:c r="N291" s="65" t="n">
        <x:f>K291/'공식·설정'!$B$7</x:f>
        <x:v>158.1015625</x:v>
      </x:c>
      <x:c r="O291" s="14" t="n">
        <x:v>16</x:v>
      </x:c>
      <x:c r="P291" s="14" t="n">
        <x:f>MIN(32767,MAX(0,INT((K291+INT('공식·설정'!$B$12/2))/'공식·설정'!$B$12)))</x:f>
        <x:v>16</x:v>
      </x:c>
      <x:c r="Q291" s="68" t="n">
        <x:f>P291-O291</x:f>
        <x:v>0</x:v>
      </x:c>
      <x:c r="R291" s="14" t="n">
        <x:v>49408</x:v>
      </x:c>
      <x:c r="S291" s="14" t="n">
        <x:f>P291*'공식·설정'!$B$12+'공식·설정'!$B$14</x:f>
        <x:v>49408</x:v>
      </x:c>
      <x:c r="T291" s="68" t="n">
        <x:f>S291-R291</x:f>
        <x:v>0</x:v>
      </x:c>
      <x:c r="U291" s="65" t="n">
        <x:f>R291/'공식·설정'!$B$7</x:f>
        <x:v>193</x:v>
      </x:c>
      <x:c r="V291" s="65" t="n">
        <x:f>S291/'공식·설정'!$B$7</x:f>
        <x:v>193</x:v>
      </x:c>
      <x:c r="W291" s="14" t="n">
        <x:v>759</x:v>
      </x:c>
      <x:c r="X291" s="14" t="n">
        <x:f>INT(ABS(K292-K291)*'공식·설정'!$B$8/K291)</x:f>
        <x:v>759</x:v>
      </x:c>
      <x:c r="Y291" s="68" t="n">
        <x:f>X291-W291</x:f>
        <x:v>0</x:v>
      </x:c>
      <x:c r="Z291" s="66" t="n">
        <x:f>W291/'공식·설정'!$B$8</x:f>
        <x:v>0.0115814208984375</x:v>
      </x:c>
      <x:c r="AA291" s="66" t="n">
        <x:f>X291/'공식·설정'!$B$8</x:f>
        <x:v>0.0115814208984375</x:v>
      </x:c>
      <x:c r="AB291" s="67" t="str">
        <x:f>IF(AND(I291=0,L291=0,Q291=0,T291=0,Y291=0),"PASS","FAIL")</x:f>
        <x:v>PASS</x:v>
      </x:c>
    </x:row>
    <x:row r="292" ht="18" customHeight="1">
      <x:c r="A292" s="14" t="n">
        <x:v>395</x:v>
      </x:c>
      <x:c r="B292" s="14" t="n">
        <x:v>287</x:v>
      </x:c>
      <x:c r="C292" s="14" t="n">
        <x:v>392</x:v>
      </x:c>
      <x:c r="D292" s="14" t="n">
        <x:v>6074</x:v>
      </x:c>
      <x:c r="E292" s="14" t="n">
        <x:v>406</x:v>
      </x:c>
      <x:c r="F292" s="14" t="n">
        <x:v>7079</x:v>
      </x:c>
      <x:c r="G292" s="14" t="n">
        <x:v>6289</x:v>
      </x:c>
      <x:c r="H292" s="14" t="n">
        <x:f>INT((F292-D292)*(A292-C292)/(E292-C292))+D292</x:f>
        <x:v>6289</x:v>
      </x:c>
      <x:c r="I292" s="68" t="n">
        <x:f>H292-G292</x:f>
        <x:v>0</x:v>
      </x:c>
      <x:c r="J292" s="14" t="n">
        <x:v>40943</x:v>
      </x:c>
      <x:c r="K292" s="14" t="n">
        <x:f>INT(H292*'공식·설정'!$B$10/'공식·설정'!$B$15)</x:f>
        <x:v>40943</x:v>
      </x:c>
      <x:c r="L292" s="68" t="n">
        <x:f>K292-J292</x:f>
        <x:v>0</x:v>
      </x:c>
      <x:c r="M292" s="65" t="n">
        <x:f>J292/'공식·설정'!$B$7</x:f>
        <x:v>159.93359375</x:v>
      </x:c>
      <x:c r="N292" s="65" t="n">
        <x:f>K292/'공식·설정'!$B$7</x:f>
        <x:v>159.93359375</x:v>
      </x:c>
      <x:c r="O292" s="14" t="n">
        <x:v>16</x:v>
      </x:c>
      <x:c r="P292" s="14" t="n">
        <x:f>MIN(32767,MAX(0,INT((K292+INT('공식·설정'!$B$12/2))/'공식·설정'!$B$12)))</x:f>
        <x:v>16</x:v>
      </x:c>
      <x:c r="Q292" s="68" t="n">
        <x:f>P292-O292</x:f>
        <x:v>0</x:v>
      </x:c>
      <x:c r="R292" s="14" t="n">
        <x:v>49408</x:v>
      </x:c>
      <x:c r="S292" s="14" t="n">
        <x:f>P292*'공식·설정'!$B$12+'공식·설정'!$B$14</x:f>
        <x:v>49408</x:v>
      </x:c>
      <x:c r="T292" s="68" t="n">
        <x:f>S292-R292</x:f>
        <x:v>0</x:v>
      </x:c>
      <x:c r="U292" s="65" t="n">
        <x:f>R292/'공식·설정'!$B$7</x:f>
        <x:v>193</x:v>
      </x:c>
      <x:c r="V292" s="65" t="n">
        <x:f>S292/'공식·설정'!$B$7</x:f>
        <x:v>193</x:v>
      </x:c>
      <x:c r="W292" s="14" t="n">
        <x:v>749</x:v>
      </x:c>
      <x:c r="X292" s="14" t="n">
        <x:f>INT(ABS(K293-K292)*'공식·설정'!$B$8/K292)</x:f>
        <x:v>749</x:v>
      </x:c>
      <x:c r="Y292" s="68" t="n">
        <x:f>X292-W292</x:f>
        <x:v>0</x:v>
      </x:c>
      <x:c r="Z292" s="66" t="n">
        <x:f>W292/'공식·설정'!$B$8</x:f>
        <x:v>0.0114288330078125</x:v>
      </x:c>
      <x:c r="AA292" s="66" t="n">
        <x:f>X292/'공식·설정'!$B$8</x:f>
        <x:v>0.0114288330078125</x:v>
      </x:c>
      <x:c r="AB292" s="67" t="str">
        <x:f>IF(AND(I292=0,L292=0,Q292=0,T292=0,Y292=0),"PASS","FAIL")</x:f>
        <x:v>PASS</x:v>
      </x:c>
    </x:row>
    <x:row r="293" ht="18" customHeight="1">
      <x:c r="A293" s="14" t="n">
        <x:v>396</x:v>
      </x:c>
      <x:c r="B293" s="14" t="n">
        <x:v>288</x:v>
      </x:c>
      <x:c r="C293" s="14" t="n">
        <x:v>392</x:v>
      </x:c>
      <x:c r="D293" s="14" t="n">
        <x:v>6074</x:v>
      </x:c>
      <x:c r="E293" s="14" t="n">
        <x:v>406</x:v>
      </x:c>
      <x:c r="F293" s="14" t="n">
        <x:v>7079</x:v>
      </x:c>
      <x:c r="G293" s="14" t="n">
        <x:v>6361</x:v>
      </x:c>
      <x:c r="H293" s="14" t="n">
        <x:f>INT((F293-D293)*(A293-C293)/(E293-C293))+D293</x:f>
        <x:v>6361</x:v>
      </x:c>
      <x:c r="I293" s="68" t="n">
        <x:f>H293-G293</x:f>
        <x:v>0</x:v>
      </x:c>
      <x:c r="J293" s="14" t="n">
        <x:v>41411</x:v>
      </x:c>
      <x:c r="K293" s="14" t="n">
        <x:f>INT(H293*'공식·설정'!$B$10/'공식·설정'!$B$15)</x:f>
        <x:v>41411</x:v>
      </x:c>
      <x:c r="L293" s="68" t="n">
        <x:f>K293-J293</x:f>
        <x:v>0</x:v>
      </x:c>
      <x:c r="M293" s="65" t="n">
        <x:f>J293/'공식·설정'!$B$7</x:f>
        <x:v>161.76171875</x:v>
      </x:c>
      <x:c r="N293" s="65" t="n">
        <x:f>K293/'공식·설정'!$B$7</x:f>
        <x:v>161.76171875</x:v>
      </x:c>
      <x:c r="O293" s="14" t="n">
        <x:v>16</x:v>
      </x:c>
      <x:c r="P293" s="14" t="n">
        <x:f>MIN(32767,MAX(0,INT((K293+INT('공식·설정'!$B$12/2))/'공식·설정'!$B$12)))</x:f>
        <x:v>16</x:v>
      </x:c>
      <x:c r="Q293" s="68" t="n">
        <x:f>P293-O293</x:f>
        <x:v>0</x:v>
      </x:c>
      <x:c r="R293" s="14" t="n">
        <x:v>49408</x:v>
      </x:c>
      <x:c r="S293" s="14" t="n">
        <x:f>P293*'공식·설정'!$B$12+'공식·설정'!$B$14</x:f>
        <x:v>49408</x:v>
      </x:c>
      <x:c r="T293" s="68" t="n">
        <x:f>S293-R293</x:f>
        <x:v>0</x:v>
      </x:c>
      <x:c r="U293" s="65" t="n">
        <x:f>R293/'공식·설정'!$B$7</x:f>
        <x:v>193</x:v>
      </x:c>
      <x:c r="V293" s="65" t="n">
        <x:f>S293/'공식·설정'!$B$7</x:f>
        <x:v>193</x:v>
      </x:c>
      <x:c r="W293" s="14" t="n">
        <x:v>732</x:v>
      </x:c>
      <x:c r="X293" s="14" t="n">
        <x:f>INT(ABS(K294-K293)*'공식·설정'!$B$8/K293)</x:f>
        <x:v>732</x:v>
      </x:c>
      <x:c r="Y293" s="68" t="n">
        <x:f>X293-W293</x:f>
        <x:v>0</x:v>
      </x:c>
      <x:c r="Z293" s="66" t="n">
        <x:f>W293/'공식·설정'!$B$8</x:f>
        <x:v>0.01116943359375</x:v>
      </x:c>
      <x:c r="AA293" s="66" t="n">
        <x:f>X293/'공식·설정'!$B$8</x:f>
        <x:v>0.01116943359375</x:v>
      </x:c>
      <x:c r="AB293" s="67" t="str">
        <x:f>IF(AND(I293=0,L293=0,Q293=0,T293=0,Y293=0),"PASS","FAIL")</x:f>
        <x:v>PASS</x:v>
      </x:c>
    </x:row>
    <x:row r="294" ht="18" customHeight="1">
      <x:c r="A294" s="14" t="n">
        <x:v>397</x:v>
      </x:c>
      <x:c r="B294" s="14" t="n">
        <x:v>289</x:v>
      </x:c>
      <x:c r="C294" s="14" t="n">
        <x:v>392</x:v>
      </x:c>
      <x:c r="D294" s="14" t="n">
        <x:v>6074</x:v>
      </x:c>
      <x:c r="E294" s="14" t="n">
        <x:v>406</x:v>
      </x:c>
      <x:c r="F294" s="14" t="n">
        <x:v>7079</x:v>
      </x:c>
      <x:c r="G294" s="14" t="n">
        <x:v>6432</x:v>
      </x:c>
      <x:c r="H294" s="14" t="n">
        <x:f>INT((F294-D294)*(A294-C294)/(E294-C294))+D294</x:f>
        <x:v>6432</x:v>
      </x:c>
      <x:c r="I294" s="68" t="n">
        <x:f>H294-G294</x:f>
        <x:v>0</x:v>
      </x:c>
      <x:c r="J294" s="14" t="n">
        <x:v>41874</x:v>
      </x:c>
      <x:c r="K294" s="14" t="n">
        <x:f>INT(H294*'공식·설정'!$B$10/'공식·설정'!$B$15)</x:f>
        <x:v>41874</x:v>
      </x:c>
      <x:c r="L294" s="68" t="n">
        <x:f>K294-J294</x:f>
        <x:v>0</x:v>
      </x:c>
      <x:c r="M294" s="65" t="n">
        <x:f>J294/'공식·설정'!$B$7</x:f>
        <x:v>163.5703125</x:v>
      </x:c>
      <x:c r="N294" s="65" t="n">
        <x:f>K294/'공식·설정'!$B$7</x:f>
        <x:v>163.5703125</x:v>
      </x:c>
      <x:c r="O294" s="14" t="n">
        <x:v>16</x:v>
      </x:c>
      <x:c r="P294" s="14" t="n">
        <x:f>MIN(32767,MAX(0,INT((K294+INT('공식·설정'!$B$12/2))/'공식·설정'!$B$12)))</x:f>
        <x:v>16</x:v>
      </x:c>
      <x:c r="Q294" s="68" t="n">
        <x:f>P294-O294</x:f>
        <x:v>0</x:v>
      </x:c>
      <x:c r="R294" s="14" t="n">
        <x:v>49408</x:v>
      </x:c>
      <x:c r="S294" s="14" t="n">
        <x:f>P294*'공식·설정'!$B$12+'공식·설정'!$B$14</x:f>
        <x:v>49408</x:v>
      </x:c>
      <x:c r="T294" s="68" t="n">
        <x:f>S294-R294</x:f>
        <x:v>0</x:v>
      </x:c>
      <x:c r="U294" s="65" t="n">
        <x:f>R294/'공식·설정'!$B$7</x:f>
        <x:v>193</x:v>
      </x:c>
      <x:c r="V294" s="65" t="n">
        <x:f>S294/'공식·설정'!$B$7</x:f>
        <x:v>193</x:v>
      </x:c>
      <x:c r="W294" s="14" t="n">
        <x:v>732</x:v>
      </x:c>
      <x:c r="X294" s="14" t="n">
        <x:f>INT(ABS(K295-K294)*'공식·설정'!$B$8/K294)</x:f>
        <x:v>732</x:v>
      </x:c>
      <x:c r="Y294" s="68" t="n">
        <x:f>X294-W294</x:f>
        <x:v>0</x:v>
      </x:c>
      <x:c r="Z294" s="66" t="n">
        <x:f>W294/'공식·설정'!$B$8</x:f>
        <x:v>0.01116943359375</x:v>
      </x:c>
      <x:c r="AA294" s="66" t="n">
        <x:f>X294/'공식·설정'!$B$8</x:f>
        <x:v>0.01116943359375</x:v>
      </x:c>
      <x:c r="AB294" s="67" t="str">
        <x:f>IF(AND(I294=0,L294=0,Q294=0,T294=0,Y294=0),"PASS","FAIL")</x:f>
        <x:v>PASS</x:v>
      </x:c>
    </x:row>
    <x:row r="295" ht="18" customHeight="1">
      <x:c r="A295" s="14" t="n">
        <x:v>398</x:v>
      </x:c>
      <x:c r="B295" s="14" t="n">
        <x:v>290</x:v>
      </x:c>
      <x:c r="C295" s="14" t="n">
        <x:v>392</x:v>
      </x:c>
      <x:c r="D295" s="14" t="n">
        <x:v>6074</x:v>
      </x:c>
      <x:c r="E295" s="14" t="n">
        <x:v>406</x:v>
      </x:c>
      <x:c r="F295" s="14" t="n">
        <x:v>7079</x:v>
      </x:c>
      <x:c r="G295" s="14" t="n">
        <x:v>6504</x:v>
      </x:c>
      <x:c r="H295" s="14" t="n">
        <x:f>INT((F295-D295)*(A295-C295)/(E295-C295))+D295</x:f>
        <x:v>6504</x:v>
      </x:c>
      <x:c r="I295" s="68" t="n">
        <x:f>H295-G295</x:f>
        <x:v>0</x:v>
      </x:c>
      <x:c r="J295" s="14" t="n">
        <x:v>42342</x:v>
      </x:c>
      <x:c r="K295" s="14" t="n">
        <x:f>INT(H295*'공식·설정'!$B$10/'공식·설정'!$B$15)</x:f>
        <x:v>42342</x:v>
      </x:c>
      <x:c r="L295" s="68" t="n">
        <x:f>K295-J295</x:f>
        <x:v>0</x:v>
      </x:c>
      <x:c r="M295" s="65" t="n">
        <x:f>J295/'공식·설정'!$B$7</x:f>
        <x:v>165.3984375</x:v>
      </x:c>
      <x:c r="N295" s="65" t="n">
        <x:f>K295/'공식·설정'!$B$7</x:f>
        <x:v>165.3984375</x:v>
      </x:c>
      <x:c r="O295" s="14" t="n">
        <x:v>17</x:v>
      </x:c>
      <x:c r="P295" s="14" t="n">
        <x:f>MIN(32767,MAX(0,INT((K295+INT('공식·설정'!$B$12/2))/'공식·설정'!$B$12)))</x:f>
        <x:v>17</x:v>
      </x:c>
      <x:c r="Q295" s="68" t="n">
        <x:f>P295-O295</x:f>
        <x:v>0</x:v>
      </x:c>
      <x:c r="R295" s="14" t="n">
        <x:v>51968</x:v>
      </x:c>
      <x:c r="S295" s="14" t="n">
        <x:f>P295*'공식·설정'!$B$12+'공식·설정'!$B$14</x:f>
        <x:v>51968</x:v>
      </x:c>
      <x:c r="T295" s="68" t="n">
        <x:f>S295-R295</x:f>
        <x:v>0</x:v>
      </x:c>
      <x:c r="U295" s="65" t="n">
        <x:f>R295/'공식·설정'!$B$7</x:f>
        <x:v>203</x:v>
      </x:c>
      <x:c r="V295" s="65" t="n">
        <x:f>S295/'공식·설정'!$B$7</x:f>
        <x:v>203</x:v>
      </x:c>
      <x:c r="W295" s="14" t="n">
        <x:v>725</x:v>
      </x:c>
      <x:c r="X295" s="14" t="n">
        <x:f>INT(ABS(K296-K295)*'공식·설정'!$B$8/K295)</x:f>
        <x:v>725</x:v>
      </x:c>
      <x:c r="Y295" s="68" t="n">
        <x:f>X295-W295</x:f>
        <x:v>0</x:v>
      </x:c>
      <x:c r="Z295" s="66" t="n">
        <x:f>W295/'공식·설정'!$B$8</x:f>
        <x:v>0.0110626220703125</x:v>
      </x:c>
      <x:c r="AA295" s="66" t="n">
        <x:f>X295/'공식·설정'!$B$8</x:f>
        <x:v>0.0110626220703125</x:v>
      </x:c>
      <x:c r="AB295" s="67" t="str">
        <x:f>IF(AND(I295=0,L295=0,Q295=0,T295=0,Y295=0),"PASS","FAIL")</x:f>
        <x:v>PASS</x:v>
      </x:c>
    </x:row>
    <x:row r="296" ht="18" customHeight="1">
      <x:c r="A296" s="14" t="n">
        <x:v>399</x:v>
      </x:c>
      <x:c r="B296" s="14" t="n">
        <x:v>291</x:v>
      </x:c>
      <x:c r="C296" s="14" t="n">
        <x:v>392</x:v>
      </x:c>
      <x:c r="D296" s="14" t="n">
        <x:v>6074</x:v>
      </x:c>
      <x:c r="E296" s="14" t="n">
        <x:v>406</x:v>
      </x:c>
      <x:c r="F296" s="14" t="n">
        <x:v>7079</x:v>
      </x:c>
      <x:c r="G296" s="14" t="n">
        <x:v>6576</x:v>
      </x:c>
      <x:c r="H296" s="14" t="n">
        <x:f>INT((F296-D296)*(A296-C296)/(E296-C296))+D296</x:f>
        <x:v>6576</x:v>
      </x:c>
      <x:c r="I296" s="68" t="n">
        <x:f>H296-G296</x:f>
        <x:v>0</x:v>
      </x:c>
      <x:c r="J296" s="14" t="n">
        <x:v>42811</x:v>
      </x:c>
      <x:c r="K296" s="14" t="n">
        <x:f>INT(H296*'공식·설정'!$B$10/'공식·설정'!$B$15)</x:f>
        <x:v>42811</x:v>
      </x:c>
      <x:c r="L296" s="68" t="n">
        <x:f>K296-J296</x:f>
        <x:v>0</x:v>
      </x:c>
      <x:c r="M296" s="65" t="n">
        <x:f>J296/'공식·설정'!$B$7</x:f>
        <x:v>167.23046875</x:v>
      </x:c>
      <x:c r="N296" s="65" t="n">
        <x:f>K296/'공식·설정'!$B$7</x:f>
        <x:v>167.23046875</x:v>
      </x:c>
      <x:c r="O296" s="14" t="n">
        <x:v>17</x:v>
      </x:c>
      <x:c r="P296" s="14" t="n">
        <x:f>MIN(32767,MAX(0,INT((K296+INT('공식·설정'!$B$12/2))/'공식·설정'!$B$12)))</x:f>
        <x:v>17</x:v>
      </x:c>
      <x:c r="Q296" s="68" t="n">
        <x:f>P296-O296</x:f>
        <x:v>0</x:v>
      </x:c>
      <x:c r="R296" s="14" t="n">
        <x:v>51968</x:v>
      </x:c>
      <x:c r="S296" s="14" t="n">
        <x:f>P296*'공식·설정'!$B$12+'공식·설정'!$B$14</x:f>
        <x:v>51968</x:v>
      </x:c>
      <x:c r="T296" s="68" t="n">
        <x:f>S296-R296</x:f>
        <x:v>0</x:v>
      </x:c>
      <x:c r="U296" s="65" t="n">
        <x:f>R296/'공식·설정'!$B$7</x:f>
        <x:v>203</x:v>
      </x:c>
      <x:c r="V296" s="65" t="n">
        <x:f>S296/'공식·설정'!$B$7</x:f>
        <x:v>203</x:v>
      </x:c>
      <x:c r="W296" s="14" t="n">
        <x:v>717</x:v>
      </x:c>
      <x:c r="X296" s="14" t="n">
        <x:f>INT(ABS(K297-K296)*'공식·설정'!$B$8/K296)</x:f>
        <x:v>717</x:v>
      </x:c>
      <x:c r="Y296" s="68" t="n">
        <x:f>X296-W296</x:f>
        <x:v>0</x:v>
      </x:c>
      <x:c r="Z296" s="66" t="n">
        <x:f>W296/'공식·설정'!$B$8</x:f>
        <x:v>0.0109405517578125</x:v>
      </x:c>
      <x:c r="AA296" s="66" t="n">
        <x:f>X296/'공식·설정'!$B$8</x:f>
        <x:v>0.0109405517578125</x:v>
      </x:c>
      <x:c r="AB296" s="67" t="str">
        <x:f>IF(AND(I296=0,L296=0,Q296=0,T296=0,Y296=0),"PASS","FAIL")</x:f>
        <x:v>PASS</x:v>
      </x:c>
    </x:row>
    <x:row r="297" ht="18" customHeight="1">
      <x:c r="A297" s="14" t="n">
        <x:v>400</x:v>
      </x:c>
      <x:c r="B297" s="14" t="n">
        <x:v>292</x:v>
      </x:c>
      <x:c r="C297" s="14" t="n">
        <x:v>392</x:v>
      </x:c>
      <x:c r="D297" s="14" t="n">
        <x:v>6074</x:v>
      </x:c>
      <x:c r="E297" s="14" t="n">
        <x:v>406</x:v>
      </x:c>
      <x:c r="F297" s="14" t="n">
        <x:v>7079</x:v>
      </x:c>
      <x:c r="G297" s="14" t="n">
        <x:v>6648</x:v>
      </x:c>
      <x:c r="H297" s="14" t="n">
        <x:f>INT((F297-D297)*(A297-C297)/(E297-C297))+D297</x:f>
        <x:v>6648</x:v>
      </x:c>
      <x:c r="I297" s="68" t="n">
        <x:f>H297-G297</x:f>
        <x:v>0</x:v>
      </x:c>
      <x:c r="J297" s="14" t="n">
        <x:v>43280</x:v>
      </x:c>
      <x:c r="K297" s="14" t="n">
        <x:f>INT(H297*'공식·설정'!$B$10/'공식·설정'!$B$15)</x:f>
        <x:v>43280</x:v>
      </x:c>
      <x:c r="L297" s="68" t="n">
        <x:f>K297-J297</x:f>
        <x:v>0</x:v>
      </x:c>
      <x:c r="M297" s="65" t="n">
        <x:f>J297/'공식·설정'!$B$7</x:f>
        <x:v>169.0625</x:v>
      </x:c>
      <x:c r="N297" s="65" t="n">
        <x:f>K297/'공식·설정'!$B$7</x:f>
        <x:v>169.0625</x:v>
      </x:c>
      <x:c r="O297" s="14" t="n">
        <x:v>17</x:v>
      </x:c>
      <x:c r="P297" s="14" t="n">
        <x:f>MIN(32767,MAX(0,INT((K297+INT('공식·설정'!$B$12/2))/'공식·설정'!$B$12)))</x:f>
        <x:v>17</x:v>
      </x:c>
      <x:c r="Q297" s="68" t="n">
        <x:f>P297-O297</x:f>
        <x:v>0</x:v>
      </x:c>
      <x:c r="R297" s="14" t="n">
        <x:v>51968</x:v>
      </x:c>
      <x:c r="S297" s="14" t="n">
        <x:f>P297*'공식·설정'!$B$12+'공식·설정'!$B$14</x:f>
        <x:v>51968</x:v>
      </x:c>
      <x:c r="T297" s="68" t="n">
        <x:f>S297-R297</x:f>
        <x:v>0</x:v>
      </x:c>
      <x:c r="U297" s="65" t="n">
        <x:f>R297/'공식·설정'!$B$7</x:f>
        <x:v>203</x:v>
      </x:c>
      <x:c r="V297" s="65" t="n">
        <x:f>S297/'공식·설정'!$B$7</x:f>
        <x:v>203</x:v>
      </x:c>
      <x:c r="W297" s="14" t="n">
        <x:v>710</x:v>
      </x:c>
      <x:c r="X297" s="14" t="n">
        <x:f>INT(ABS(K298-K297)*'공식·설정'!$B$8/K297)</x:f>
        <x:v>710</x:v>
      </x:c>
      <x:c r="Y297" s="68" t="n">
        <x:f>X297-W297</x:f>
        <x:v>0</x:v>
      </x:c>
      <x:c r="Z297" s="66" t="n">
        <x:f>W297/'공식·설정'!$B$8</x:f>
        <x:v>0.010833740234375</x:v>
      </x:c>
      <x:c r="AA297" s="66" t="n">
        <x:f>X297/'공식·설정'!$B$8</x:f>
        <x:v>0.010833740234375</x:v>
      </x:c>
      <x:c r="AB297" s="67" t="str">
        <x:f>IF(AND(I297=0,L297=0,Q297=0,T297=0,Y297=0),"PASS","FAIL")</x:f>
        <x:v>PASS</x:v>
      </x:c>
    </x:row>
    <x:row r="298" ht="18" customHeight="1">
      <x:c r="A298" s="14" t="n">
        <x:v>401</x:v>
      </x:c>
      <x:c r="B298" s="14" t="n">
        <x:v>293</x:v>
      </x:c>
      <x:c r="C298" s="14" t="n">
        <x:v>392</x:v>
      </x:c>
      <x:c r="D298" s="14" t="n">
        <x:v>6074</x:v>
      </x:c>
      <x:c r="E298" s="14" t="n">
        <x:v>406</x:v>
      </x:c>
      <x:c r="F298" s="14" t="n">
        <x:v>7079</x:v>
      </x:c>
      <x:c r="G298" s="14" t="n">
        <x:v>6720</x:v>
      </x:c>
      <x:c r="H298" s="14" t="n">
        <x:f>INT((F298-D298)*(A298-C298)/(E298-C298))+D298</x:f>
        <x:v>6720</x:v>
      </x:c>
      <x:c r="I298" s="68" t="n">
        <x:f>H298-G298</x:f>
        <x:v>0</x:v>
      </x:c>
      <x:c r="J298" s="14" t="n">
        <x:v>43749</x:v>
      </x:c>
      <x:c r="K298" s="14" t="n">
        <x:f>INT(H298*'공식·설정'!$B$10/'공식·설정'!$B$15)</x:f>
        <x:v>43749</x:v>
      </x:c>
      <x:c r="L298" s="68" t="n">
        <x:f>K298-J298</x:f>
        <x:v>0</x:v>
      </x:c>
      <x:c r="M298" s="65" t="n">
        <x:f>J298/'공식·설정'!$B$7</x:f>
        <x:v>170.89453125</x:v>
      </x:c>
      <x:c r="N298" s="65" t="n">
        <x:f>K298/'공식·설정'!$B$7</x:f>
        <x:v>170.89453125</x:v>
      </x:c>
      <x:c r="O298" s="14" t="n">
        <x:v>17</x:v>
      </x:c>
      <x:c r="P298" s="14" t="n">
        <x:f>MIN(32767,MAX(0,INT((K298+INT('공식·설정'!$B$12/2))/'공식·설정'!$B$12)))</x:f>
        <x:v>17</x:v>
      </x:c>
      <x:c r="Q298" s="68" t="n">
        <x:f>P298-O298</x:f>
        <x:v>0</x:v>
      </x:c>
      <x:c r="R298" s="14" t="n">
        <x:v>51968</x:v>
      </x:c>
      <x:c r="S298" s="14" t="n">
        <x:f>P298*'공식·설정'!$B$12+'공식·설정'!$B$14</x:f>
        <x:v>51968</x:v>
      </x:c>
      <x:c r="T298" s="68" t="n">
        <x:f>S298-R298</x:f>
        <x:v>0</x:v>
      </x:c>
      <x:c r="U298" s="65" t="n">
        <x:f>R298/'공식·설정'!$B$7</x:f>
        <x:v>203</x:v>
      </x:c>
      <x:c r="V298" s="65" t="n">
        <x:f>S298/'공식·설정'!$B$7</x:f>
        <x:v>203</x:v>
      </x:c>
      <x:c r="W298" s="14" t="n">
        <x:v>692</x:v>
      </x:c>
      <x:c r="X298" s="14" t="n">
        <x:f>INT(ABS(K299-K298)*'공식·설정'!$B$8/K298)</x:f>
        <x:v>692</x:v>
      </x:c>
      <x:c r="Y298" s="68" t="n">
        <x:f>X298-W298</x:f>
        <x:v>0</x:v>
      </x:c>
      <x:c r="Z298" s="66" t="n">
        <x:f>W298/'공식·설정'!$B$8</x:f>
        <x:v>0.01055908203125</x:v>
      </x:c>
      <x:c r="AA298" s="66" t="n">
        <x:f>X298/'공식·설정'!$B$8</x:f>
        <x:v>0.01055908203125</x:v>
      </x:c>
      <x:c r="AB298" s="67" t="str">
        <x:f>IF(AND(I298=0,L298=0,Q298=0,T298=0,Y298=0),"PASS","FAIL")</x:f>
        <x:v>PASS</x:v>
      </x:c>
    </x:row>
    <x:row r="299" ht="18" customHeight="1">
      <x:c r="A299" s="14" t="n">
        <x:v>402</x:v>
      </x:c>
      <x:c r="B299" s="14" t="n">
        <x:v>294</x:v>
      </x:c>
      <x:c r="C299" s="14" t="n">
        <x:v>392</x:v>
      </x:c>
      <x:c r="D299" s="14" t="n">
        <x:v>6074</x:v>
      </x:c>
      <x:c r="E299" s="14" t="n">
        <x:v>406</x:v>
      </x:c>
      <x:c r="F299" s="14" t="n">
        <x:v>7079</x:v>
      </x:c>
      <x:c r="G299" s="14" t="n">
        <x:v>6791</x:v>
      </x:c>
      <x:c r="H299" s="14" t="n">
        <x:f>INT((F299-D299)*(A299-C299)/(E299-C299))+D299</x:f>
        <x:v>6791</x:v>
      </x:c>
      <x:c r="I299" s="68" t="n">
        <x:f>H299-G299</x:f>
        <x:v>0</x:v>
      </x:c>
      <x:c r="J299" s="14" t="n">
        <x:v>44211</x:v>
      </x:c>
      <x:c r="K299" s="14" t="n">
        <x:f>INT(H299*'공식·설정'!$B$10/'공식·설정'!$B$15)</x:f>
        <x:v>44211</x:v>
      </x:c>
      <x:c r="L299" s="68" t="n">
        <x:f>K299-J299</x:f>
        <x:v>0</x:v>
      </x:c>
      <x:c r="M299" s="65" t="n">
        <x:f>J299/'공식·설정'!$B$7</x:f>
        <x:v>172.69921875</x:v>
      </x:c>
      <x:c r="N299" s="65" t="n">
        <x:f>K299/'공식·설정'!$B$7</x:f>
        <x:v>172.69921875</x:v>
      </x:c>
      <x:c r="O299" s="14" t="n">
        <x:v>17</x:v>
      </x:c>
      <x:c r="P299" s="14" t="n">
        <x:f>MIN(32767,MAX(0,INT((K299+INT('공식·설정'!$B$12/2))/'공식·설정'!$B$12)))</x:f>
        <x:v>17</x:v>
      </x:c>
      <x:c r="Q299" s="68" t="n">
        <x:f>P299-O299</x:f>
        <x:v>0</x:v>
      </x:c>
      <x:c r="R299" s="14" t="n">
        <x:v>51968</x:v>
      </x:c>
      <x:c r="S299" s="14" t="n">
        <x:f>P299*'공식·설정'!$B$12+'공식·설정'!$B$14</x:f>
        <x:v>51968</x:v>
      </x:c>
      <x:c r="T299" s="68" t="n">
        <x:f>S299-R299</x:f>
        <x:v>0</x:v>
      </x:c>
      <x:c r="U299" s="65" t="n">
        <x:f>R299/'공식·설정'!$B$7</x:f>
        <x:v>203</x:v>
      </x:c>
      <x:c r="V299" s="65" t="n">
        <x:f>S299/'공식·설정'!$B$7</x:f>
        <x:v>203</x:v>
      </x:c>
      <x:c r="W299" s="14" t="n">
        <x:v>695</x:v>
      </x:c>
      <x:c r="X299" s="14" t="n">
        <x:f>INT(ABS(K300-K299)*'공식·설정'!$B$8/K299)</x:f>
        <x:v>695</x:v>
      </x:c>
      <x:c r="Y299" s="68" t="n">
        <x:f>X299-W299</x:f>
        <x:v>0</x:v>
      </x:c>
      <x:c r="Z299" s="66" t="n">
        <x:f>W299/'공식·설정'!$B$8</x:f>
        <x:v>0.0106048583984375</x:v>
      </x:c>
      <x:c r="AA299" s="66" t="n">
        <x:f>X299/'공식·설정'!$B$8</x:f>
        <x:v>0.0106048583984375</x:v>
      </x:c>
      <x:c r="AB299" s="67" t="str">
        <x:f>IF(AND(I299=0,L299=0,Q299=0,T299=0,Y299=0),"PASS","FAIL")</x:f>
        <x:v>PASS</x:v>
      </x:c>
    </x:row>
    <x:row r="300" ht="18" customHeight="1">
      <x:c r="A300" s="14" t="n">
        <x:v>403</x:v>
      </x:c>
      <x:c r="B300" s="14" t="n">
        <x:v>295</x:v>
      </x:c>
      <x:c r="C300" s="14" t="n">
        <x:v>392</x:v>
      </x:c>
      <x:c r="D300" s="14" t="n">
        <x:v>6074</x:v>
      </x:c>
      <x:c r="E300" s="14" t="n">
        <x:v>406</x:v>
      </x:c>
      <x:c r="F300" s="14" t="n">
        <x:v>7079</x:v>
      </x:c>
      <x:c r="G300" s="14" t="n">
        <x:v>6863</x:v>
      </x:c>
      <x:c r="H300" s="14" t="n">
        <x:f>INT((F300-D300)*(A300-C300)/(E300-C300))+D300</x:f>
        <x:v>6863</x:v>
      </x:c>
      <x:c r="I300" s="68" t="n">
        <x:f>H300-G300</x:f>
        <x:v>0</x:v>
      </x:c>
      <x:c r="J300" s="14" t="n">
        <x:v>44680</x:v>
      </x:c>
      <x:c r="K300" s="14" t="n">
        <x:f>INT(H300*'공식·설정'!$B$10/'공식·설정'!$B$15)</x:f>
        <x:v>44680</x:v>
      </x:c>
      <x:c r="L300" s="68" t="n">
        <x:f>K300-J300</x:f>
        <x:v>0</x:v>
      </x:c>
      <x:c r="M300" s="65" t="n">
        <x:f>J300/'공식·설정'!$B$7</x:f>
        <x:v>174.53125</x:v>
      </x:c>
      <x:c r="N300" s="65" t="n">
        <x:f>K300/'공식·설정'!$B$7</x:f>
        <x:v>174.53125</x:v>
      </x:c>
      <x:c r="O300" s="14" t="n">
        <x:v>17</x:v>
      </x:c>
      <x:c r="P300" s="14" t="n">
        <x:f>MIN(32767,MAX(0,INT((K300+INT('공식·설정'!$B$12/2))/'공식·설정'!$B$12)))</x:f>
        <x:v>17</x:v>
      </x:c>
      <x:c r="Q300" s="68" t="n">
        <x:f>P300-O300</x:f>
        <x:v>0</x:v>
      </x:c>
      <x:c r="R300" s="14" t="n">
        <x:v>51968</x:v>
      </x:c>
      <x:c r="S300" s="14" t="n">
        <x:f>P300*'공식·설정'!$B$12+'공식·설정'!$B$14</x:f>
        <x:v>51968</x:v>
      </x:c>
      <x:c r="T300" s="68" t="n">
        <x:f>S300-R300</x:f>
        <x:v>0</x:v>
      </x:c>
      <x:c r="U300" s="65" t="n">
        <x:f>R300/'공식·설정'!$B$7</x:f>
        <x:v>203</x:v>
      </x:c>
      <x:c r="V300" s="65" t="n">
        <x:f>S300/'공식·설정'!$B$7</x:f>
        <x:v>203</x:v>
      </x:c>
      <x:c r="W300" s="14" t="n">
        <x:v>686</x:v>
      </x:c>
      <x:c r="X300" s="14" t="n">
        <x:f>INT(ABS(K301-K300)*'공식·설정'!$B$8/K300)</x:f>
        <x:v>686</x:v>
      </x:c>
      <x:c r="Y300" s="68" t="n">
        <x:f>X300-W300</x:f>
        <x:v>0</x:v>
      </x:c>
      <x:c r="Z300" s="66" t="n">
        <x:f>W300/'공식·설정'!$B$8</x:f>
        <x:v>0.010467529296875</x:v>
      </x:c>
      <x:c r="AA300" s="66" t="n">
        <x:f>X300/'공식·설정'!$B$8</x:f>
        <x:v>0.010467529296875</x:v>
      </x:c>
      <x:c r="AB300" s="67" t="str">
        <x:f>IF(AND(I300=0,L300=0,Q300=0,T300=0,Y300=0),"PASS","FAIL")</x:f>
        <x:v>PASS</x:v>
      </x:c>
    </x:row>
    <x:row r="301" ht="18" customHeight="1">
      <x:c r="A301" s="14" t="n">
        <x:v>404</x:v>
      </x:c>
      <x:c r="B301" s="14" t="n">
        <x:v>296</x:v>
      </x:c>
      <x:c r="C301" s="14" t="n">
        <x:v>392</x:v>
      </x:c>
      <x:c r="D301" s="14" t="n">
        <x:v>6074</x:v>
      </x:c>
      <x:c r="E301" s="14" t="n">
        <x:v>406</x:v>
      </x:c>
      <x:c r="F301" s="14" t="n">
        <x:v>7079</x:v>
      </x:c>
      <x:c r="G301" s="14" t="n">
        <x:v>6935</x:v>
      </x:c>
      <x:c r="H301" s="14" t="n">
        <x:f>INT((F301-D301)*(A301-C301)/(E301-C301))+D301</x:f>
        <x:v>6935</x:v>
      </x:c>
      <x:c r="I301" s="68" t="n">
        <x:f>H301-G301</x:f>
        <x:v>0</x:v>
      </x:c>
      <x:c r="J301" s="14" t="n">
        <x:v>45148</x:v>
      </x:c>
      <x:c r="K301" s="14" t="n">
        <x:f>INT(H301*'공식·설정'!$B$10/'공식·설정'!$B$15)</x:f>
        <x:v>45148</x:v>
      </x:c>
      <x:c r="L301" s="68" t="n">
        <x:f>K301-J301</x:f>
        <x:v>0</x:v>
      </x:c>
      <x:c r="M301" s="65" t="n">
        <x:f>J301/'공식·설정'!$B$7</x:f>
        <x:v>176.359375</x:v>
      </x:c>
      <x:c r="N301" s="65" t="n">
        <x:f>K301/'공식·설정'!$B$7</x:f>
        <x:v>176.359375</x:v>
      </x:c>
      <x:c r="O301" s="14" t="n">
        <x:v>18</x:v>
      </x:c>
      <x:c r="P301" s="14" t="n">
        <x:f>MIN(32767,MAX(0,INT((K301+INT('공식·설정'!$B$12/2))/'공식·설정'!$B$12)))</x:f>
        <x:v>18</x:v>
      </x:c>
      <x:c r="Q301" s="68" t="n">
        <x:f>P301-O301</x:f>
        <x:v>0</x:v>
      </x:c>
      <x:c r="R301" s="14" t="n">
        <x:v>54528</x:v>
      </x:c>
      <x:c r="S301" s="14" t="n">
        <x:f>P301*'공식·설정'!$B$12+'공식·설정'!$B$14</x:f>
        <x:v>54528</x:v>
      </x:c>
      <x:c r="T301" s="68" t="n">
        <x:f>S301-R301</x:f>
        <x:v>0</x:v>
      </x:c>
      <x:c r="U301" s="65" t="n">
        <x:f>R301/'공식·설정'!$B$7</x:f>
        <x:v>213</x:v>
      </x:c>
      <x:c r="V301" s="65" t="n">
        <x:f>S301/'공식·설정'!$B$7</x:f>
        <x:v>213</x:v>
      </x:c>
      <x:c r="W301" s="14" t="n">
        <x:v>680</x:v>
      </x:c>
      <x:c r="X301" s="14" t="n">
        <x:f>INT(ABS(K302-K301)*'공식·설정'!$B$8/K301)</x:f>
        <x:v>680</x:v>
      </x:c>
      <x:c r="Y301" s="68" t="n">
        <x:f>X301-W301</x:f>
        <x:v>0</x:v>
      </x:c>
      <x:c r="Z301" s="66" t="n">
        <x:f>W301/'공식·설정'!$B$8</x:f>
        <x:v>0.0103759765625</x:v>
      </x:c>
      <x:c r="AA301" s="66" t="n">
        <x:f>X301/'공식·설정'!$B$8</x:f>
        <x:v>0.0103759765625</x:v>
      </x:c>
      <x:c r="AB301" s="67" t="str">
        <x:f>IF(AND(I301=0,L301=0,Q301=0,T301=0,Y301=0),"PASS","FAIL")</x:f>
        <x:v>PASS</x:v>
      </x:c>
    </x:row>
    <x:row r="302" ht="18" customHeight="1">
      <x:c r="A302" s="14" t="n">
        <x:v>405</x:v>
      </x:c>
      <x:c r="B302" s="14" t="n">
        <x:v>297</x:v>
      </x:c>
      <x:c r="C302" s="14" t="n">
        <x:v>392</x:v>
      </x:c>
      <x:c r="D302" s="14" t="n">
        <x:v>6074</x:v>
      </x:c>
      <x:c r="E302" s="14" t="n">
        <x:v>406</x:v>
      </x:c>
      <x:c r="F302" s="14" t="n">
        <x:v>7079</x:v>
      </x:c>
      <x:c r="G302" s="14" t="n">
        <x:v>7007</x:v>
      </x:c>
      <x:c r="H302" s="14" t="n">
        <x:f>INT((F302-D302)*(A302-C302)/(E302-C302))+D302</x:f>
        <x:v>7007</x:v>
      </x:c>
      <x:c r="I302" s="68" t="n">
        <x:f>H302-G302</x:f>
        <x:v>0</x:v>
      </x:c>
      <x:c r="J302" s="14" t="n">
        <x:v>45617</x:v>
      </x:c>
      <x:c r="K302" s="14" t="n">
        <x:f>INT(H302*'공식·설정'!$B$10/'공식·설정'!$B$15)</x:f>
        <x:v>45617</x:v>
      </x:c>
      <x:c r="L302" s="68" t="n">
        <x:f>K302-J302</x:f>
        <x:v>0</x:v>
      </x:c>
      <x:c r="M302" s="65" t="n">
        <x:f>J302/'공식·설정'!$B$7</x:f>
        <x:v>178.19140625</x:v>
      </x:c>
      <x:c r="N302" s="65" t="n">
        <x:f>K302/'공식·설정'!$B$7</x:f>
        <x:v>178.19140625</x:v>
      </x:c>
      <x:c r="O302" s="14" t="n">
        <x:v>18</x:v>
      </x:c>
      <x:c r="P302" s="14" t="n">
        <x:f>MIN(32767,MAX(0,INT((K302+INT('공식·설정'!$B$12/2))/'공식·설정'!$B$12)))</x:f>
        <x:v>18</x:v>
      </x:c>
      <x:c r="Q302" s="68" t="n">
        <x:f>P302-O302</x:f>
        <x:v>0</x:v>
      </x:c>
      <x:c r="R302" s="14" t="n">
        <x:v>54528</x:v>
      </x:c>
      <x:c r="S302" s="14" t="n">
        <x:f>P302*'공식·설정'!$B$12+'공식·설정'!$B$14</x:f>
        <x:v>54528</x:v>
      </x:c>
      <x:c r="T302" s="68" t="n">
        <x:f>S302-R302</x:f>
        <x:v>0</x:v>
      </x:c>
      <x:c r="U302" s="65" t="n">
        <x:f>R302/'공식·설정'!$B$7</x:f>
        <x:v>213</x:v>
      </x:c>
      <x:c r="V302" s="65" t="n">
        <x:f>S302/'공식·설정'!$B$7</x:f>
        <x:v>213</x:v>
      </x:c>
      <x:c r="W302" s="14" t="n">
        <x:v>673</x:v>
      </x:c>
      <x:c r="X302" s="14" t="n">
        <x:f>INT(ABS(K303-K302)*'공식·설정'!$B$8/K302)</x:f>
        <x:v>673</x:v>
      </x:c>
      <x:c r="Y302" s="68" t="n">
        <x:f>X302-W302</x:f>
        <x:v>0</x:v>
      </x:c>
      <x:c r="Z302" s="66" t="n">
        <x:f>W302/'공식·설정'!$B$8</x:f>
        <x:v>0.0102691650390625</x:v>
      </x:c>
      <x:c r="AA302" s="66" t="n">
        <x:f>X302/'공식·설정'!$B$8</x:f>
        <x:v>0.0102691650390625</x:v>
      </x:c>
      <x:c r="AB302" s="67" t="str">
        <x:f>IF(AND(I302=0,L302=0,Q302=0,T302=0,Y302=0),"PASS","FAIL")</x:f>
        <x:v>PASS</x:v>
      </x:c>
    </x:row>
    <x:row r="303" ht="18" customHeight="1">
      <x:c r="A303" s="14" t="n">
        <x:v>406</x:v>
      </x:c>
      <x:c r="B303" s="14" t="n">
        <x:v>298</x:v>
      </x:c>
      <x:c r="C303" s="14" t="n">
        <x:v>406</x:v>
      </x:c>
      <x:c r="D303" s="14" t="n">
        <x:v>7079</x:v>
      </x:c>
      <x:c r="E303" s="14" t="n">
        <x:v>420</x:v>
      </x:c>
      <x:c r="F303" s="14" t="n">
        <x:v>8248</x:v>
      </x:c>
      <x:c r="G303" s="14" t="n">
        <x:v>7079</x:v>
      </x:c>
      <x:c r="H303" s="14" t="n">
        <x:f>INT((F303-D303)*(A303-C303)/(E303-C303))+D303</x:f>
        <x:v>7079</x:v>
      </x:c>
      <x:c r="I303" s="68" t="n">
        <x:f>H303-G303</x:f>
        <x:v>0</x:v>
      </x:c>
      <x:c r="J303" s="14" t="n">
        <x:v>46086</x:v>
      </x:c>
      <x:c r="K303" s="14" t="n">
        <x:f>INT(H303*'공식·설정'!$B$10/'공식·설정'!$B$15)</x:f>
        <x:v>46086</x:v>
      </x:c>
      <x:c r="L303" s="68" t="n">
        <x:f>K303-J303</x:f>
        <x:v>0</x:v>
      </x:c>
      <x:c r="M303" s="65" t="n">
        <x:f>J303/'공식·설정'!$B$7</x:f>
        <x:v>180.0234375</x:v>
      </x:c>
      <x:c r="N303" s="65" t="n">
        <x:f>K303/'공식·설정'!$B$7</x:f>
        <x:v>180.0234375</x:v>
      </x:c>
      <x:c r="O303" s="14" t="n">
        <x:v>18</x:v>
      </x:c>
      <x:c r="P303" s="14" t="n">
        <x:f>MIN(32767,MAX(0,INT((K303+INT('공식·설정'!$B$12/2))/'공식·설정'!$B$12)))</x:f>
        <x:v>18</x:v>
      </x:c>
      <x:c r="Q303" s="68" t="n">
        <x:f>P303-O303</x:f>
        <x:v>0</x:v>
      </x:c>
      <x:c r="R303" s="14" t="n">
        <x:v>54528</x:v>
      </x:c>
      <x:c r="S303" s="14" t="n">
        <x:f>P303*'공식·설정'!$B$12+'공식·설정'!$B$14</x:f>
        <x:v>54528</x:v>
      </x:c>
      <x:c r="T303" s="68" t="n">
        <x:f>S303-R303</x:f>
        <x:v>0</x:v>
      </x:c>
      <x:c r="U303" s="65" t="n">
        <x:f>R303/'공식·설정'!$B$7</x:f>
        <x:v>213</x:v>
      </x:c>
      <x:c r="V303" s="65" t="n">
        <x:f>S303/'공식·설정'!$B$7</x:f>
        <x:v>213</x:v>
      </x:c>
      <x:c r="W303" s="14" t="n">
        <x:v>767</x:v>
      </x:c>
      <x:c r="X303" s="14" t="n">
        <x:f>INT(ABS(K304-K303)*'공식·설정'!$B$8/K303)</x:f>
        <x:v>767</x:v>
      </x:c>
      <x:c r="Y303" s="68" t="n">
        <x:f>X303-W303</x:f>
        <x:v>0</x:v>
      </x:c>
      <x:c r="Z303" s="66" t="n">
        <x:f>W303/'공식·설정'!$B$8</x:f>
        <x:v>0.0117034912109375</x:v>
      </x:c>
      <x:c r="AA303" s="66" t="n">
        <x:f>X303/'공식·설정'!$B$8</x:f>
        <x:v>0.0117034912109375</x:v>
      </x:c>
      <x:c r="AB303" s="67" t="str">
        <x:f>IF(AND(I303=0,L303=0,Q303=0,T303=0,Y303=0),"PASS","FAIL")</x:f>
        <x:v>PASS</x:v>
      </x:c>
    </x:row>
    <x:row r="304" ht="18" customHeight="1">
      <x:c r="A304" s="14" t="n">
        <x:v>407</x:v>
      </x:c>
      <x:c r="B304" s="14" t="n">
        <x:v>299</x:v>
      </x:c>
      <x:c r="C304" s="14" t="n">
        <x:v>406</x:v>
      </x:c>
      <x:c r="D304" s="14" t="n">
        <x:v>7079</x:v>
      </x:c>
      <x:c r="E304" s="14" t="n">
        <x:v>420</x:v>
      </x:c>
      <x:c r="F304" s="14" t="n">
        <x:v>8248</x:v>
      </x:c>
      <x:c r="G304" s="14" t="n">
        <x:v>7162</x:v>
      </x:c>
      <x:c r="H304" s="14" t="n">
        <x:f>INT((F304-D304)*(A304-C304)/(E304-C304))+D304</x:f>
        <x:v>7162</x:v>
      </x:c>
      <x:c r="I304" s="68" t="n">
        <x:f>H304-G304</x:f>
        <x:v>0</x:v>
      </x:c>
      <x:c r="J304" s="14" t="n">
        <x:v>46626</x:v>
      </x:c>
      <x:c r="K304" s="14" t="n">
        <x:f>INT(H304*'공식·설정'!$B$10/'공식·설정'!$B$15)</x:f>
        <x:v>46626</x:v>
      </x:c>
      <x:c r="L304" s="68" t="n">
        <x:f>K304-J304</x:f>
        <x:v>0</x:v>
      </x:c>
      <x:c r="M304" s="65" t="n">
        <x:f>J304/'공식·설정'!$B$7</x:f>
        <x:v>182.1328125</x:v>
      </x:c>
      <x:c r="N304" s="65" t="n">
        <x:f>K304/'공식·설정'!$B$7</x:f>
        <x:v>182.1328125</x:v>
      </x:c>
      <x:c r="O304" s="14" t="n">
        <x:v>18</x:v>
      </x:c>
      <x:c r="P304" s="14" t="n">
        <x:f>MIN(32767,MAX(0,INT((K304+INT('공식·설정'!$B$12/2))/'공식·설정'!$B$12)))</x:f>
        <x:v>18</x:v>
      </x:c>
      <x:c r="Q304" s="68" t="n">
        <x:f>P304-O304</x:f>
        <x:v>0</x:v>
      </x:c>
      <x:c r="R304" s="14" t="n">
        <x:v>54528</x:v>
      </x:c>
      <x:c r="S304" s="14" t="n">
        <x:f>P304*'공식·설정'!$B$12+'공식·설정'!$B$14</x:f>
        <x:v>54528</x:v>
      </x:c>
      <x:c r="T304" s="68" t="n">
        <x:f>S304-R304</x:f>
        <x:v>0</x:v>
      </x:c>
      <x:c r="U304" s="65" t="n">
        <x:f>R304/'공식·설정'!$B$7</x:f>
        <x:v>213</x:v>
      </x:c>
      <x:c r="V304" s="65" t="n">
        <x:f>S304/'공식·설정'!$B$7</x:f>
        <x:v>213</x:v>
      </x:c>
      <x:c r="W304" s="14" t="n">
        <x:v>768</x:v>
      </x:c>
      <x:c r="X304" s="14" t="n">
        <x:f>INT(ABS(K305-K304)*'공식·설정'!$B$8/K304)</x:f>
        <x:v>768</x:v>
      </x:c>
      <x:c r="Y304" s="68" t="n">
        <x:f>X304-W304</x:f>
        <x:v>0</x:v>
      </x:c>
      <x:c r="Z304" s="66" t="n">
        <x:f>W304/'공식·설정'!$B$8</x:f>
        <x:v>0.01171875</x:v>
      </x:c>
      <x:c r="AA304" s="66" t="n">
        <x:f>X304/'공식·설정'!$B$8</x:f>
        <x:v>0.01171875</x:v>
      </x:c>
      <x:c r="AB304" s="67" t="str">
        <x:f>IF(AND(I304=0,L304=0,Q304=0,T304=0,Y304=0),"PASS","FAIL")</x:f>
        <x:v>PASS</x:v>
      </x:c>
    </x:row>
    <x:row r="305" ht="18" customHeight="1">
      <x:c r="A305" s="14" t="n">
        <x:v>408</x:v>
      </x:c>
      <x:c r="B305" s="14" t="n">
        <x:v>300</x:v>
      </x:c>
      <x:c r="C305" s="14" t="n">
        <x:v>406</x:v>
      </x:c>
      <x:c r="D305" s="14" t="n">
        <x:v>7079</x:v>
      </x:c>
      <x:c r="E305" s="14" t="n">
        <x:v>420</x:v>
      </x:c>
      <x:c r="F305" s="14" t="n">
        <x:v>8248</x:v>
      </x:c>
      <x:c r="G305" s="14" t="n">
        <x:v>7246</x:v>
      </x:c>
      <x:c r="H305" s="14" t="n">
        <x:f>INT((F305-D305)*(A305-C305)/(E305-C305))+D305</x:f>
        <x:v>7246</x:v>
      </x:c>
      <x:c r="I305" s="68" t="n">
        <x:f>H305-G305</x:f>
        <x:v>0</x:v>
      </x:c>
      <x:c r="J305" s="14" t="n">
        <x:v>47173</x:v>
      </x:c>
      <x:c r="K305" s="14" t="n">
        <x:f>INT(H305*'공식·설정'!$B$10/'공식·설정'!$B$15)</x:f>
        <x:v>47173</x:v>
      </x:c>
      <x:c r="L305" s="68" t="n">
        <x:f>K305-J305</x:f>
        <x:v>0</x:v>
      </x:c>
      <x:c r="M305" s="65" t="n">
        <x:f>J305/'공식·설정'!$B$7</x:f>
        <x:v>184.26953125</x:v>
      </x:c>
      <x:c r="N305" s="65" t="n">
        <x:f>K305/'공식·설정'!$B$7</x:f>
        <x:v>184.26953125</x:v>
      </x:c>
      <x:c r="O305" s="14" t="n">
        <x:v>18</x:v>
      </x:c>
      <x:c r="P305" s="14" t="n">
        <x:f>MIN(32767,MAX(0,INT((K305+INT('공식·설정'!$B$12/2))/'공식·설정'!$B$12)))</x:f>
        <x:v>18</x:v>
      </x:c>
      <x:c r="Q305" s="68" t="n">
        <x:f>P305-O305</x:f>
        <x:v>0</x:v>
      </x:c>
      <x:c r="R305" s="14" t="n">
        <x:v>54528</x:v>
      </x:c>
      <x:c r="S305" s="14" t="n">
        <x:f>P305*'공식·설정'!$B$12+'공식·설정'!$B$14</x:f>
        <x:v>54528</x:v>
      </x:c>
      <x:c r="T305" s="68" t="n">
        <x:f>S305-R305</x:f>
        <x:v>0</x:v>
      </x:c>
      <x:c r="U305" s="65" t="n">
        <x:f>R305/'공식·설정'!$B$7</x:f>
        <x:v>213</x:v>
      </x:c>
      <x:c r="V305" s="65" t="n">
        <x:f>S305/'공식·설정'!$B$7</x:f>
        <x:v>213</x:v>
      </x:c>
      <x:c r="W305" s="14" t="n">
        <x:v>750</x:v>
      </x:c>
      <x:c r="X305" s="14" t="n">
        <x:f>INT(ABS(K306-K305)*'공식·설정'!$B$8/K305)</x:f>
        <x:v>750</x:v>
      </x:c>
      <x:c r="Y305" s="68" t="n">
        <x:f>X305-W305</x:f>
        <x:v>0</x:v>
      </x:c>
      <x:c r="Z305" s="66" t="n">
        <x:f>W305/'공식·설정'!$B$8</x:f>
        <x:v>0.011444091796875</x:v>
      </x:c>
      <x:c r="AA305" s="66" t="n">
        <x:f>X305/'공식·설정'!$B$8</x:f>
        <x:v>0.011444091796875</x:v>
      </x:c>
      <x:c r="AB305" s="67" t="str">
        <x:f>IF(AND(I305=0,L305=0,Q305=0,T305=0,Y305=0),"PASS","FAIL")</x:f>
        <x:v>PASS</x:v>
      </x:c>
    </x:row>
    <x:row r="306" ht="18" customHeight="1">
      <x:c r="A306" s="14" t="n">
        <x:v>409</x:v>
      </x:c>
      <x:c r="B306" s="14" t="n">
        <x:v>301</x:v>
      </x:c>
      <x:c r="C306" s="14" t="n">
        <x:v>406</x:v>
      </x:c>
      <x:c r="D306" s="14" t="n">
        <x:v>7079</x:v>
      </x:c>
      <x:c r="E306" s="14" t="n">
        <x:v>420</x:v>
      </x:c>
      <x:c r="F306" s="14" t="n">
        <x:v>8248</x:v>
      </x:c>
      <x:c r="G306" s="14" t="n">
        <x:v>7329</x:v>
      </x:c>
      <x:c r="H306" s="14" t="n">
        <x:f>INT((F306-D306)*(A306-C306)/(E306-C306))+D306</x:f>
        <x:v>7329</x:v>
      </x:c>
      <x:c r="I306" s="68" t="n">
        <x:f>H306-G306</x:f>
        <x:v>0</x:v>
      </x:c>
      <x:c r="J306" s="14" t="n">
        <x:v>47713</x:v>
      </x:c>
      <x:c r="K306" s="14" t="n">
        <x:f>INT(H306*'공식·설정'!$B$10/'공식·설정'!$B$15)</x:f>
        <x:v>47713</x:v>
      </x:c>
      <x:c r="L306" s="68" t="n">
        <x:f>K306-J306</x:f>
        <x:v>0</x:v>
      </x:c>
      <x:c r="M306" s="65" t="n">
        <x:f>J306/'공식·설정'!$B$7</x:f>
        <x:v>186.37890625</x:v>
      </x:c>
      <x:c r="N306" s="65" t="n">
        <x:f>K306/'공식·설정'!$B$7</x:f>
        <x:v>186.37890625</x:v>
      </x:c>
      <x:c r="O306" s="14" t="n">
        <x:v>19</x:v>
      </x:c>
      <x:c r="P306" s="14" t="n">
        <x:f>MIN(32767,MAX(0,INT((K306+INT('공식·설정'!$B$12/2))/'공식·설정'!$B$12)))</x:f>
        <x:v>19</x:v>
      </x:c>
      <x:c r="Q306" s="68" t="n">
        <x:f>P306-O306</x:f>
        <x:v>0</x:v>
      </x:c>
      <x:c r="R306" s="14" t="n">
        <x:v>57088</x:v>
      </x:c>
      <x:c r="S306" s="14" t="n">
        <x:f>P306*'공식·설정'!$B$12+'공식·설정'!$B$14</x:f>
        <x:v>57088</x:v>
      </x:c>
      <x:c r="T306" s="68" t="n">
        <x:f>S306-R306</x:f>
        <x:v>0</x:v>
      </x:c>
      <x:c r="U306" s="65" t="n">
        <x:f>R306/'공식·설정'!$B$7</x:f>
        <x:v>223</x:v>
      </x:c>
      <x:c r="V306" s="65" t="n">
        <x:f>S306/'공식·설정'!$B$7</x:f>
        <x:v>223</x:v>
      </x:c>
      <x:c r="W306" s="14" t="n">
        <x:v>751</x:v>
      </x:c>
      <x:c r="X306" s="14" t="n">
        <x:f>INT(ABS(K307-K306)*'공식·설정'!$B$8/K306)</x:f>
        <x:v>751</x:v>
      </x:c>
      <x:c r="Y306" s="68" t="n">
        <x:f>X306-W306</x:f>
        <x:v>0</x:v>
      </x:c>
      <x:c r="Z306" s="66" t="n">
        <x:f>W306/'공식·설정'!$B$8</x:f>
        <x:v>0.0114593505859375</x:v>
      </x:c>
      <x:c r="AA306" s="66" t="n">
        <x:f>X306/'공식·설정'!$B$8</x:f>
        <x:v>0.0114593505859375</x:v>
      </x:c>
      <x:c r="AB306" s="67" t="str">
        <x:f>IF(AND(I306=0,L306=0,Q306=0,T306=0,Y306=0),"PASS","FAIL")</x:f>
        <x:v>PASS</x:v>
      </x:c>
    </x:row>
    <x:row r="307" ht="18" customHeight="1">
      <x:c r="A307" s="14" t="n">
        <x:v>410</x:v>
      </x:c>
      <x:c r="B307" s="14" t="n">
        <x:v>302</x:v>
      </x:c>
      <x:c r="C307" s="14" t="n">
        <x:v>406</x:v>
      </x:c>
      <x:c r="D307" s="14" t="n">
        <x:v>7079</x:v>
      </x:c>
      <x:c r="E307" s="14" t="n">
        <x:v>420</x:v>
      </x:c>
      <x:c r="F307" s="14" t="n">
        <x:v>8248</x:v>
      </x:c>
      <x:c r="G307" s="14" t="n">
        <x:v>7413</x:v>
      </x:c>
      <x:c r="H307" s="14" t="n">
        <x:f>INT((F307-D307)*(A307-C307)/(E307-C307))+D307</x:f>
        <x:v>7413</x:v>
      </x:c>
      <x:c r="I307" s="68" t="n">
        <x:f>H307-G307</x:f>
        <x:v>0</x:v>
      </x:c>
      <x:c r="J307" s="14" t="n">
        <x:v>48260</x:v>
      </x:c>
      <x:c r="K307" s="14" t="n">
        <x:f>INT(H307*'공식·설정'!$B$10/'공식·설정'!$B$15)</x:f>
        <x:v>48260</x:v>
      </x:c>
      <x:c r="L307" s="68" t="n">
        <x:f>K307-J307</x:f>
        <x:v>0</x:v>
      </x:c>
      <x:c r="M307" s="65" t="n">
        <x:f>J307/'공식·설정'!$B$7</x:f>
        <x:v>188.515625</x:v>
      </x:c>
      <x:c r="N307" s="65" t="n">
        <x:f>K307/'공식·설정'!$B$7</x:f>
        <x:v>188.515625</x:v>
      </x:c>
      <x:c r="O307" s="14" t="n">
        <x:v>19</x:v>
      </x:c>
      <x:c r="P307" s="14" t="n">
        <x:f>MIN(32767,MAX(0,INT((K307+INT('공식·설정'!$B$12/2))/'공식·설정'!$B$12)))</x:f>
        <x:v>19</x:v>
      </x:c>
      <x:c r="Q307" s="68" t="n">
        <x:f>P307-O307</x:f>
        <x:v>0</x:v>
      </x:c>
      <x:c r="R307" s="14" t="n">
        <x:v>57088</x:v>
      </x:c>
      <x:c r="S307" s="14" t="n">
        <x:f>P307*'공식·설정'!$B$12+'공식·설정'!$B$14</x:f>
        <x:v>57088</x:v>
      </x:c>
      <x:c r="T307" s="68" t="n">
        <x:f>S307-R307</x:f>
        <x:v>0</x:v>
      </x:c>
      <x:c r="U307" s="65" t="n">
        <x:f>R307/'공식·설정'!$B$7</x:f>
        <x:v>223</x:v>
      </x:c>
      <x:c r="V307" s="65" t="n">
        <x:f>S307/'공식·설정'!$B$7</x:f>
        <x:v>223</x:v>
      </x:c>
      <x:c r="W307" s="14" t="n">
        <x:v>734</x:v>
      </x:c>
      <x:c r="X307" s="14" t="n">
        <x:f>INT(ABS(K308-K307)*'공식·설정'!$B$8/K307)</x:f>
        <x:v>734</x:v>
      </x:c>
      <x:c r="Y307" s="68" t="n">
        <x:f>X307-W307</x:f>
        <x:v>0</x:v>
      </x:c>
      <x:c r="Z307" s="66" t="n">
        <x:f>W307/'공식·설정'!$B$8</x:f>
        <x:v>0.011199951171875</x:v>
      </x:c>
      <x:c r="AA307" s="66" t="n">
        <x:f>X307/'공식·설정'!$B$8</x:f>
        <x:v>0.011199951171875</x:v>
      </x:c>
      <x:c r="AB307" s="67" t="str">
        <x:f>IF(AND(I307=0,L307=0,Q307=0,T307=0,Y307=0),"PASS","FAIL")</x:f>
        <x:v>PASS</x:v>
      </x:c>
    </x:row>
    <x:row r="308" ht="18" customHeight="1">
      <x:c r="A308" s="14" t="n">
        <x:v>411</x:v>
      </x:c>
      <x:c r="B308" s="14" t="n">
        <x:v>303</x:v>
      </x:c>
      <x:c r="C308" s="14" t="n">
        <x:v>406</x:v>
      </x:c>
      <x:c r="D308" s="14" t="n">
        <x:v>7079</x:v>
      </x:c>
      <x:c r="E308" s="14" t="n">
        <x:v>420</x:v>
      </x:c>
      <x:c r="F308" s="14" t="n">
        <x:v>8248</x:v>
      </x:c>
      <x:c r="G308" s="14" t="n">
        <x:v>7496</x:v>
      </x:c>
      <x:c r="H308" s="14" t="n">
        <x:f>INT((F308-D308)*(A308-C308)/(E308-C308))+D308</x:f>
        <x:v>7496</x:v>
      </x:c>
      <x:c r="I308" s="68" t="n">
        <x:f>H308-G308</x:f>
        <x:v>0</x:v>
      </x:c>
      <x:c r="J308" s="14" t="n">
        <x:v>48801</x:v>
      </x:c>
      <x:c r="K308" s="14" t="n">
        <x:f>INT(H308*'공식·설정'!$B$10/'공식·설정'!$B$15)</x:f>
        <x:v>48801</x:v>
      </x:c>
      <x:c r="L308" s="68" t="n">
        <x:f>K308-J308</x:f>
        <x:v>0</x:v>
      </x:c>
      <x:c r="M308" s="65" t="n">
        <x:f>J308/'공식·설정'!$B$7</x:f>
        <x:v>190.62890625</x:v>
      </x:c>
      <x:c r="N308" s="65" t="n">
        <x:f>K308/'공식·설정'!$B$7</x:f>
        <x:v>190.62890625</x:v>
      </x:c>
      <x:c r="O308" s="14" t="n">
        <x:v>19</x:v>
      </x:c>
      <x:c r="P308" s="14" t="n">
        <x:f>MIN(32767,MAX(0,INT((K308+INT('공식·설정'!$B$12/2))/'공식·설정'!$B$12)))</x:f>
        <x:v>19</x:v>
      </x:c>
      <x:c r="Q308" s="68" t="n">
        <x:f>P308-O308</x:f>
        <x:v>0</x:v>
      </x:c>
      <x:c r="R308" s="14" t="n">
        <x:v>57088</x:v>
      </x:c>
      <x:c r="S308" s="14" t="n">
        <x:f>P308*'공식·설정'!$B$12+'공식·설정'!$B$14</x:f>
        <x:v>57088</x:v>
      </x:c>
      <x:c r="T308" s="68" t="n">
        <x:f>S308-R308</x:f>
        <x:v>0</x:v>
      </x:c>
      <x:c r="U308" s="65" t="n">
        <x:f>R308/'공식·설정'!$B$7</x:f>
        <x:v>223</x:v>
      </x:c>
      <x:c r="V308" s="65" t="n">
        <x:f>S308/'공식·설정'!$B$7</x:f>
        <x:v>223</x:v>
      </x:c>
      <x:c r="W308" s="14" t="n">
        <x:v>733</x:v>
      </x:c>
      <x:c r="X308" s="14" t="n">
        <x:f>INT(ABS(K309-K308)*'공식·설정'!$B$8/K308)</x:f>
        <x:v>733</x:v>
      </x:c>
      <x:c r="Y308" s="68" t="n">
        <x:f>X308-W308</x:f>
        <x:v>0</x:v>
      </x:c>
      <x:c r="Z308" s="66" t="n">
        <x:f>W308/'공식·설정'!$B$8</x:f>
        <x:v>0.0111846923828125</x:v>
      </x:c>
      <x:c r="AA308" s="66" t="n">
        <x:f>X308/'공식·설정'!$B$8</x:f>
        <x:v>0.0111846923828125</x:v>
      </x:c>
      <x:c r="AB308" s="67" t="str">
        <x:f>IF(AND(I308=0,L308=0,Q308=0,T308=0,Y308=0),"PASS","FAIL")</x:f>
        <x:v>PASS</x:v>
      </x:c>
    </x:row>
    <x:row r="309" ht="18" customHeight="1">
      <x:c r="A309" s="14" t="n">
        <x:v>412</x:v>
      </x:c>
      <x:c r="B309" s="14" t="n">
        <x:v>304</x:v>
      </x:c>
      <x:c r="C309" s="14" t="n">
        <x:v>406</x:v>
      </x:c>
      <x:c r="D309" s="14" t="n">
        <x:v>7079</x:v>
      </x:c>
      <x:c r="E309" s="14" t="n">
        <x:v>420</x:v>
      </x:c>
      <x:c r="F309" s="14" t="n">
        <x:v>8248</x:v>
      </x:c>
      <x:c r="G309" s="14" t="n">
        <x:v>7580</x:v>
      </x:c>
      <x:c r="H309" s="14" t="n">
        <x:f>INT((F309-D309)*(A309-C309)/(E309-C309))+D309</x:f>
        <x:v>7580</x:v>
      </x:c>
      <x:c r="I309" s="68" t="n">
        <x:f>H309-G309</x:f>
        <x:v>0</x:v>
      </x:c>
      <x:c r="J309" s="14" t="n">
        <x:v>49347</x:v>
      </x:c>
      <x:c r="K309" s="14" t="n">
        <x:f>INT(H309*'공식·설정'!$B$10/'공식·설정'!$B$15)</x:f>
        <x:v>49347</x:v>
      </x:c>
      <x:c r="L309" s="68" t="n">
        <x:f>K309-J309</x:f>
        <x:v>0</x:v>
      </x:c>
      <x:c r="M309" s="65" t="n">
        <x:f>J309/'공식·설정'!$B$7</x:f>
        <x:v>192.76171875</x:v>
      </x:c>
      <x:c r="N309" s="65" t="n">
        <x:f>K309/'공식·설정'!$B$7</x:f>
        <x:v>192.76171875</x:v>
      </x:c>
      <x:c r="O309" s="14" t="n">
        <x:v>19</x:v>
      </x:c>
      <x:c r="P309" s="14" t="n">
        <x:f>MIN(32767,MAX(0,INT((K309+INT('공식·설정'!$B$12/2))/'공식·설정'!$B$12)))</x:f>
        <x:v>19</x:v>
      </x:c>
      <x:c r="Q309" s="68" t="n">
        <x:f>P309-O309</x:f>
        <x:v>0</x:v>
      </x:c>
      <x:c r="R309" s="14" t="n">
        <x:v>57088</x:v>
      </x:c>
      <x:c r="S309" s="14" t="n">
        <x:f>P309*'공식·설정'!$B$12+'공식·설정'!$B$14</x:f>
        <x:v>57088</x:v>
      </x:c>
      <x:c r="T309" s="68" t="n">
        <x:f>S309-R309</x:f>
        <x:v>0</x:v>
      </x:c>
      <x:c r="U309" s="65" t="n">
        <x:f>R309/'공식·설정'!$B$7</x:f>
        <x:v>223</x:v>
      </x:c>
      <x:c r="V309" s="65" t="n">
        <x:f>S309/'공식·설정'!$B$7</x:f>
        <x:v>223</x:v>
      </x:c>
      <x:c r="W309" s="14" t="n">
        <x:v>718</x:v>
      </x:c>
      <x:c r="X309" s="14" t="n">
        <x:f>INT(ABS(K310-K309)*'공식·설정'!$B$8/K309)</x:f>
        <x:v>718</x:v>
      </x:c>
      <x:c r="Y309" s="68" t="n">
        <x:f>X309-W309</x:f>
        <x:v>0</x:v>
      </x:c>
      <x:c r="Z309" s="66" t="n">
        <x:f>W309/'공식·설정'!$B$8</x:f>
        <x:v>0.010955810546875</x:v>
      </x:c>
      <x:c r="AA309" s="66" t="n">
        <x:f>X309/'공식·설정'!$B$8</x:f>
        <x:v>0.010955810546875</x:v>
      </x:c>
      <x:c r="AB309" s="67" t="str">
        <x:f>IF(AND(I309=0,L309=0,Q309=0,T309=0,Y309=0),"PASS","FAIL")</x:f>
        <x:v>PASS</x:v>
      </x:c>
    </x:row>
    <x:row r="310" ht="18" customHeight="1">
      <x:c r="A310" s="14" t="n">
        <x:v>413</x:v>
      </x:c>
      <x:c r="B310" s="14" t="n">
        <x:v>305</x:v>
      </x:c>
      <x:c r="C310" s="14" t="n">
        <x:v>406</x:v>
      </x:c>
      <x:c r="D310" s="14" t="n">
        <x:v>7079</x:v>
      </x:c>
      <x:c r="E310" s="14" t="n">
        <x:v>420</x:v>
      </x:c>
      <x:c r="F310" s="14" t="n">
        <x:v>8248</x:v>
      </x:c>
      <x:c r="G310" s="14" t="n">
        <x:v>7663</x:v>
      </x:c>
      <x:c r="H310" s="14" t="n">
        <x:f>INT((F310-D310)*(A310-C310)/(E310-C310))+D310</x:f>
        <x:v>7663</x:v>
      </x:c>
      <x:c r="I310" s="68" t="n">
        <x:f>H310-G310</x:f>
        <x:v>0</x:v>
      </x:c>
      <x:c r="J310" s="14" t="n">
        <x:v>49888</x:v>
      </x:c>
      <x:c r="K310" s="14" t="n">
        <x:f>INT(H310*'공식·설정'!$B$10/'공식·설정'!$B$15)</x:f>
        <x:v>49888</x:v>
      </x:c>
      <x:c r="L310" s="68" t="n">
        <x:f>K310-J310</x:f>
        <x:v>0</x:v>
      </x:c>
      <x:c r="M310" s="65" t="n">
        <x:f>J310/'공식·설정'!$B$7</x:f>
        <x:v>194.875</x:v>
      </x:c>
      <x:c r="N310" s="65" t="n">
        <x:f>K310/'공식·설정'!$B$7</x:f>
        <x:v>194.875</x:v>
      </x:c>
      <x:c r="O310" s="14" t="n">
        <x:v>19</x:v>
      </x:c>
      <x:c r="P310" s="14" t="n">
        <x:f>MIN(32767,MAX(0,INT((K310+INT('공식·설정'!$B$12/2))/'공식·설정'!$B$12)))</x:f>
        <x:v>19</x:v>
      </x:c>
      <x:c r="Q310" s="68" t="n">
        <x:f>P310-O310</x:f>
        <x:v>0</x:v>
      </x:c>
      <x:c r="R310" s="14" t="n">
        <x:v>57088</x:v>
      </x:c>
      <x:c r="S310" s="14" t="n">
        <x:f>P310*'공식·설정'!$B$12+'공식·설정'!$B$14</x:f>
        <x:v>57088</x:v>
      </x:c>
      <x:c r="T310" s="68" t="n">
        <x:f>S310-R310</x:f>
        <x:v>0</x:v>
      </x:c>
      <x:c r="U310" s="65" t="n">
        <x:f>R310/'공식·설정'!$B$7</x:f>
        <x:v>223</x:v>
      </x:c>
      <x:c r="V310" s="65" t="n">
        <x:f>S310/'공식·설정'!$B$7</x:f>
        <x:v>223</x:v>
      </x:c>
      <x:c r="W310" s="14" t="n">
        <x:v>718</x:v>
      </x:c>
      <x:c r="X310" s="14" t="n">
        <x:f>INT(ABS(K311-K310)*'공식·설정'!$B$8/K310)</x:f>
        <x:v>718</x:v>
      </x:c>
      <x:c r="Y310" s="68" t="n">
        <x:f>X310-W310</x:f>
        <x:v>0</x:v>
      </x:c>
      <x:c r="Z310" s="66" t="n">
        <x:f>W310/'공식·설정'!$B$8</x:f>
        <x:v>0.010955810546875</x:v>
      </x:c>
      <x:c r="AA310" s="66" t="n">
        <x:f>X310/'공식·설정'!$B$8</x:f>
        <x:v>0.010955810546875</x:v>
      </x:c>
      <x:c r="AB310" s="67" t="str">
        <x:f>IF(AND(I310=0,L310=0,Q310=0,T310=0,Y310=0),"PASS","FAIL")</x:f>
        <x:v>PASS</x:v>
      </x:c>
    </x:row>
    <x:row r="311" ht="18" customHeight="1">
      <x:c r="A311" s="14" t="n">
        <x:v>414</x:v>
      </x:c>
      <x:c r="B311" s="14" t="n">
        <x:v>306</x:v>
      </x:c>
      <x:c r="C311" s="14" t="n">
        <x:v>406</x:v>
      </x:c>
      <x:c r="D311" s="14" t="n">
        <x:v>7079</x:v>
      </x:c>
      <x:c r="E311" s="14" t="n">
        <x:v>420</x:v>
      </x:c>
      <x:c r="F311" s="14" t="n">
        <x:v>8248</x:v>
      </x:c>
      <x:c r="G311" s="14" t="n">
        <x:v>7747</x:v>
      </x:c>
      <x:c r="H311" s="14" t="n">
        <x:f>INT((F311-D311)*(A311-C311)/(E311-C311))+D311</x:f>
        <x:v>7747</x:v>
      </x:c>
      <x:c r="I311" s="68" t="n">
        <x:f>H311-G311</x:f>
        <x:v>0</x:v>
      </x:c>
      <x:c r="J311" s="14" t="n">
        <x:v>50435</x:v>
      </x:c>
      <x:c r="K311" s="14" t="n">
        <x:f>INT(H311*'공식·설정'!$B$10/'공식·설정'!$B$15)</x:f>
        <x:v>50435</x:v>
      </x:c>
      <x:c r="L311" s="68" t="n">
        <x:f>K311-J311</x:f>
        <x:v>0</x:v>
      </x:c>
      <x:c r="M311" s="65" t="n">
        <x:f>J311/'공식·설정'!$B$7</x:f>
        <x:v>197.01171875</x:v>
      </x:c>
      <x:c r="N311" s="65" t="n">
        <x:f>K311/'공식·설정'!$B$7</x:f>
        <x:v>197.01171875</x:v>
      </x:c>
      <x:c r="O311" s="14" t="n">
        <x:v>20</x:v>
      </x:c>
      <x:c r="P311" s="14" t="n">
        <x:f>MIN(32767,MAX(0,INT((K311+INT('공식·설정'!$B$12/2))/'공식·설정'!$B$12)))</x:f>
        <x:v>20</x:v>
      </x:c>
      <x:c r="Q311" s="68" t="n">
        <x:f>P311-O311</x:f>
        <x:v>0</x:v>
      </x:c>
      <x:c r="R311" s="14" t="n">
        <x:v>59648</x:v>
      </x:c>
      <x:c r="S311" s="14" t="n">
        <x:f>P311*'공식·설정'!$B$12+'공식·설정'!$B$14</x:f>
        <x:v>59648</x:v>
      </x:c>
      <x:c r="T311" s="68" t="n">
        <x:f>S311-R311</x:f>
        <x:v>0</x:v>
      </x:c>
      <x:c r="U311" s="65" t="n">
        <x:f>R311/'공식·설정'!$B$7</x:f>
        <x:v>233</x:v>
      </x:c>
      <x:c r="V311" s="65" t="n">
        <x:f>S311/'공식·설정'!$B$7</x:f>
        <x:v>233</x:v>
      </x:c>
      <x:c r="W311" s="14" t="n">
        <x:v>701</x:v>
      </x:c>
      <x:c r="X311" s="14" t="n">
        <x:f>INT(ABS(K312-K311)*'공식·설정'!$B$8/K311)</x:f>
        <x:v>701</x:v>
      </x:c>
      <x:c r="Y311" s="68" t="n">
        <x:f>X311-W311</x:f>
        <x:v>0</x:v>
      </x:c>
      <x:c r="Z311" s="66" t="n">
        <x:f>W311/'공식·설정'!$B$8</x:f>
        <x:v>0.0106964111328125</x:v>
      </x:c>
      <x:c r="AA311" s="66" t="n">
        <x:f>X311/'공식·설정'!$B$8</x:f>
        <x:v>0.0106964111328125</x:v>
      </x:c>
      <x:c r="AB311" s="67" t="str">
        <x:f>IF(AND(I311=0,L311=0,Q311=0,T311=0,Y311=0),"PASS","FAIL")</x:f>
        <x:v>PASS</x:v>
      </x:c>
    </x:row>
    <x:row r="312" ht="18" customHeight="1">
      <x:c r="A312" s="14" t="n">
        <x:v>415</x:v>
      </x:c>
      <x:c r="B312" s="14" t="n">
        <x:v>307</x:v>
      </x:c>
      <x:c r="C312" s="14" t="n">
        <x:v>406</x:v>
      </x:c>
      <x:c r="D312" s="14" t="n">
        <x:v>7079</x:v>
      </x:c>
      <x:c r="E312" s="14" t="n">
        <x:v>420</x:v>
      </x:c>
      <x:c r="F312" s="14" t="n">
        <x:v>8248</x:v>
      </x:c>
      <x:c r="G312" s="14" t="n">
        <x:v>7830</x:v>
      </x:c>
      <x:c r="H312" s="14" t="n">
        <x:f>INT((F312-D312)*(A312-C312)/(E312-C312))+D312</x:f>
        <x:v>7830</x:v>
      </x:c>
      <x:c r="I312" s="68" t="n">
        <x:f>H312-G312</x:f>
        <x:v>0</x:v>
      </x:c>
      <x:c r="J312" s="14" t="n">
        <x:v>50975</x:v>
      </x:c>
      <x:c r="K312" s="14" t="n">
        <x:f>INT(H312*'공식·설정'!$B$10/'공식·설정'!$B$15)</x:f>
        <x:v>50975</x:v>
      </x:c>
      <x:c r="L312" s="68" t="n">
        <x:f>K312-J312</x:f>
        <x:v>0</x:v>
      </x:c>
      <x:c r="M312" s="65" t="n">
        <x:f>J312/'공식·설정'!$B$7</x:f>
        <x:v>199.12109375</x:v>
      </x:c>
      <x:c r="N312" s="65" t="n">
        <x:f>K312/'공식·설정'!$B$7</x:f>
        <x:v>199.12109375</x:v>
      </x:c>
      <x:c r="O312" s="14" t="n">
        <x:v>20</x:v>
      </x:c>
      <x:c r="P312" s="14" t="n">
        <x:f>MIN(32767,MAX(0,INT((K312+INT('공식·설정'!$B$12/2))/'공식·설정'!$B$12)))</x:f>
        <x:v>20</x:v>
      </x:c>
      <x:c r="Q312" s="68" t="n">
        <x:f>P312-O312</x:f>
        <x:v>0</x:v>
      </x:c>
      <x:c r="R312" s="14" t="n">
        <x:v>59648</x:v>
      </x:c>
      <x:c r="S312" s="14" t="n">
        <x:f>P312*'공식·설정'!$B$12+'공식·설정'!$B$14</x:f>
        <x:v>59648</x:v>
      </x:c>
      <x:c r="T312" s="68" t="n">
        <x:f>S312-R312</x:f>
        <x:v>0</x:v>
      </x:c>
      <x:c r="U312" s="65" t="n">
        <x:f>R312/'공식·설정'!$B$7</x:f>
        <x:v>233</x:v>
      </x:c>
      <x:c r="V312" s="65" t="n">
        <x:f>S312/'공식·설정'!$B$7</x:f>
        <x:v>233</x:v>
      </x:c>
      <x:c r="W312" s="14" t="n">
        <x:v>703</x:v>
      </x:c>
      <x:c r="X312" s="14" t="n">
        <x:f>INT(ABS(K313-K312)*'공식·설정'!$B$8/K312)</x:f>
        <x:v>703</x:v>
      </x:c>
      <x:c r="Y312" s="68" t="n">
        <x:f>X312-W312</x:f>
        <x:v>0</x:v>
      </x:c>
      <x:c r="Z312" s="66" t="n">
        <x:f>W312/'공식·설정'!$B$8</x:f>
        <x:v>0.0107269287109375</x:v>
      </x:c>
      <x:c r="AA312" s="66" t="n">
        <x:f>X312/'공식·설정'!$B$8</x:f>
        <x:v>0.0107269287109375</x:v>
      </x:c>
      <x:c r="AB312" s="67" t="str">
        <x:f>IF(AND(I312=0,L312=0,Q312=0,T312=0,Y312=0),"PASS","FAIL")</x:f>
        <x:v>PASS</x:v>
      </x:c>
    </x:row>
    <x:row r="313" ht="18" customHeight="1">
      <x:c r="A313" s="14" t="n">
        <x:v>416</x:v>
      </x:c>
      <x:c r="B313" s="14" t="n">
        <x:v>308</x:v>
      </x:c>
      <x:c r="C313" s="14" t="n">
        <x:v>406</x:v>
      </x:c>
      <x:c r="D313" s="14" t="n">
        <x:v>7079</x:v>
      </x:c>
      <x:c r="E313" s="14" t="n">
        <x:v>420</x:v>
      </x:c>
      <x:c r="F313" s="14" t="n">
        <x:v>8248</x:v>
      </x:c>
      <x:c r="G313" s="14" t="n">
        <x:v>7914</x:v>
      </x:c>
      <x:c r="H313" s="14" t="n">
        <x:f>INT((F313-D313)*(A313-C313)/(E313-C313))+D313</x:f>
        <x:v>7914</x:v>
      </x:c>
      <x:c r="I313" s="68" t="n">
        <x:f>H313-G313</x:f>
        <x:v>0</x:v>
      </x:c>
      <x:c r="J313" s="14" t="n">
        <x:v>51522</x:v>
      </x:c>
      <x:c r="K313" s="14" t="n">
        <x:f>INT(H313*'공식·설정'!$B$10/'공식·설정'!$B$15)</x:f>
        <x:v>51522</x:v>
      </x:c>
      <x:c r="L313" s="68" t="n">
        <x:f>K313-J313</x:f>
        <x:v>0</x:v>
      </x:c>
      <x:c r="M313" s="65" t="n">
        <x:f>J313/'공식·설정'!$B$7</x:f>
        <x:v>201.2578125</x:v>
      </x:c>
      <x:c r="N313" s="65" t="n">
        <x:f>K313/'공식·설정'!$B$7</x:f>
        <x:v>201.2578125</x:v>
      </x:c>
      <x:c r="O313" s="14" t="n">
        <x:v>20</x:v>
      </x:c>
      <x:c r="P313" s="14" t="n">
        <x:f>MIN(32767,MAX(0,INT((K313+INT('공식·설정'!$B$12/2))/'공식·설정'!$B$12)))</x:f>
        <x:v>20</x:v>
      </x:c>
      <x:c r="Q313" s="68" t="n">
        <x:f>P313-O313</x:f>
        <x:v>0</x:v>
      </x:c>
      <x:c r="R313" s="14" t="n">
        <x:v>59648</x:v>
      </x:c>
      <x:c r="S313" s="14" t="n">
        <x:f>P313*'공식·설정'!$B$12+'공식·설정'!$B$14</x:f>
        <x:v>59648</x:v>
      </x:c>
      <x:c r="T313" s="68" t="n">
        <x:f>S313-R313</x:f>
        <x:v>0</x:v>
      </x:c>
      <x:c r="U313" s="65" t="n">
        <x:f>R313/'공식·설정'!$B$7</x:f>
        <x:v>233</x:v>
      </x:c>
      <x:c r="V313" s="65" t="n">
        <x:f>S313/'공식·설정'!$B$7</x:f>
        <x:v>233</x:v>
      </x:c>
      <x:c r="W313" s="14" t="n">
        <x:v>686</x:v>
      </x:c>
      <x:c r="X313" s="14" t="n">
        <x:f>INT(ABS(K314-K313)*'공식·설정'!$B$8/K313)</x:f>
        <x:v>686</x:v>
      </x:c>
      <x:c r="Y313" s="68" t="n">
        <x:f>X313-W313</x:f>
        <x:v>0</x:v>
      </x:c>
      <x:c r="Z313" s="66" t="n">
        <x:f>W313/'공식·설정'!$B$8</x:f>
        <x:v>0.010467529296875</x:v>
      </x:c>
      <x:c r="AA313" s="66" t="n">
        <x:f>X313/'공식·설정'!$B$8</x:f>
        <x:v>0.010467529296875</x:v>
      </x:c>
      <x:c r="AB313" s="67" t="str">
        <x:f>IF(AND(I313=0,L313=0,Q313=0,T313=0,Y313=0),"PASS","FAIL")</x:f>
        <x:v>PASS</x:v>
      </x:c>
    </x:row>
    <x:row r="314" ht="18" customHeight="1">
      <x:c r="A314" s="14" t="n">
        <x:v>417</x:v>
      </x:c>
      <x:c r="B314" s="14" t="n">
        <x:v>309</x:v>
      </x:c>
      <x:c r="C314" s="14" t="n">
        <x:v>406</x:v>
      </x:c>
      <x:c r="D314" s="14" t="n">
        <x:v>7079</x:v>
      </x:c>
      <x:c r="E314" s="14" t="n">
        <x:v>420</x:v>
      </x:c>
      <x:c r="F314" s="14" t="n">
        <x:v>8248</x:v>
      </x:c>
      <x:c r="G314" s="14" t="n">
        <x:v>7997</x:v>
      </x:c>
      <x:c r="H314" s="14" t="n">
        <x:f>INT((F314-D314)*(A314-C314)/(E314-C314))+D314</x:f>
        <x:v>7997</x:v>
      </x:c>
      <x:c r="I314" s="68" t="n">
        <x:f>H314-G314</x:f>
        <x:v>0</x:v>
      </x:c>
      <x:c r="J314" s="14" t="n">
        <x:v>52062</x:v>
      </x:c>
      <x:c r="K314" s="14" t="n">
        <x:f>INT(H314*'공식·설정'!$B$10/'공식·설정'!$B$15)</x:f>
        <x:v>52062</x:v>
      </x:c>
      <x:c r="L314" s="68" t="n">
        <x:f>K314-J314</x:f>
        <x:v>0</x:v>
      </x:c>
      <x:c r="M314" s="65" t="n">
        <x:f>J314/'공식·설정'!$B$7</x:f>
        <x:v>203.3671875</x:v>
      </x:c>
      <x:c r="N314" s="65" t="n">
        <x:f>K314/'공식·설정'!$B$7</x:f>
        <x:v>203.3671875</x:v>
      </x:c>
      <x:c r="O314" s="14" t="n">
        <x:v>20</x:v>
      </x:c>
      <x:c r="P314" s="14" t="n">
        <x:f>MIN(32767,MAX(0,INT((K314+INT('공식·설정'!$B$12/2))/'공식·설정'!$B$12)))</x:f>
        <x:v>20</x:v>
      </x:c>
      <x:c r="Q314" s="68" t="n">
        <x:f>P314-O314</x:f>
        <x:v>0</x:v>
      </x:c>
      <x:c r="R314" s="14" t="n">
        <x:v>59648</x:v>
      </x:c>
      <x:c r="S314" s="14" t="n">
        <x:f>P314*'공식·설정'!$B$12+'공식·설정'!$B$14</x:f>
        <x:v>59648</x:v>
      </x:c>
      <x:c r="T314" s="68" t="n">
        <x:f>S314-R314</x:f>
        <x:v>0</x:v>
      </x:c>
      <x:c r="U314" s="65" t="n">
        <x:f>R314/'공식·설정'!$B$7</x:f>
        <x:v>233</x:v>
      </x:c>
      <x:c r="V314" s="65" t="n">
        <x:f>S314/'공식·설정'!$B$7</x:f>
        <x:v>233</x:v>
      </x:c>
      <x:c r="W314" s="14" t="n">
        <x:v>688</x:v>
      </x:c>
      <x:c r="X314" s="14" t="n">
        <x:f>INT(ABS(K315-K314)*'공식·설정'!$B$8/K314)</x:f>
        <x:v>688</x:v>
      </x:c>
      <x:c r="Y314" s="68" t="n">
        <x:f>X314-W314</x:f>
        <x:v>0</x:v>
      </x:c>
      <x:c r="Z314" s="66" t="n">
        <x:f>W314/'공식·설정'!$B$8</x:f>
        <x:v>0.010498046875</x:v>
      </x:c>
      <x:c r="AA314" s="66" t="n">
        <x:f>X314/'공식·설정'!$B$8</x:f>
        <x:v>0.010498046875</x:v>
      </x:c>
      <x:c r="AB314" s="67" t="str">
        <x:f>IF(AND(I314=0,L314=0,Q314=0,T314=0,Y314=0),"PASS","FAIL")</x:f>
        <x:v>PASS</x:v>
      </x:c>
    </x:row>
    <x:row r="315" ht="18" customHeight="1">
      <x:c r="A315" s="14" t="n">
        <x:v>418</x:v>
      </x:c>
      <x:c r="B315" s="14" t="n">
        <x:v>310</x:v>
      </x:c>
      <x:c r="C315" s="14" t="n">
        <x:v>406</x:v>
      </x:c>
      <x:c r="D315" s="14" t="n">
        <x:v>7079</x:v>
      </x:c>
      <x:c r="E315" s="14" t="n">
        <x:v>420</x:v>
      </x:c>
      <x:c r="F315" s="14" t="n">
        <x:v>8248</x:v>
      </x:c>
      <x:c r="G315" s="14" t="n">
        <x:v>8081</x:v>
      </x:c>
      <x:c r="H315" s="14" t="n">
        <x:f>INT((F315-D315)*(A315-C315)/(E315-C315))+D315</x:f>
        <x:v>8081</x:v>
      </x:c>
      <x:c r="I315" s="68" t="n">
        <x:f>H315-G315</x:f>
        <x:v>0</x:v>
      </x:c>
      <x:c r="J315" s="14" t="n">
        <x:v>52609</x:v>
      </x:c>
      <x:c r="K315" s="14" t="n">
        <x:f>INT(H315*'공식·설정'!$B$10/'공식·설정'!$B$15)</x:f>
        <x:v>52609</x:v>
      </x:c>
      <x:c r="L315" s="68" t="n">
        <x:f>K315-J315</x:f>
        <x:v>0</x:v>
      </x:c>
      <x:c r="M315" s="65" t="n">
        <x:f>J315/'공식·설정'!$B$7</x:f>
        <x:v>205.50390625</x:v>
      </x:c>
      <x:c r="N315" s="65" t="n">
        <x:f>K315/'공식·설정'!$B$7</x:f>
        <x:v>205.50390625</x:v>
      </x:c>
      <x:c r="O315" s="14" t="n">
        <x:v>21</x:v>
      </x:c>
      <x:c r="P315" s="14" t="n">
        <x:f>MIN(32767,MAX(0,INT((K315+INT('공식·설정'!$B$12/2))/'공식·설정'!$B$12)))</x:f>
        <x:v>21</x:v>
      </x:c>
      <x:c r="Q315" s="68" t="n">
        <x:f>P315-O315</x:f>
        <x:v>0</x:v>
      </x:c>
      <x:c r="R315" s="14" t="n">
        <x:v>62208</x:v>
      </x:c>
      <x:c r="S315" s="14" t="n">
        <x:f>P315*'공식·설정'!$B$12+'공식·설정'!$B$14</x:f>
        <x:v>62208</x:v>
      </x:c>
      <x:c r="T315" s="68" t="n">
        <x:f>S315-R315</x:f>
        <x:v>0</x:v>
      </x:c>
      <x:c r="U315" s="65" t="n">
        <x:f>R315/'공식·설정'!$B$7</x:f>
        <x:v>243</x:v>
      </x:c>
      <x:c r="V315" s="65" t="n">
        <x:f>S315/'공식·설정'!$B$7</x:f>
        <x:v>243</x:v>
      </x:c>
      <x:c r="W315" s="14" t="n">
        <x:v>672</x:v>
      </x:c>
      <x:c r="X315" s="14" t="n">
        <x:f>INT(ABS(K316-K315)*'공식·설정'!$B$8/K315)</x:f>
        <x:v>672</x:v>
      </x:c>
      <x:c r="Y315" s="68" t="n">
        <x:f>X315-W315</x:f>
        <x:v>0</x:v>
      </x:c>
      <x:c r="Z315" s="66" t="n">
        <x:f>W315/'공식·설정'!$B$8</x:f>
        <x:v>0.01025390625</x:v>
      </x:c>
      <x:c r="AA315" s="66" t="n">
        <x:f>X315/'공식·설정'!$B$8</x:f>
        <x:v>0.01025390625</x:v>
      </x:c>
      <x:c r="AB315" s="67" t="str">
        <x:f>IF(AND(I315=0,L315=0,Q315=0,T315=0,Y315=0),"PASS","FAIL")</x:f>
        <x:v>PASS</x:v>
      </x:c>
    </x:row>
    <x:row r="316" ht="18" customHeight="1">
      <x:c r="A316" s="14" t="n">
        <x:v>419</x:v>
      </x:c>
      <x:c r="B316" s="14" t="n">
        <x:v>311</x:v>
      </x:c>
      <x:c r="C316" s="14" t="n">
        <x:v>406</x:v>
      </x:c>
      <x:c r="D316" s="14" t="n">
        <x:v>7079</x:v>
      </x:c>
      <x:c r="E316" s="14" t="n">
        <x:v>420</x:v>
      </x:c>
      <x:c r="F316" s="14" t="n">
        <x:v>8248</x:v>
      </x:c>
      <x:c r="G316" s="14" t="n">
        <x:v>8164</x:v>
      </x:c>
      <x:c r="H316" s="14" t="n">
        <x:f>INT((F316-D316)*(A316-C316)/(E316-C316))+D316</x:f>
        <x:v>8164</x:v>
      </x:c>
      <x:c r="I316" s="68" t="n">
        <x:f>H316-G316</x:f>
        <x:v>0</x:v>
      </x:c>
      <x:c r="J316" s="14" t="n">
        <x:v>53149</x:v>
      </x:c>
      <x:c r="K316" s="14" t="n">
        <x:f>INT(H316*'공식·설정'!$B$10/'공식·설정'!$B$15)</x:f>
        <x:v>53149</x:v>
      </x:c>
      <x:c r="L316" s="68" t="n">
        <x:f>K316-J316</x:f>
        <x:v>0</x:v>
      </x:c>
      <x:c r="M316" s="65" t="n">
        <x:f>J316/'공식·설정'!$B$7</x:f>
        <x:v>207.61328125</x:v>
      </x:c>
      <x:c r="N316" s="65" t="n">
        <x:f>K316/'공식·설정'!$B$7</x:f>
        <x:v>207.61328125</x:v>
      </x:c>
      <x:c r="O316" s="14" t="n">
        <x:v>21</x:v>
      </x:c>
      <x:c r="P316" s="14" t="n">
        <x:f>MIN(32767,MAX(0,INT((K316+INT('공식·설정'!$B$12/2))/'공식·설정'!$B$12)))</x:f>
        <x:v>21</x:v>
      </x:c>
      <x:c r="Q316" s="68" t="n">
        <x:f>P316-O316</x:f>
        <x:v>0</x:v>
      </x:c>
      <x:c r="R316" s="14" t="n">
        <x:v>62208</x:v>
      </x:c>
      <x:c r="S316" s="14" t="n">
        <x:f>P316*'공식·설정'!$B$12+'공식·설정'!$B$14</x:f>
        <x:v>62208</x:v>
      </x:c>
      <x:c r="T316" s="68" t="n">
        <x:f>S316-R316</x:f>
        <x:v>0</x:v>
      </x:c>
      <x:c r="U316" s="65" t="n">
        <x:f>R316/'공식·설정'!$B$7</x:f>
        <x:v>243</x:v>
      </x:c>
      <x:c r="V316" s="65" t="n">
        <x:f>S316/'공식·설정'!$B$7</x:f>
        <x:v>243</x:v>
      </x:c>
      <x:c r="W316" s="14" t="n">
        <x:v>674</x:v>
      </x:c>
      <x:c r="X316" s="14" t="n">
        <x:f>INT(ABS(K317-K316)*'공식·설정'!$B$8/K316)</x:f>
        <x:v>674</x:v>
      </x:c>
      <x:c r="Y316" s="68" t="n">
        <x:f>X316-W316</x:f>
        <x:v>0</x:v>
      </x:c>
      <x:c r="Z316" s="66" t="n">
        <x:f>W316/'공식·설정'!$B$8</x:f>
        <x:v>0.010284423828125</x:v>
      </x:c>
      <x:c r="AA316" s="66" t="n">
        <x:f>X316/'공식·설정'!$B$8</x:f>
        <x:v>0.010284423828125</x:v>
      </x:c>
      <x:c r="AB316" s="67" t="str">
        <x:f>IF(AND(I316=0,L316=0,Q316=0,T316=0,Y316=0),"PASS","FAIL")</x:f>
        <x:v>PASS</x:v>
      </x:c>
    </x:row>
    <x:row r="317" ht="18" customHeight="1">
      <x:c r="A317" s="14" t="n">
        <x:v>420</x:v>
      </x:c>
      <x:c r="B317" s="14" t="n">
        <x:v>312</x:v>
      </x:c>
      <x:c r="C317" s="14" t="n">
        <x:v>420</x:v>
      </x:c>
      <x:c r="D317" s="14" t="n">
        <x:v>8248</x:v>
      </x:c>
      <x:c r="E317" s="14" t="n">
        <x:v>434</x:v>
      </x:c>
      <x:c r="F317" s="14" t="n">
        <x:v>9608</x:v>
      </x:c>
      <x:c r="G317" s="14" t="n">
        <x:v>8248</x:v>
      </x:c>
      <x:c r="H317" s="14" t="n">
        <x:f>INT((F317-D317)*(A317-C317)/(E317-C317))+D317</x:f>
        <x:v>8248</x:v>
      </x:c>
      <x:c r="I317" s="68" t="n">
        <x:f>H317-G317</x:f>
        <x:v>0</x:v>
      </x:c>
      <x:c r="J317" s="14" t="n">
        <x:v>53696</x:v>
      </x:c>
      <x:c r="K317" s="14" t="n">
        <x:f>INT(H317*'공식·설정'!$B$10/'공식·설정'!$B$15)</x:f>
        <x:v>53696</x:v>
      </x:c>
      <x:c r="L317" s="68" t="n">
        <x:f>K317-J317</x:f>
        <x:v>0</x:v>
      </x:c>
      <x:c r="M317" s="65" t="n">
        <x:f>J317/'공식·설정'!$B$7</x:f>
        <x:v>209.75</x:v>
      </x:c>
      <x:c r="N317" s="65" t="n">
        <x:f>K317/'공식·설정'!$B$7</x:f>
        <x:v>209.75</x:v>
      </x:c>
      <x:c r="O317" s="14" t="n">
        <x:v>21</x:v>
      </x:c>
      <x:c r="P317" s="14" t="n">
        <x:f>MIN(32767,MAX(0,INT((K317+INT('공식·설정'!$B$12/2))/'공식·설정'!$B$12)))</x:f>
        <x:v>21</x:v>
      </x:c>
      <x:c r="Q317" s="68" t="n">
        <x:f>P317-O317</x:f>
        <x:v>0</x:v>
      </x:c>
      <x:c r="R317" s="14" t="n">
        <x:v>62208</x:v>
      </x:c>
      <x:c r="S317" s="14" t="n">
        <x:f>P317*'공식·설정'!$B$12+'공식·설정'!$B$14</x:f>
        <x:v>62208</x:v>
      </x:c>
      <x:c r="T317" s="68" t="n">
        <x:f>S317-R317</x:f>
        <x:v>0</x:v>
      </x:c>
      <x:c r="U317" s="65" t="n">
        <x:f>R317/'공식·설정'!$B$7</x:f>
        <x:v>243</x:v>
      </x:c>
      <x:c r="V317" s="65" t="n">
        <x:f>S317/'공식·설정'!$B$7</x:f>
        <x:v>243</x:v>
      </x:c>
      <x:c r="W317" s="14" t="n">
        <x:v>771</x:v>
      </x:c>
      <x:c r="X317" s="14" t="n">
        <x:f>INT(ABS(K318-K317)*'공식·설정'!$B$8/K317)</x:f>
        <x:v>771</x:v>
      </x:c>
      <x:c r="Y317" s="68" t="n">
        <x:f>X317-W317</x:f>
        <x:v>0</x:v>
      </x:c>
      <x:c r="Z317" s="66" t="n">
        <x:f>W317/'공식·설정'!$B$8</x:f>
        <x:v>0.0117645263671875</x:v>
      </x:c>
      <x:c r="AA317" s="66" t="n">
        <x:f>X317/'공식·설정'!$B$8</x:f>
        <x:v>0.0117645263671875</x:v>
      </x:c>
      <x:c r="AB317" s="67" t="str">
        <x:f>IF(AND(I317=0,L317=0,Q317=0,T317=0,Y317=0),"PASS","FAIL")</x:f>
        <x:v>PASS</x:v>
      </x:c>
    </x:row>
    <x:row r="318" ht="18" customHeight="1">
      <x:c r="A318" s="14" t="n">
        <x:v>421</x:v>
      </x:c>
      <x:c r="B318" s="14" t="n">
        <x:v>313</x:v>
      </x:c>
      <x:c r="C318" s="14" t="n">
        <x:v>420</x:v>
      </x:c>
      <x:c r="D318" s="14" t="n">
        <x:v>8248</x:v>
      </x:c>
      <x:c r="E318" s="14" t="n">
        <x:v>434</x:v>
      </x:c>
      <x:c r="F318" s="14" t="n">
        <x:v>9608</x:v>
      </x:c>
      <x:c r="G318" s="14" t="n">
        <x:v>8345</x:v>
      </x:c>
      <x:c r="H318" s="14" t="n">
        <x:f>INT((F318-D318)*(A318-C318)/(E318-C318))+D318</x:f>
        <x:v>8345</x:v>
      </x:c>
      <x:c r="I318" s="68" t="n">
        <x:f>H318-G318</x:f>
        <x:v>0</x:v>
      </x:c>
      <x:c r="J318" s="14" t="n">
        <x:v>54328</x:v>
      </x:c>
      <x:c r="K318" s="14" t="n">
        <x:f>INT(H318*'공식·설정'!$B$10/'공식·설정'!$B$15)</x:f>
        <x:v>54328</x:v>
      </x:c>
      <x:c r="L318" s="68" t="n">
        <x:f>K318-J318</x:f>
        <x:v>0</x:v>
      </x:c>
      <x:c r="M318" s="65" t="n">
        <x:f>J318/'공식·설정'!$B$7</x:f>
        <x:v>212.21875</x:v>
      </x:c>
      <x:c r="N318" s="65" t="n">
        <x:f>K318/'공식·설정'!$B$7</x:f>
        <x:v>212.21875</x:v>
      </x:c>
      <x:c r="O318" s="14" t="n">
        <x:v>21</x:v>
      </x:c>
      <x:c r="P318" s="14" t="n">
        <x:f>MIN(32767,MAX(0,INT((K318+INT('공식·설정'!$B$12/2))/'공식·설정'!$B$12)))</x:f>
        <x:v>21</x:v>
      </x:c>
      <x:c r="Q318" s="68" t="n">
        <x:f>P318-O318</x:f>
        <x:v>0</x:v>
      </x:c>
      <x:c r="R318" s="14" t="n">
        <x:v>62208</x:v>
      </x:c>
      <x:c r="S318" s="14" t="n">
        <x:f>P318*'공식·설정'!$B$12+'공식·설정'!$B$14</x:f>
        <x:v>62208</x:v>
      </x:c>
      <x:c r="T318" s="68" t="n">
        <x:f>S318-R318</x:f>
        <x:v>0</x:v>
      </x:c>
      <x:c r="U318" s="65" t="n">
        <x:f>R318/'공식·설정'!$B$7</x:f>
        <x:v>243</x:v>
      </x:c>
      <x:c r="V318" s="65" t="n">
        <x:f>S318/'공식·설정'!$B$7</x:f>
        <x:v>243</x:v>
      </x:c>
      <x:c r="W318" s="14" t="n">
        <x:v>761</x:v>
      </x:c>
      <x:c r="X318" s="14" t="n">
        <x:f>INT(ABS(K319-K318)*'공식·설정'!$B$8/K318)</x:f>
        <x:v>761</x:v>
      </x:c>
      <x:c r="Y318" s="68" t="n">
        <x:f>X318-W318</x:f>
        <x:v>0</x:v>
      </x:c>
      <x:c r="Z318" s="66" t="n">
        <x:f>W318/'공식·설정'!$B$8</x:f>
        <x:v>0.0116119384765625</x:v>
      </x:c>
      <x:c r="AA318" s="66" t="n">
        <x:f>X318/'공식·설정'!$B$8</x:f>
        <x:v>0.0116119384765625</x:v>
      </x:c>
      <x:c r="AB318" s="67" t="str">
        <x:f>IF(AND(I318=0,L318=0,Q318=0,T318=0,Y318=0),"PASS","FAIL")</x:f>
        <x:v>PASS</x:v>
      </x:c>
    </x:row>
    <x:row r="319" ht="18" customHeight="1">
      <x:c r="A319" s="14" t="n">
        <x:v>422</x:v>
      </x:c>
      <x:c r="B319" s="14" t="n">
        <x:v>314</x:v>
      </x:c>
      <x:c r="C319" s="14" t="n">
        <x:v>420</x:v>
      </x:c>
      <x:c r="D319" s="14" t="n">
        <x:v>8248</x:v>
      </x:c>
      <x:c r="E319" s="14" t="n">
        <x:v>434</x:v>
      </x:c>
      <x:c r="F319" s="14" t="n">
        <x:v>9608</x:v>
      </x:c>
      <x:c r="G319" s="14" t="n">
        <x:v>8442</x:v>
      </x:c>
      <x:c r="H319" s="14" t="n">
        <x:f>INT((F319-D319)*(A319-C319)/(E319-C319))+D319</x:f>
        <x:v>8442</x:v>
      </x:c>
      <x:c r="I319" s="68" t="n">
        <x:f>H319-G319</x:f>
        <x:v>0</x:v>
      </x:c>
      <x:c r="J319" s="14" t="n">
        <x:v>54959</x:v>
      </x:c>
      <x:c r="K319" s="14" t="n">
        <x:f>INT(H319*'공식·설정'!$B$10/'공식·설정'!$B$15)</x:f>
        <x:v>54959</x:v>
      </x:c>
      <x:c r="L319" s="68" t="n">
        <x:f>K319-J319</x:f>
        <x:v>0</x:v>
      </x:c>
      <x:c r="M319" s="65" t="n">
        <x:f>J319/'공식·설정'!$B$7</x:f>
        <x:v>214.68359375</x:v>
      </x:c>
      <x:c r="N319" s="65" t="n">
        <x:f>K319/'공식·설정'!$B$7</x:f>
        <x:v>214.68359375</x:v>
      </x:c>
      <x:c r="O319" s="14" t="n">
        <x:v>21</x:v>
      </x:c>
      <x:c r="P319" s="14" t="n">
        <x:f>MIN(32767,MAX(0,INT((K319+INT('공식·설정'!$B$12/2))/'공식·설정'!$B$12)))</x:f>
        <x:v>21</x:v>
      </x:c>
      <x:c r="Q319" s="68" t="n">
        <x:f>P319-O319</x:f>
        <x:v>0</x:v>
      </x:c>
      <x:c r="R319" s="14" t="n">
        <x:v>62208</x:v>
      </x:c>
      <x:c r="S319" s="14" t="n">
        <x:f>P319*'공식·설정'!$B$12+'공식·설정'!$B$14</x:f>
        <x:v>62208</x:v>
      </x:c>
      <x:c r="T319" s="68" t="n">
        <x:f>S319-R319</x:f>
        <x:v>0</x:v>
      </x:c>
      <x:c r="U319" s="65" t="n">
        <x:f>R319/'공식·설정'!$B$7</x:f>
        <x:v>243</x:v>
      </x:c>
      <x:c r="V319" s="65" t="n">
        <x:f>S319/'공식·설정'!$B$7</x:f>
        <x:v>243</x:v>
      </x:c>
      <x:c r="W319" s="14" t="n">
        <x:v>753</x:v>
      </x:c>
      <x:c r="X319" s="14" t="n">
        <x:f>INT(ABS(K320-K319)*'공식·설정'!$B$8/K319)</x:f>
        <x:v>753</x:v>
      </x:c>
      <x:c r="Y319" s="68" t="n">
        <x:f>X319-W319</x:f>
        <x:v>0</x:v>
      </x:c>
      <x:c r="Z319" s="66" t="n">
        <x:f>W319/'공식·설정'!$B$8</x:f>
        <x:v>0.0114898681640625</x:v>
      </x:c>
      <x:c r="AA319" s="66" t="n">
        <x:f>X319/'공식·설정'!$B$8</x:f>
        <x:v>0.0114898681640625</x:v>
      </x:c>
      <x:c r="AB319" s="67" t="str">
        <x:f>IF(AND(I319=0,L319=0,Q319=0,T319=0,Y319=0),"PASS","FAIL")</x:f>
        <x:v>PASS</x:v>
      </x:c>
    </x:row>
    <x:row r="320" ht="18" customHeight="1">
      <x:c r="A320" s="14" t="n">
        <x:v>423</x:v>
      </x:c>
      <x:c r="B320" s="14" t="n">
        <x:v>315</x:v>
      </x:c>
      <x:c r="C320" s="14" t="n">
        <x:v>420</x:v>
      </x:c>
      <x:c r="D320" s="14" t="n">
        <x:v>8248</x:v>
      </x:c>
      <x:c r="E320" s="14" t="n">
        <x:v>434</x:v>
      </x:c>
      <x:c r="F320" s="14" t="n">
        <x:v>9608</x:v>
      </x:c>
      <x:c r="G320" s="14" t="n">
        <x:v>8539</x:v>
      </x:c>
      <x:c r="H320" s="14" t="n">
        <x:f>INT((F320-D320)*(A320-C320)/(E320-C320))+D320</x:f>
        <x:v>8539</x:v>
      </x:c>
      <x:c r="I320" s="68" t="n">
        <x:f>H320-G320</x:f>
        <x:v>0</x:v>
      </x:c>
      <x:c r="J320" s="14" t="n">
        <x:v>55591</x:v>
      </x:c>
      <x:c r="K320" s="14" t="n">
        <x:f>INT(H320*'공식·설정'!$B$10/'공식·설정'!$B$15)</x:f>
        <x:v>55591</x:v>
      </x:c>
      <x:c r="L320" s="68" t="n">
        <x:f>K320-J320</x:f>
        <x:v>0</x:v>
      </x:c>
      <x:c r="M320" s="65" t="n">
        <x:f>J320/'공식·설정'!$B$7</x:f>
        <x:v>217.15234375</x:v>
      </x:c>
      <x:c r="N320" s="65" t="n">
        <x:f>K320/'공식·설정'!$B$7</x:f>
        <x:v>217.15234375</x:v>
      </x:c>
      <x:c r="O320" s="14" t="n">
        <x:v>22</x:v>
      </x:c>
      <x:c r="P320" s="14" t="n">
        <x:f>MIN(32767,MAX(0,INT((K320+INT('공식·설정'!$B$12/2))/'공식·설정'!$B$12)))</x:f>
        <x:v>22</x:v>
      </x:c>
      <x:c r="Q320" s="68" t="n">
        <x:f>P320-O320</x:f>
        <x:v>0</x:v>
      </x:c>
      <x:c r="R320" s="14" t="n">
        <x:v>64768</x:v>
      </x:c>
      <x:c r="S320" s="14" t="n">
        <x:f>P320*'공식·설정'!$B$12+'공식·설정'!$B$14</x:f>
        <x:v>64768</x:v>
      </x:c>
      <x:c r="T320" s="68" t="n">
        <x:f>S320-R320</x:f>
        <x:v>0</x:v>
      </x:c>
      <x:c r="U320" s="65" t="n">
        <x:f>R320/'공식·설정'!$B$7</x:f>
        <x:v>253</x:v>
      </x:c>
      <x:c r="V320" s="65" t="n">
        <x:f>S320/'공식·설정'!$B$7</x:f>
        <x:v>253</x:v>
      </x:c>
      <x:c r="W320" s="14" t="n">
        <x:v>743</x:v>
      </x:c>
      <x:c r="X320" s="14" t="n">
        <x:f>INT(ABS(K321-K320)*'공식·설정'!$B$8/K320)</x:f>
        <x:v>743</x:v>
      </x:c>
      <x:c r="Y320" s="68" t="n">
        <x:f>X320-W320</x:f>
        <x:v>0</x:v>
      </x:c>
      <x:c r="Z320" s="66" t="n">
        <x:f>W320/'공식·설정'!$B$8</x:f>
        <x:v>0.0113372802734375</x:v>
      </x:c>
      <x:c r="AA320" s="66" t="n">
        <x:f>X320/'공식·설정'!$B$8</x:f>
        <x:v>0.0113372802734375</x:v>
      </x:c>
      <x:c r="AB320" s="67" t="str">
        <x:f>IF(AND(I320=0,L320=0,Q320=0,T320=0,Y320=0),"PASS","FAIL")</x:f>
        <x:v>PASS</x:v>
      </x:c>
    </x:row>
    <x:row r="321" ht="18" customHeight="1">
      <x:c r="A321" s="14" t="n">
        <x:v>424</x:v>
      </x:c>
      <x:c r="B321" s="14" t="n">
        <x:v>316</x:v>
      </x:c>
      <x:c r="C321" s="14" t="n">
        <x:v>420</x:v>
      </x:c>
      <x:c r="D321" s="14" t="n">
        <x:v>8248</x:v>
      </x:c>
      <x:c r="E321" s="14" t="n">
        <x:v>434</x:v>
      </x:c>
      <x:c r="F321" s="14" t="n">
        <x:v>9608</x:v>
      </x:c>
      <x:c r="G321" s="14" t="n">
        <x:v>8636</x:v>
      </x:c>
      <x:c r="H321" s="14" t="n">
        <x:f>INT((F321-D321)*(A321-C321)/(E321-C321))+D321</x:f>
        <x:v>8636</x:v>
      </x:c>
      <x:c r="I321" s="68" t="n">
        <x:f>H321-G321</x:f>
        <x:v>0</x:v>
      </x:c>
      <x:c r="J321" s="14" t="n">
        <x:v>56222</x:v>
      </x:c>
      <x:c r="K321" s="14" t="n">
        <x:f>INT(H321*'공식·설정'!$B$10/'공식·설정'!$B$15)</x:f>
        <x:v>56222</x:v>
      </x:c>
      <x:c r="L321" s="68" t="n">
        <x:f>K321-J321</x:f>
        <x:v>0</x:v>
      </x:c>
      <x:c r="M321" s="65" t="n">
        <x:f>J321/'공식·설정'!$B$7</x:f>
        <x:v>219.6171875</x:v>
      </x:c>
      <x:c r="N321" s="65" t="n">
        <x:f>K321/'공식·설정'!$B$7</x:f>
        <x:v>219.6171875</x:v>
      </x:c>
      <x:c r="O321" s="14" t="n">
        <x:v>22</x:v>
      </x:c>
      <x:c r="P321" s="14" t="n">
        <x:f>MIN(32767,MAX(0,INT((K321+INT('공식·설정'!$B$12/2))/'공식·설정'!$B$12)))</x:f>
        <x:v>22</x:v>
      </x:c>
      <x:c r="Q321" s="68" t="n">
        <x:f>P321-O321</x:f>
        <x:v>0</x:v>
      </x:c>
      <x:c r="R321" s="14" t="n">
        <x:v>64768</x:v>
      </x:c>
      <x:c r="S321" s="14" t="n">
        <x:f>P321*'공식·설정'!$B$12+'공식·설정'!$B$14</x:f>
        <x:v>64768</x:v>
      </x:c>
      <x:c r="T321" s="68" t="n">
        <x:f>S321-R321</x:f>
        <x:v>0</x:v>
      </x:c>
      <x:c r="U321" s="65" t="n">
        <x:f>R321/'공식·설정'!$B$7</x:f>
        <x:v>253</x:v>
      </x:c>
      <x:c r="V321" s="65" t="n">
        <x:f>S321/'공식·설정'!$B$7</x:f>
        <x:v>253</x:v>
      </x:c>
      <x:c r="W321" s="14" t="n">
        <x:v>736</x:v>
      </x:c>
      <x:c r="X321" s="14" t="n">
        <x:f>INT(ABS(K322-K321)*'공식·설정'!$B$8/K321)</x:f>
        <x:v>736</x:v>
      </x:c>
      <x:c r="Y321" s="68" t="n">
        <x:f>X321-W321</x:f>
        <x:v>0</x:v>
      </x:c>
      <x:c r="Z321" s="66" t="n">
        <x:f>W321/'공식·설정'!$B$8</x:f>
        <x:v>0.01123046875</x:v>
      </x:c>
      <x:c r="AA321" s="66" t="n">
        <x:f>X321/'공식·설정'!$B$8</x:f>
        <x:v>0.01123046875</x:v>
      </x:c>
      <x:c r="AB321" s="67" t="str">
        <x:f>IF(AND(I321=0,L321=0,Q321=0,T321=0,Y321=0),"PASS","FAIL")</x:f>
        <x:v>PASS</x:v>
      </x:c>
    </x:row>
    <x:row r="322" ht="18" customHeight="1">
      <x:c r="A322" s="14" t="n">
        <x:v>425</x:v>
      </x:c>
      <x:c r="B322" s="14" t="n">
        <x:v>317</x:v>
      </x:c>
      <x:c r="C322" s="14" t="n">
        <x:v>420</x:v>
      </x:c>
      <x:c r="D322" s="14" t="n">
        <x:v>8248</x:v>
      </x:c>
      <x:c r="E322" s="14" t="n">
        <x:v>434</x:v>
      </x:c>
      <x:c r="F322" s="14" t="n">
        <x:v>9608</x:v>
      </x:c>
      <x:c r="G322" s="14" t="n">
        <x:v>8733</x:v>
      </x:c>
      <x:c r="H322" s="14" t="n">
        <x:f>INT((F322-D322)*(A322-C322)/(E322-C322))+D322</x:f>
        <x:v>8733</x:v>
      </x:c>
      <x:c r="I322" s="68" t="n">
        <x:f>H322-G322</x:f>
        <x:v>0</x:v>
      </x:c>
      <x:c r="J322" s="14" t="n">
        <x:v>56854</x:v>
      </x:c>
      <x:c r="K322" s="14" t="n">
        <x:f>INT(H322*'공식·설정'!$B$10/'공식·설정'!$B$15)</x:f>
        <x:v>56854</x:v>
      </x:c>
      <x:c r="L322" s="68" t="n">
        <x:f>K322-J322</x:f>
        <x:v>0</x:v>
      </x:c>
      <x:c r="M322" s="65" t="n">
        <x:f>J322/'공식·설정'!$B$7</x:f>
        <x:v>222.0859375</x:v>
      </x:c>
      <x:c r="N322" s="65" t="n">
        <x:f>K322/'공식·설정'!$B$7</x:f>
        <x:v>222.0859375</x:v>
      </x:c>
      <x:c r="O322" s="14" t="n">
        <x:v>22</x:v>
      </x:c>
      <x:c r="P322" s="14" t="n">
        <x:f>MIN(32767,MAX(0,INT((K322+INT('공식·설정'!$B$12/2))/'공식·설정'!$B$12)))</x:f>
        <x:v>22</x:v>
      </x:c>
      <x:c r="Q322" s="68" t="n">
        <x:f>P322-O322</x:f>
        <x:v>0</x:v>
      </x:c>
      <x:c r="R322" s="14" t="n">
        <x:v>64768</x:v>
      </x:c>
      <x:c r="S322" s="14" t="n">
        <x:f>P322*'공식·설정'!$B$12+'공식·설정'!$B$14</x:f>
        <x:v>64768</x:v>
      </x:c>
      <x:c r="T322" s="68" t="n">
        <x:f>S322-R322</x:f>
        <x:v>0</x:v>
      </x:c>
      <x:c r="U322" s="65" t="n">
        <x:f>R322/'공식·설정'!$B$7</x:f>
        <x:v>253</x:v>
      </x:c>
      <x:c r="V322" s="65" t="n">
        <x:f>S322/'공식·설정'!$B$7</x:f>
        <x:v>253</x:v>
      </x:c>
      <x:c r="W322" s="14" t="n">
        <x:v>727</x:v>
      </x:c>
      <x:c r="X322" s="14" t="n">
        <x:f>INT(ABS(K323-K322)*'공식·설정'!$B$8/K322)</x:f>
        <x:v>727</x:v>
      </x:c>
      <x:c r="Y322" s="68" t="n">
        <x:f>X322-W322</x:f>
        <x:v>0</x:v>
      </x:c>
      <x:c r="Z322" s="66" t="n">
        <x:f>W322/'공식·설정'!$B$8</x:f>
        <x:v>0.0110931396484375</x:v>
      </x:c>
      <x:c r="AA322" s="66" t="n">
        <x:f>X322/'공식·설정'!$B$8</x:f>
        <x:v>0.0110931396484375</x:v>
      </x:c>
      <x:c r="AB322" s="67" t="str">
        <x:f>IF(AND(I322=0,L322=0,Q322=0,T322=0,Y322=0),"PASS","FAIL")</x:f>
        <x:v>PASS</x:v>
      </x:c>
    </x:row>
    <x:row r="323" ht="18" customHeight="1">
      <x:c r="A323" s="14" t="n">
        <x:v>426</x:v>
      </x:c>
      <x:c r="B323" s="14" t="n">
        <x:v>318</x:v>
      </x:c>
      <x:c r="C323" s="14" t="n">
        <x:v>420</x:v>
      </x:c>
      <x:c r="D323" s="14" t="n">
        <x:v>8248</x:v>
      </x:c>
      <x:c r="E323" s="14" t="n">
        <x:v>434</x:v>
      </x:c>
      <x:c r="F323" s="14" t="n">
        <x:v>9608</x:v>
      </x:c>
      <x:c r="G323" s="14" t="n">
        <x:v>8830</x:v>
      </x:c>
      <x:c r="H323" s="14" t="n">
        <x:f>INT((F323-D323)*(A323-C323)/(E323-C323))+D323</x:f>
        <x:v>8830</x:v>
      </x:c>
      <x:c r="I323" s="68" t="n">
        <x:f>H323-G323</x:f>
        <x:v>0</x:v>
      </x:c>
      <x:c r="J323" s="14" t="n">
        <x:v>57485</x:v>
      </x:c>
      <x:c r="K323" s="14" t="n">
        <x:f>INT(H323*'공식·설정'!$B$10/'공식·설정'!$B$15)</x:f>
        <x:v>57485</x:v>
      </x:c>
      <x:c r="L323" s="68" t="n">
        <x:f>K323-J323</x:f>
        <x:v>0</x:v>
      </x:c>
      <x:c r="M323" s="65" t="n">
        <x:f>J323/'공식·설정'!$B$7</x:f>
        <x:v>224.55078125</x:v>
      </x:c>
      <x:c r="N323" s="65" t="n">
        <x:f>K323/'공식·설정'!$B$7</x:f>
        <x:v>224.55078125</x:v>
      </x:c>
      <x:c r="O323" s="14" t="n">
        <x:v>22</x:v>
      </x:c>
      <x:c r="P323" s="14" t="n">
        <x:f>MIN(32767,MAX(0,INT((K323+INT('공식·설정'!$B$12/2))/'공식·설정'!$B$12)))</x:f>
        <x:v>22</x:v>
      </x:c>
      <x:c r="Q323" s="68" t="n">
        <x:f>P323-O323</x:f>
        <x:v>0</x:v>
      </x:c>
      <x:c r="R323" s="14" t="n">
        <x:v>64768</x:v>
      </x:c>
      <x:c r="S323" s="14" t="n">
        <x:f>P323*'공식·설정'!$B$12+'공식·설정'!$B$14</x:f>
        <x:v>64768</x:v>
      </x:c>
      <x:c r="T323" s="68" t="n">
        <x:f>S323-R323</x:f>
        <x:v>0</x:v>
      </x:c>
      <x:c r="U323" s="65" t="n">
        <x:f>R323/'공식·설정'!$B$7</x:f>
        <x:v>253</x:v>
      </x:c>
      <x:c r="V323" s="65" t="n">
        <x:f>S323/'공식·설정'!$B$7</x:f>
        <x:v>253</x:v>
      </x:c>
      <x:c r="W323" s="14" t="n">
        <x:v>727</x:v>
      </x:c>
      <x:c r="X323" s="14" t="n">
        <x:f>INT(ABS(K324-K323)*'공식·설정'!$B$8/K323)</x:f>
        <x:v>727</x:v>
      </x:c>
      <x:c r="Y323" s="68" t="n">
        <x:f>X323-W323</x:f>
        <x:v>0</x:v>
      </x:c>
      <x:c r="Z323" s="66" t="n">
        <x:f>W323/'공식·설정'!$B$8</x:f>
        <x:v>0.0110931396484375</x:v>
      </x:c>
      <x:c r="AA323" s="66" t="n">
        <x:f>X323/'공식·설정'!$B$8</x:f>
        <x:v>0.0110931396484375</x:v>
      </x:c>
      <x:c r="AB323" s="67" t="str">
        <x:f>IF(AND(I323=0,L323=0,Q323=0,T323=0,Y323=0),"PASS","FAIL")</x:f>
        <x:v>PASS</x:v>
      </x:c>
    </x:row>
    <x:row r="324" ht="18" customHeight="1">
      <x:c r="A324" s="14" t="n">
        <x:v>427</x:v>
      </x:c>
      <x:c r="B324" s="14" t="n">
        <x:v>319</x:v>
      </x:c>
      <x:c r="C324" s="14" t="n">
        <x:v>420</x:v>
      </x:c>
      <x:c r="D324" s="14" t="n">
        <x:v>8248</x:v>
      </x:c>
      <x:c r="E324" s="14" t="n">
        <x:v>434</x:v>
      </x:c>
      <x:c r="F324" s="14" t="n">
        <x:v>9608</x:v>
      </x:c>
      <x:c r="G324" s="14" t="n">
        <x:v>8928</x:v>
      </x:c>
      <x:c r="H324" s="14" t="n">
        <x:f>INT((F324-D324)*(A324-C324)/(E324-C324))+D324</x:f>
        <x:v>8928</x:v>
      </x:c>
      <x:c r="I324" s="68" t="n">
        <x:f>H324-G324</x:f>
        <x:v>0</x:v>
      </x:c>
      <x:c r="J324" s="14" t="n">
        <x:v>58123</x:v>
      </x:c>
      <x:c r="K324" s="14" t="n">
        <x:f>INT(H324*'공식·설정'!$B$10/'공식·설정'!$B$15)</x:f>
        <x:v>58123</x:v>
      </x:c>
      <x:c r="L324" s="68" t="n">
        <x:f>K324-J324</x:f>
        <x:v>0</x:v>
      </x:c>
      <x:c r="M324" s="65" t="n">
        <x:f>J324/'공식·설정'!$B$7</x:f>
        <x:v>227.04296875</x:v>
      </x:c>
      <x:c r="N324" s="65" t="n">
        <x:f>K324/'공식·설정'!$B$7</x:f>
        <x:v>227.04296875</x:v>
      </x:c>
      <x:c r="O324" s="14" t="n">
        <x:v>23</x:v>
      </x:c>
      <x:c r="P324" s="14" t="n">
        <x:f>MIN(32767,MAX(0,INT((K324+INT('공식·설정'!$B$12/2))/'공식·설정'!$B$12)))</x:f>
        <x:v>23</x:v>
      </x:c>
      <x:c r="Q324" s="68" t="n">
        <x:f>P324-O324</x:f>
        <x:v>0</x:v>
      </x:c>
      <x:c r="R324" s="14" t="n">
        <x:v>67328</x:v>
      </x:c>
      <x:c r="S324" s="14" t="n">
        <x:f>P324*'공식·설정'!$B$12+'공식·설정'!$B$14</x:f>
        <x:v>67328</x:v>
      </x:c>
      <x:c r="T324" s="68" t="n">
        <x:f>S324-R324</x:f>
        <x:v>0</x:v>
      </x:c>
      <x:c r="U324" s="65" t="n">
        <x:f>R324/'공식·설정'!$B$7</x:f>
        <x:v>263</x:v>
      </x:c>
      <x:c r="V324" s="65" t="n">
        <x:f>S324/'공식·설정'!$B$7</x:f>
        <x:v>263</x:v>
      </x:c>
      <x:c r="W324" s="14" t="n">
        <x:v>712</x:v>
      </x:c>
      <x:c r="X324" s="14" t="n">
        <x:f>INT(ABS(K325-K324)*'공식·설정'!$B$8/K324)</x:f>
        <x:v>712</x:v>
      </x:c>
      <x:c r="Y324" s="68" t="n">
        <x:f>X324-W324</x:f>
        <x:v>0</x:v>
      </x:c>
      <x:c r="Z324" s="66" t="n">
        <x:f>W324/'공식·설정'!$B$8</x:f>
        <x:v>0.0108642578125</x:v>
      </x:c>
      <x:c r="AA324" s="66" t="n">
        <x:f>X324/'공식·설정'!$B$8</x:f>
        <x:v>0.0108642578125</x:v>
      </x:c>
      <x:c r="AB324" s="67" t="str">
        <x:f>IF(AND(I324=0,L324=0,Q324=0,T324=0,Y324=0),"PASS","FAIL")</x:f>
        <x:v>PASS</x:v>
      </x:c>
    </x:row>
    <x:row r="325" ht="18" customHeight="1">
      <x:c r="A325" s="14" t="n">
        <x:v>428</x:v>
      </x:c>
      <x:c r="B325" s="14" t="n">
        <x:v>320</x:v>
      </x:c>
      <x:c r="C325" s="14" t="n">
        <x:v>420</x:v>
      </x:c>
      <x:c r="D325" s="14" t="n">
        <x:v>8248</x:v>
      </x:c>
      <x:c r="E325" s="14" t="n">
        <x:v>434</x:v>
      </x:c>
      <x:c r="F325" s="14" t="n">
        <x:v>9608</x:v>
      </x:c>
      <x:c r="G325" s="14" t="n">
        <x:v>9025</x:v>
      </x:c>
      <x:c r="H325" s="14" t="n">
        <x:f>INT((F325-D325)*(A325-C325)/(E325-C325))+D325</x:f>
        <x:v>9025</x:v>
      </x:c>
      <x:c r="I325" s="68" t="n">
        <x:f>H325-G325</x:f>
        <x:v>0</x:v>
      </x:c>
      <x:c r="J325" s="14" t="n">
        <x:v>58755</x:v>
      </x:c>
      <x:c r="K325" s="14" t="n">
        <x:f>INT(H325*'공식·설정'!$B$10/'공식·설정'!$B$15)</x:f>
        <x:v>58755</x:v>
      </x:c>
      <x:c r="L325" s="68" t="n">
        <x:f>K325-J325</x:f>
        <x:v>0</x:v>
      </x:c>
      <x:c r="M325" s="65" t="n">
        <x:f>J325/'공식·설정'!$B$7</x:f>
        <x:v>229.51171875</x:v>
      </x:c>
      <x:c r="N325" s="65" t="n">
        <x:f>K325/'공식·설정'!$B$7</x:f>
        <x:v>229.51171875</x:v>
      </x:c>
      <x:c r="O325" s="14" t="n">
        <x:v>23</x:v>
      </x:c>
      <x:c r="P325" s="14" t="n">
        <x:f>MIN(32767,MAX(0,INT((K325+INT('공식·설정'!$B$12/2))/'공식·설정'!$B$12)))</x:f>
        <x:v>23</x:v>
      </x:c>
      <x:c r="Q325" s="68" t="n">
        <x:f>P325-O325</x:f>
        <x:v>0</x:v>
      </x:c>
      <x:c r="R325" s="14" t="n">
        <x:v>67328</x:v>
      </x:c>
      <x:c r="S325" s="14" t="n">
        <x:f>P325*'공식·설정'!$B$12+'공식·설정'!$B$14</x:f>
        <x:v>67328</x:v>
      </x:c>
      <x:c r="T325" s="68" t="n">
        <x:f>S325-R325</x:f>
        <x:v>0</x:v>
      </x:c>
      <x:c r="U325" s="65" t="n">
        <x:f>R325/'공식·설정'!$B$7</x:f>
        <x:v>263</x:v>
      </x:c>
      <x:c r="V325" s="65" t="n">
        <x:f>S325/'공식·설정'!$B$7</x:f>
        <x:v>263</x:v>
      </x:c>
      <x:c r="W325" s="14" t="n">
        <x:v>703</x:v>
      </x:c>
      <x:c r="X325" s="14" t="n">
        <x:f>INT(ABS(K326-K325)*'공식·설정'!$B$8/K325)</x:f>
        <x:v>703</x:v>
      </x:c>
      <x:c r="Y325" s="68" t="n">
        <x:f>X325-W325</x:f>
        <x:v>0</x:v>
      </x:c>
      <x:c r="Z325" s="66" t="n">
        <x:f>W325/'공식·설정'!$B$8</x:f>
        <x:v>0.0107269287109375</x:v>
      </x:c>
      <x:c r="AA325" s="66" t="n">
        <x:f>X325/'공식·설정'!$B$8</x:f>
        <x:v>0.0107269287109375</x:v>
      </x:c>
      <x:c r="AB325" s="67" t="str">
        <x:f>IF(AND(I325=0,L325=0,Q325=0,T325=0,Y325=0),"PASS","FAIL")</x:f>
        <x:v>PASS</x:v>
      </x:c>
    </x:row>
    <x:row r="326" ht="18" customHeight="1">
      <x:c r="A326" s="14" t="n">
        <x:v>429</x:v>
      </x:c>
      <x:c r="B326" s="14" t="n">
        <x:v>321</x:v>
      </x:c>
      <x:c r="C326" s="14" t="n">
        <x:v>420</x:v>
      </x:c>
      <x:c r="D326" s="14" t="n">
        <x:v>8248</x:v>
      </x:c>
      <x:c r="E326" s="14" t="n">
        <x:v>434</x:v>
      </x:c>
      <x:c r="F326" s="14" t="n">
        <x:v>9608</x:v>
      </x:c>
      <x:c r="G326" s="14" t="n">
        <x:v>9122</x:v>
      </x:c>
      <x:c r="H326" s="14" t="n">
        <x:f>INT((F326-D326)*(A326-C326)/(E326-C326))+D326</x:f>
        <x:v>9122</x:v>
      </x:c>
      <x:c r="I326" s="68" t="n">
        <x:f>H326-G326</x:f>
        <x:v>0</x:v>
      </x:c>
      <x:c r="J326" s="14" t="n">
        <x:v>59386</x:v>
      </x:c>
      <x:c r="K326" s="14" t="n">
        <x:f>INT(H326*'공식·설정'!$B$10/'공식·설정'!$B$15)</x:f>
        <x:v>59386</x:v>
      </x:c>
      <x:c r="L326" s="68" t="n">
        <x:f>K326-J326</x:f>
        <x:v>0</x:v>
      </x:c>
      <x:c r="M326" s="65" t="n">
        <x:f>J326/'공식·설정'!$B$7</x:f>
        <x:v>231.9765625</x:v>
      </x:c>
      <x:c r="N326" s="65" t="n">
        <x:f>K326/'공식·설정'!$B$7</x:f>
        <x:v>231.9765625</x:v>
      </x:c>
      <x:c r="O326" s="14" t="n">
        <x:v>23</x:v>
      </x:c>
      <x:c r="P326" s="14" t="n">
        <x:f>MIN(32767,MAX(0,INT((K326+INT('공식·설정'!$B$12/2))/'공식·설정'!$B$12)))</x:f>
        <x:v>23</x:v>
      </x:c>
      <x:c r="Q326" s="68" t="n">
        <x:f>P326-O326</x:f>
        <x:v>0</x:v>
      </x:c>
      <x:c r="R326" s="14" t="n">
        <x:v>67328</x:v>
      </x:c>
      <x:c r="S326" s="14" t="n">
        <x:f>P326*'공식·설정'!$B$12+'공식·설정'!$B$14</x:f>
        <x:v>67328</x:v>
      </x:c>
      <x:c r="T326" s="68" t="n">
        <x:f>S326-R326</x:f>
        <x:v>0</x:v>
      </x:c>
      <x:c r="U326" s="65" t="n">
        <x:f>R326/'공식·설정'!$B$7</x:f>
        <x:v>263</x:v>
      </x:c>
      <x:c r="V326" s="65" t="n">
        <x:f>S326/'공식·설정'!$B$7</x:f>
        <x:v>263</x:v>
      </x:c>
      <x:c r="W326" s="14" t="n">
        <x:v>697</x:v>
      </x:c>
      <x:c r="X326" s="14" t="n">
        <x:f>INT(ABS(K327-K326)*'공식·설정'!$B$8/K326)</x:f>
        <x:v>697</x:v>
      </x:c>
      <x:c r="Y326" s="68" t="n">
        <x:f>X326-W326</x:f>
        <x:v>0</x:v>
      </x:c>
      <x:c r="Z326" s="66" t="n">
        <x:f>W326/'공식·설정'!$B$8</x:f>
        <x:v>0.0106353759765625</x:v>
      </x:c>
      <x:c r="AA326" s="66" t="n">
        <x:f>X326/'공식·설정'!$B$8</x:f>
        <x:v>0.0106353759765625</x:v>
      </x:c>
      <x:c r="AB326" s="67" t="str">
        <x:f>IF(AND(I326=0,L326=0,Q326=0,T326=0,Y326=0),"PASS","FAIL")</x:f>
        <x:v>PASS</x:v>
      </x:c>
    </x:row>
    <x:row r="327" ht="18" customHeight="1">
      <x:c r="A327" s="14" t="n">
        <x:v>430</x:v>
      </x:c>
      <x:c r="B327" s="14" t="n">
        <x:v>322</x:v>
      </x:c>
      <x:c r="C327" s="14" t="n">
        <x:v>420</x:v>
      </x:c>
      <x:c r="D327" s="14" t="n">
        <x:v>8248</x:v>
      </x:c>
      <x:c r="E327" s="14" t="n">
        <x:v>434</x:v>
      </x:c>
      <x:c r="F327" s="14" t="n">
        <x:v>9608</x:v>
      </x:c>
      <x:c r="G327" s="14" t="n">
        <x:v>9219</x:v>
      </x:c>
      <x:c r="H327" s="14" t="n">
        <x:f>INT((F327-D327)*(A327-C327)/(E327-C327))+D327</x:f>
        <x:v>9219</x:v>
      </x:c>
      <x:c r="I327" s="68" t="n">
        <x:f>H327-G327</x:f>
        <x:v>0</x:v>
      </x:c>
      <x:c r="J327" s="14" t="n">
        <x:v>60018</x:v>
      </x:c>
      <x:c r="K327" s="14" t="n">
        <x:f>INT(H327*'공식·설정'!$B$10/'공식·설정'!$B$15)</x:f>
        <x:v>60018</x:v>
      </x:c>
      <x:c r="L327" s="68" t="n">
        <x:f>K327-J327</x:f>
        <x:v>0</x:v>
      </x:c>
      <x:c r="M327" s="65" t="n">
        <x:f>J327/'공식·설정'!$B$7</x:f>
        <x:v>234.4453125</x:v>
      </x:c>
      <x:c r="N327" s="65" t="n">
        <x:f>K327/'공식·설정'!$B$7</x:f>
        <x:v>234.4453125</x:v>
      </x:c>
      <x:c r="O327" s="14" t="n">
        <x:v>23</x:v>
      </x:c>
      <x:c r="P327" s="14" t="n">
        <x:f>MIN(32767,MAX(0,INT((K327+INT('공식·설정'!$B$12/2))/'공식·설정'!$B$12)))</x:f>
        <x:v>23</x:v>
      </x:c>
      <x:c r="Q327" s="68" t="n">
        <x:f>P327-O327</x:f>
        <x:v>0</x:v>
      </x:c>
      <x:c r="R327" s="14" t="n">
        <x:v>67328</x:v>
      </x:c>
      <x:c r="S327" s="14" t="n">
        <x:f>P327*'공식·설정'!$B$12+'공식·설정'!$B$14</x:f>
        <x:v>67328</x:v>
      </x:c>
      <x:c r="T327" s="68" t="n">
        <x:f>S327-R327</x:f>
        <x:v>0</x:v>
      </x:c>
      <x:c r="U327" s="65" t="n">
        <x:f>R327/'공식·설정'!$B$7</x:f>
        <x:v>263</x:v>
      </x:c>
      <x:c r="V327" s="65" t="n">
        <x:f>S327/'공식·설정'!$B$7</x:f>
        <x:v>263</x:v>
      </x:c>
      <x:c r="W327" s="14" t="n">
        <x:v>689</x:v>
      </x:c>
      <x:c r="X327" s="14" t="n">
        <x:f>INT(ABS(K328-K327)*'공식·설정'!$B$8/K327)</x:f>
        <x:v>689</x:v>
      </x:c>
      <x:c r="Y327" s="68" t="n">
        <x:f>X327-W327</x:f>
        <x:v>0</x:v>
      </x:c>
      <x:c r="Z327" s="66" t="n">
        <x:f>W327/'공식·설정'!$B$8</x:f>
        <x:v>0.0105133056640625</x:v>
      </x:c>
      <x:c r="AA327" s="66" t="n">
        <x:f>X327/'공식·설정'!$B$8</x:f>
        <x:v>0.0105133056640625</x:v>
      </x:c>
      <x:c r="AB327" s="67" t="str">
        <x:f>IF(AND(I327=0,L327=0,Q327=0,T327=0,Y327=0),"PASS","FAIL")</x:f>
        <x:v>PASS</x:v>
      </x:c>
    </x:row>
    <x:row r="328" ht="18" customHeight="1">
      <x:c r="A328" s="14" t="n">
        <x:v>431</x:v>
      </x:c>
      <x:c r="B328" s="14" t="n">
        <x:v>323</x:v>
      </x:c>
      <x:c r="C328" s="14" t="n">
        <x:v>420</x:v>
      </x:c>
      <x:c r="D328" s="14" t="n">
        <x:v>8248</x:v>
      </x:c>
      <x:c r="E328" s="14" t="n">
        <x:v>434</x:v>
      </x:c>
      <x:c r="F328" s="14" t="n">
        <x:v>9608</x:v>
      </x:c>
      <x:c r="G328" s="14" t="n">
        <x:v>9316</x:v>
      </x:c>
      <x:c r="H328" s="14" t="n">
        <x:f>INT((F328-D328)*(A328-C328)/(E328-C328))+D328</x:f>
        <x:v>9316</x:v>
      </x:c>
      <x:c r="I328" s="68" t="n">
        <x:f>H328-G328</x:f>
        <x:v>0</x:v>
      </x:c>
      <x:c r="J328" s="14" t="n">
        <x:v>60649</x:v>
      </x:c>
      <x:c r="K328" s="14" t="n">
        <x:f>INT(H328*'공식·설정'!$B$10/'공식·설정'!$B$15)</x:f>
        <x:v>60649</x:v>
      </x:c>
      <x:c r="L328" s="68" t="n">
        <x:f>K328-J328</x:f>
        <x:v>0</x:v>
      </x:c>
      <x:c r="M328" s="65" t="n">
        <x:f>J328/'공식·설정'!$B$7</x:f>
        <x:v>236.91015625</x:v>
      </x:c>
      <x:c r="N328" s="65" t="n">
        <x:f>K328/'공식·설정'!$B$7</x:f>
        <x:v>236.91015625</x:v>
      </x:c>
      <x:c r="O328" s="14" t="n">
        <x:v>24</x:v>
      </x:c>
      <x:c r="P328" s="14" t="n">
        <x:f>MIN(32767,MAX(0,INT((K328+INT('공식·설정'!$B$12/2))/'공식·설정'!$B$12)))</x:f>
        <x:v>24</x:v>
      </x:c>
      <x:c r="Q328" s="68" t="n">
        <x:f>P328-O328</x:f>
        <x:v>0</x:v>
      </x:c>
      <x:c r="R328" s="14" t="n">
        <x:v>69888</x:v>
      </x:c>
      <x:c r="S328" s="14" t="n">
        <x:f>P328*'공식·설정'!$B$12+'공식·설정'!$B$14</x:f>
        <x:v>69888</x:v>
      </x:c>
      <x:c r="T328" s="68" t="n">
        <x:f>S328-R328</x:f>
        <x:v>0</x:v>
      </x:c>
      <x:c r="U328" s="65" t="n">
        <x:f>R328/'공식·설정'!$B$7</x:f>
        <x:v>273</x:v>
      </x:c>
      <x:c r="V328" s="65" t="n">
        <x:f>S328/'공식·설정'!$B$7</x:f>
        <x:v>273</x:v>
      </x:c>
      <x:c r="W328" s="14" t="n">
        <x:v>682</x:v>
      </x:c>
      <x:c r="X328" s="14" t="n">
        <x:f>INT(ABS(K329-K328)*'공식·설정'!$B$8/K328)</x:f>
        <x:v>682</x:v>
      </x:c>
      <x:c r="Y328" s="68" t="n">
        <x:f>X328-W328</x:f>
        <x:v>0</x:v>
      </x:c>
      <x:c r="Z328" s="66" t="n">
        <x:f>W328/'공식·설정'!$B$8</x:f>
        <x:v>0.010406494140625</x:v>
      </x:c>
      <x:c r="AA328" s="66" t="n">
        <x:f>X328/'공식·설정'!$B$8</x:f>
        <x:v>0.010406494140625</x:v>
      </x:c>
      <x:c r="AB328" s="67" t="str">
        <x:f>IF(AND(I328=0,L328=0,Q328=0,T328=0,Y328=0),"PASS","FAIL")</x:f>
        <x:v>PASS</x:v>
      </x:c>
    </x:row>
    <x:row r="329" ht="18" customHeight="1">
      <x:c r="A329" s="14" t="n">
        <x:v>432</x:v>
      </x:c>
      <x:c r="B329" s="14" t="n">
        <x:v>324</x:v>
      </x:c>
      <x:c r="C329" s="14" t="n">
        <x:v>420</x:v>
      </x:c>
      <x:c r="D329" s="14" t="n">
        <x:v>8248</x:v>
      </x:c>
      <x:c r="E329" s="14" t="n">
        <x:v>434</x:v>
      </x:c>
      <x:c r="F329" s="14" t="n">
        <x:v>9608</x:v>
      </x:c>
      <x:c r="G329" s="14" t="n">
        <x:v>9413</x:v>
      </x:c>
      <x:c r="H329" s="14" t="n">
        <x:f>INT((F329-D329)*(A329-C329)/(E329-C329))+D329</x:f>
        <x:v>9413</x:v>
      </x:c>
      <x:c r="I329" s="68" t="n">
        <x:f>H329-G329</x:f>
        <x:v>0</x:v>
      </x:c>
      <x:c r="J329" s="14" t="n">
        <x:v>61281</x:v>
      </x:c>
      <x:c r="K329" s="14" t="n">
        <x:f>INT(H329*'공식·설정'!$B$10/'공식·설정'!$B$15)</x:f>
        <x:v>61281</x:v>
      </x:c>
      <x:c r="L329" s="68" t="n">
        <x:f>K329-J329</x:f>
        <x:v>0</x:v>
      </x:c>
      <x:c r="M329" s="65" t="n">
        <x:f>J329/'공식·설정'!$B$7</x:f>
        <x:v>239.37890625</x:v>
      </x:c>
      <x:c r="N329" s="65" t="n">
        <x:f>K329/'공식·설정'!$B$7</x:f>
        <x:v>239.37890625</x:v>
      </x:c>
      <x:c r="O329" s="14" t="n">
        <x:v>24</x:v>
      </x:c>
      <x:c r="P329" s="14" t="n">
        <x:f>MIN(32767,MAX(0,INT((K329+INT('공식·설정'!$B$12/2))/'공식·설정'!$B$12)))</x:f>
        <x:v>24</x:v>
      </x:c>
      <x:c r="Q329" s="68" t="n">
        <x:f>P329-O329</x:f>
        <x:v>0</x:v>
      </x:c>
      <x:c r="R329" s="14" t="n">
        <x:v>69888</x:v>
      </x:c>
      <x:c r="S329" s="14" t="n">
        <x:f>P329*'공식·설정'!$B$12+'공식·설정'!$B$14</x:f>
        <x:v>69888</x:v>
      </x:c>
      <x:c r="T329" s="68" t="n">
        <x:f>S329-R329</x:f>
        <x:v>0</x:v>
      </x:c>
      <x:c r="U329" s="65" t="n">
        <x:f>R329/'공식·설정'!$B$7</x:f>
        <x:v>273</x:v>
      </x:c>
      <x:c r="V329" s="65" t="n">
        <x:f>S329/'공식·설정'!$B$7</x:f>
        <x:v>273</x:v>
      </x:c>
      <x:c r="W329" s="14" t="n">
        <x:v>674</x:v>
      </x:c>
      <x:c r="X329" s="14" t="n">
        <x:f>INT(ABS(K330-K329)*'공식·설정'!$B$8/K329)</x:f>
        <x:v>674</x:v>
      </x:c>
      <x:c r="Y329" s="68" t="n">
        <x:f>X329-W329</x:f>
        <x:v>0</x:v>
      </x:c>
      <x:c r="Z329" s="66" t="n">
        <x:f>W329/'공식·설정'!$B$8</x:f>
        <x:v>0.010284423828125</x:v>
      </x:c>
      <x:c r="AA329" s="66" t="n">
        <x:f>X329/'공식·설정'!$B$8</x:f>
        <x:v>0.010284423828125</x:v>
      </x:c>
      <x:c r="AB329" s="67" t="str">
        <x:f>IF(AND(I329=0,L329=0,Q329=0,T329=0,Y329=0),"PASS","FAIL")</x:f>
        <x:v>PASS</x:v>
      </x:c>
    </x:row>
    <x:row r="330" ht="18" customHeight="1">
      <x:c r="A330" s="14" t="n">
        <x:v>433</x:v>
      </x:c>
      <x:c r="B330" s="14" t="n">
        <x:v>325</x:v>
      </x:c>
      <x:c r="C330" s="14" t="n">
        <x:v>420</x:v>
      </x:c>
      <x:c r="D330" s="14" t="n">
        <x:v>8248</x:v>
      </x:c>
      <x:c r="E330" s="14" t="n">
        <x:v>434</x:v>
      </x:c>
      <x:c r="F330" s="14" t="n">
        <x:v>9608</x:v>
      </x:c>
      <x:c r="G330" s="14" t="n">
        <x:v>9510</x:v>
      </x:c>
      <x:c r="H330" s="14" t="n">
        <x:f>INT((F330-D330)*(A330-C330)/(E330-C330))+D330</x:f>
        <x:v>9510</x:v>
      </x:c>
      <x:c r="I330" s="68" t="n">
        <x:f>H330-G330</x:f>
        <x:v>0</x:v>
      </x:c>
      <x:c r="J330" s="14" t="n">
        <x:v>61912</x:v>
      </x:c>
      <x:c r="K330" s="14" t="n">
        <x:f>INT(H330*'공식·설정'!$B$10/'공식·설정'!$B$15)</x:f>
        <x:v>61912</x:v>
      </x:c>
      <x:c r="L330" s="68" t="n">
        <x:f>K330-J330</x:f>
        <x:v>0</x:v>
      </x:c>
      <x:c r="M330" s="65" t="n">
        <x:f>J330/'공식·설정'!$B$7</x:f>
        <x:v>241.84375</x:v>
      </x:c>
      <x:c r="N330" s="65" t="n">
        <x:f>K330/'공식·설정'!$B$7</x:f>
        <x:v>241.84375</x:v>
      </x:c>
      <x:c r="O330" s="14" t="n">
        <x:v>24</x:v>
      </x:c>
      <x:c r="P330" s="14" t="n">
        <x:f>MIN(32767,MAX(0,INT((K330+INT('공식·설정'!$B$12/2))/'공식·설정'!$B$12)))</x:f>
        <x:v>24</x:v>
      </x:c>
      <x:c r="Q330" s="68" t="n">
        <x:f>P330-O330</x:f>
        <x:v>0</x:v>
      </x:c>
      <x:c r="R330" s="14" t="n">
        <x:v>69888</x:v>
      </x:c>
      <x:c r="S330" s="14" t="n">
        <x:f>P330*'공식·설정'!$B$12+'공식·설정'!$B$14</x:f>
        <x:v>69888</x:v>
      </x:c>
      <x:c r="T330" s="68" t="n">
        <x:f>S330-R330</x:f>
        <x:v>0</x:v>
      </x:c>
      <x:c r="U330" s="65" t="n">
        <x:f>R330/'공식·설정'!$B$7</x:f>
        <x:v>273</x:v>
      </x:c>
      <x:c r="V330" s="65" t="n">
        <x:f>S330/'공식·설정'!$B$7</x:f>
        <x:v>273</x:v>
      </x:c>
      <x:c r="W330" s="14" t="n">
        <x:v>675</x:v>
      </x:c>
      <x:c r="X330" s="14" t="n">
        <x:f>INT(ABS(K331-K330)*'공식·설정'!$B$8/K330)</x:f>
        <x:v>675</x:v>
      </x:c>
      <x:c r="Y330" s="68" t="n">
        <x:f>X330-W330</x:f>
        <x:v>0</x:v>
      </x:c>
      <x:c r="Z330" s="66" t="n">
        <x:f>W330/'공식·설정'!$B$8</x:f>
        <x:v>0.0102996826171875</x:v>
      </x:c>
      <x:c r="AA330" s="66" t="n">
        <x:f>X330/'공식·설정'!$B$8</x:f>
        <x:v>0.0102996826171875</x:v>
      </x:c>
      <x:c r="AB330" s="67" t="str">
        <x:f>IF(AND(I330=0,L330=0,Q330=0,T330=0,Y330=0),"PASS","FAIL")</x:f>
        <x:v>PASS</x:v>
      </x:c>
    </x:row>
    <x:row r="331" ht="18" customHeight="1">
      <x:c r="A331" s="14" t="n">
        <x:v>434</x:v>
      </x:c>
      <x:c r="B331" s="14" t="n">
        <x:v>326</x:v>
      </x:c>
      <x:c r="C331" s="14" t="n">
        <x:v>434</x:v>
      </x:c>
      <x:c r="D331" s="14" t="n">
        <x:v>9608</x:v>
      </x:c>
      <x:c r="E331" s="14" t="n">
        <x:v>448</x:v>
      </x:c>
      <x:c r="F331" s="14" t="n">
        <x:v>11190</x:v>
      </x:c>
      <x:c r="G331" s="14" t="n">
        <x:v>9608</x:v>
      </x:c>
      <x:c r="H331" s="14" t="n">
        <x:f>INT((F331-D331)*(A331-C331)/(E331-C331))+D331</x:f>
        <x:v>9608</x:v>
      </x:c>
      <x:c r="I331" s="68" t="n">
        <x:f>H331-G331</x:f>
        <x:v>0</x:v>
      </x:c>
      <x:c r="J331" s="14" t="n">
        <x:v>62550</x:v>
      </x:c>
      <x:c r="K331" s="14" t="n">
        <x:f>INT(H331*'공식·설정'!$B$10/'공식·설정'!$B$15)</x:f>
        <x:v>62550</x:v>
      </x:c>
      <x:c r="L331" s="68" t="n">
        <x:f>K331-J331</x:f>
        <x:v>0</x:v>
      </x:c>
      <x:c r="M331" s="65" t="n">
        <x:f>J331/'공식·설정'!$B$7</x:f>
        <x:v>244.3359375</x:v>
      </x:c>
      <x:c r="N331" s="65" t="n">
        <x:f>K331/'공식·설정'!$B$7</x:f>
        <x:v>244.3359375</x:v>
      </x:c>
      <x:c r="O331" s="14" t="n">
        <x:v>24</x:v>
      </x:c>
      <x:c r="P331" s="14" t="n">
        <x:f>MIN(32767,MAX(0,INT((K331+INT('공식·설정'!$B$12/2))/'공식·설정'!$B$12)))</x:f>
        <x:v>24</x:v>
      </x:c>
      <x:c r="Q331" s="68" t="n">
        <x:f>P331-O331</x:f>
        <x:v>0</x:v>
      </x:c>
      <x:c r="R331" s="14" t="n">
        <x:v>69888</x:v>
      </x:c>
      <x:c r="S331" s="14" t="n">
        <x:f>P331*'공식·설정'!$B$12+'공식·설정'!$B$14</x:f>
        <x:v>69888</x:v>
      </x:c>
      <x:c r="T331" s="68" t="n">
        <x:f>S331-R331</x:f>
        <x:v>0</x:v>
      </x:c>
      <x:c r="U331" s="65" t="n">
        <x:f>R331/'공식·설정'!$B$7</x:f>
        <x:v>273</x:v>
      </x:c>
      <x:c r="V331" s="65" t="n">
        <x:f>S331/'공식·설정'!$B$7</x:f>
        <x:v>273</x:v>
      </x:c>
      <x:c r="W331" s="14" t="n">
        <x:v>771</x:v>
      </x:c>
      <x:c r="X331" s="14" t="n">
        <x:f>INT(ABS(K332-K331)*'공식·설정'!$B$8/K331)</x:f>
        <x:v>771</x:v>
      </x:c>
      <x:c r="Y331" s="68" t="n">
        <x:f>X331-W331</x:f>
        <x:v>0</x:v>
      </x:c>
      <x:c r="Z331" s="66" t="n">
        <x:f>W331/'공식·설정'!$B$8</x:f>
        <x:v>0.0117645263671875</x:v>
      </x:c>
      <x:c r="AA331" s="66" t="n">
        <x:f>X331/'공식·설정'!$B$8</x:f>
        <x:v>0.0117645263671875</x:v>
      </x:c>
      <x:c r="AB331" s="67" t="str">
        <x:f>IF(AND(I331=0,L331=0,Q331=0,T331=0,Y331=0),"PASS","FAIL")</x:f>
        <x:v>PASS</x:v>
      </x:c>
    </x:row>
    <x:row r="332" ht="18" customHeight="1">
      <x:c r="A332" s="14" t="n">
        <x:v>435</x:v>
      </x:c>
      <x:c r="B332" s="14" t="n">
        <x:v>327</x:v>
      </x:c>
      <x:c r="C332" s="14" t="n">
        <x:v>434</x:v>
      </x:c>
      <x:c r="D332" s="14" t="n">
        <x:v>9608</x:v>
      </x:c>
      <x:c r="E332" s="14" t="n">
        <x:v>448</x:v>
      </x:c>
      <x:c r="F332" s="14" t="n">
        <x:v>11190</x:v>
      </x:c>
      <x:c r="G332" s="14" t="n">
        <x:v>9721</x:v>
      </x:c>
      <x:c r="H332" s="14" t="n">
        <x:f>INT((F332-D332)*(A332-C332)/(E332-C332))+D332</x:f>
        <x:v>9721</x:v>
      </x:c>
      <x:c r="I332" s="68" t="n">
        <x:f>H332-G332</x:f>
        <x:v>0</x:v>
      </x:c>
      <x:c r="J332" s="14" t="n">
        <x:v>63286</x:v>
      </x:c>
      <x:c r="K332" s="14" t="n">
        <x:f>INT(H332*'공식·설정'!$B$10/'공식·설정'!$B$15)</x:f>
        <x:v>63286</x:v>
      </x:c>
      <x:c r="L332" s="68" t="n">
        <x:f>K332-J332</x:f>
        <x:v>0</x:v>
      </x:c>
      <x:c r="M332" s="65" t="n">
        <x:f>J332/'공식·설정'!$B$7</x:f>
        <x:v>247.2109375</x:v>
      </x:c>
      <x:c r="N332" s="65" t="n">
        <x:f>K332/'공식·설정'!$B$7</x:f>
        <x:v>247.2109375</x:v>
      </x:c>
      <x:c r="O332" s="14" t="n">
        <x:v>25</x:v>
      </x:c>
      <x:c r="P332" s="14" t="n">
        <x:f>MIN(32767,MAX(0,INT((K332+INT('공식·설정'!$B$12/2))/'공식·설정'!$B$12)))</x:f>
        <x:v>25</x:v>
      </x:c>
      <x:c r="Q332" s="68" t="n">
        <x:f>P332-O332</x:f>
        <x:v>0</x:v>
      </x:c>
      <x:c r="R332" s="14" t="n">
        <x:v>72448</x:v>
      </x:c>
      <x:c r="S332" s="14" t="n">
        <x:f>P332*'공식·설정'!$B$12+'공식·설정'!$B$14</x:f>
        <x:v>72448</x:v>
      </x:c>
      <x:c r="T332" s="68" t="n">
        <x:f>S332-R332</x:f>
        <x:v>0</x:v>
      </x:c>
      <x:c r="U332" s="65" t="n">
        <x:f>R332/'공식·설정'!$B$7</x:f>
        <x:v>283</x:v>
      </x:c>
      <x:c r="V332" s="65" t="n">
        <x:f>S332/'공식·설정'!$B$7</x:f>
        <x:v>283</x:v>
      </x:c>
      <x:c r="W332" s="14" t="n">
        <x:v>762</x:v>
      </x:c>
      <x:c r="X332" s="14" t="n">
        <x:f>INT(ABS(K333-K332)*'공식·설정'!$B$8/K332)</x:f>
        <x:v>762</x:v>
      </x:c>
      <x:c r="Y332" s="68" t="n">
        <x:f>X332-W332</x:f>
        <x:v>0</x:v>
      </x:c>
      <x:c r="Z332" s="66" t="n">
        <x:f>W332/'공식·설정'!$B$8</x:f>
        <x:v>0.011627197265625</x:v>
      </x:c>
      <x:c r="AA332" s="66" t="n">
        <x:f>X332/'공식·설정'!$B$8</x:f>
        <x:v>0.011627197265625</x:v>
      </x:c>
      <x:c r="AB332" s="67" t="str">
        <x:f>IF(AND(I332=0,L332=0,Q332=0,T332=0,Y332=0),"PASS","FAIL")</x:f>
        <x:v>PASS</x:v>
      </x:c>
    </x:row>
    <x:row r="333" ht="18" customHeight="1">
      <x:c r="A333" s="14" t="n">
        <x:v>436</x:v>
      </x:c>
      <x:c r="B333" s="14" t="n">
        <x:v>328</x:v>
      </x:c>
      <x:c r="C333" s="14" t="n">
        <x:v>434</x:v>
      </x:c>
      <x:c r="D333" s="14" t="n">
        <x:v>9608</x:v>
      </x:c>
      <x:c r="E333" s="14" t="n">
        <x:v>448</x:v>
      </x:c>
      <x:c r="F333" s="14" t="n">
        <x:v>11190</x:v>
      </x:c>
      <x:c r="G333" s="14" t="n">
        <x:v>9834</x:v>
      </x:c>
      <x:c r="H333" s="14" t="n">
        <x:f>INT((F333-D333)*(A333-C333)/(E333-C333))+D333</x:f>
        <x:v>9834</x:v>
      </x:c>
      <x:c r="I333" s="68" t="n">
        <x:f>H333-G333</x:f>
        <x:v>0</x:v>
      </x:c>
      <x:c r="J333" s="14" t="n">
        <x:v>64022</x:v>
      </x:c>
      <x:c r="K333" s="14" t="n">
        <x:f>INT(H333*'공식·설정'!$B$10/'공식·설정'!$B$15)</x:f>
        <x:v>64022</x:v>
      </x:c>
      <x:c r="L333" s="68" t="n">
        <x:f>K333-J333</x:f>
        <x:v>0</x:v>
      </x:c>
      <x:c r="M333" s="65" t="n">
        <x:f>J333/'공식·설정'!$B$7</x:f>
        <x:v>250.0859375</x:v>
      </x:c>
      <x:c r="N333" s="65" t="n">
        <x:f>K333/'공식·설정'!$B$7</x:f>
        <x:v>250.0859375</x:v>
      </x:c>
      <x:c r="O333" s="14" t="n">
        <x:v>25</x:v>
      </x:c>
      <x:c r="P333" s="14" t="n">
        <x:f>MIN(32767,MAX(0,INT((K333+INT('공식·설정'!$B$12/2))/'공식·설정'!$B$12)))</x:f>
        <x:v>25</x:v>
      </x:c>
      <x:c r="Q333" s="68" t="n">
        <x:f>P333-O333</x:f>
        <x:v>0</x:v>
      </x:c>
      <x:c r="R333" s="14" t="n">
        <x:v>72448</x:v>
      </x:c>
      <x:c r="S333" s="14" t="n">
        <x:f>P333*'공식·설정'!$B$12+'공식·설정'!$B$14</x:f>
        <x:v>72448</x:v>
      </x:c>
      <x:c r="T333" s="68" t="n">
        <x:f>S333-R333</x:f>
        <x:v>0</x:v>
      </x:c>
      <x:c r="U333" s="65" t="n">
        <x:f>R333/'공식·설정'!$B$7</x:f>
        <x:v>283</x:v>
      </x:c>
      <x:c r="V333" s="65" t="n">
        <x:f>S333/'공식·설정'!$B$7</x:f>
        <x:v>283</x:v>
      </x:c>
      <x:c r="W333" s="14" t="n">
        <x:v>752</x:v>
      </x:c>
      <x:c r="X333" s="14" t="n">
        <x:f>INT(ABS(K334-K333)*'공식·설정'!$B$8/K333)</x:f>
        <x:v>752</x:v>
      </x:c>
      <x:c r="Y333" s="68" t="n">
        <x:f>X333-W333</x:f>
        <x:v>0</x:v>
      </x:c>
      <x:c r="Z333" s="66" t="n">
        <x:f>W333/'공식·설정'!$B$8</x:f>
        <x:v>0.011474609375</x:v>
      </x:c>
      <x:c r="AA333" s="66" t="n">
        <x:f>X333/'공식·설정'!$B$8</x:f>
        <x:v>0.011474609375</x:v>
      </x:c>
      <x:c r="AB333" s="67" t="str">
        <x:f>IF(AND(I333=0,L333=0,Q333=0,T333=0,Y333=0),"PASS","FAIL")</x:f>
        <x:v>PASS</x:v>
      </x:c>
    </x:row>
    <x:row r="334" ht="18" customHeight="1">
      <x:c r="A334" s="14" t="n">
        <x:v>437</x:v>
      </x:c>
      <x:c r="B334" s="14" t="n">
        <x:v>329</x:v>
      </x:c>
      <x:c r="C334" s="14" t="n">
        <x:v>434</x:v>
      </x:c>
      <x:c r="D334" s="14" t="n">
        <x:v>9608</x:v>
      </x:c>
      <x:c r="E334" s="14" t="n">
        <x:v>448</x:v>
      </x:c>
      <x:c r="F334" s="14" t="n">
        <x:v>11190</x:v>
      </x:c>
      <x:c r="G334" s="14" t="n">
        <x:v>9947</x:v>
      </x:c>
      <x:c r="H334" s="14" t="n">
        <x:f>INT((F334-D334)*(A334-C334)/(E334-C334))+D334</x:f>
        <x:v>9947</x:v>
      </x:c>
      <x:c r="I334" s="68" t="n">
        <x:f>H334-G334</x:f>
        <x:v>0</x:v>
      </x:c>
      <x:c r="J334" s="14" t="n">
        <x:v>64757</x:v>
      </x:c>
      <x:c r="K334" s="14" t="n">
        <x:f>INT(H334*'공식·설정'!$B$10/'공식·설정'!$B$15)</x:f>
        <x:v>64757</x:v>
      </x:c>
      <x:c r="L334" s="68" t="n">
        <x:f>K334-J334</x:f>
        <x:v>0</x:v>
      </x:c>
      <x:c r="M334" s="65" t="n">
        <x:f>J334/'공식·설정'!$B$7</x:f>
        <x:v>252.95703125</x:v>
      </x:c>
      <x:c r="N334" s="65" t="n">
        <x:f>K334/'공식·설정'!$B$7</x:f>
        <x:v>252.95703125</x:v>
      </x:c>
      <x:c r="O334" s="14" t="n">
        <x:v>25</x:v>
      </x:c>
      <x:c r="P334" s="14" t="n">
        <x:f>MIN(32767,MAX(0,INT((K334+INT('공식·설정'!$B$12/2))/'공식·설정'!$B$12)))</x:f>
        <x:v>25</x:v>
      </x:c>
      <x:c r="Q334" s="68" t="n">
        <x:f>P334-O334</x:f>
        <x:v>0</x:v>
      </x:c>
      <x:c r="R334" s="14" t="n">
        <x:v>72448</x:v>
      </x:c>
      <x:c r="S334" s="14" t="n">
        <x:f>P334*'공식·설정'!$B$12+'공식·설정'!$B$14</x:f>
        <x:v>72448</x:v>
      </x:c>
      <x:c r="T334" s="68" t="n">
        <x:f>S334-R334</x:f>
        <x:v>0</x:v>
      </x:c>
      <x:c r="U334" s="65" t="n">
        <x:f>R334/'공식·설정'!$B$7</x:f>
        <x:v>283</x:v>
      </x:c>
      <x:c r="V334" s="65" t="n">
        <x:f>S334/'공식·설정'!$B$7</x:f>
        <x:v>283</x:v>
      </x:c>
      <x:c r="W334" s="14" t="n">
        <x:v>744</x:v>
      </x:c>
      <x:c r="X334" s="14" t="n">
        <x:f>INT(ABS(K335-K334)*'공식·설정'!$B$8/K334)</x:f>
        <x:v>744</x:v>
      </x:c>
      <x:c r="Y334" s="68" t="n">
        <x:f>X334-W334</x:f>
        <x:v>0</x:v>
      </x:c>
      <x:c r="Z334" s="66" t="n">
        <x:f>W334/'공식·설정'!$B$8</x:f>
        <x:v>0.0113525390625</x:v>
      </x:c>
      <x:c r="AA334" s="66" t="n">
        <x:f>X334/'공식·설정'!$B$8</x:f>
        <x:v>0.0113525390625</x:v>
      </x:c>
      <x:c r="AB334" s="67" t="str">
        <x:f>IF(AND(I334=0,L334=0,Q334=0,T334=0,Y334=0),"PASS","FAIL")</x:f>
        <x:v>PASS</x:v>
      </x:c>
    </x:row>
    <x:row r="335" ht="18" customHeight="1">
      <x:c r="A335" s="14" t="n">
        <x:v>438</x:v>
      </x:c>
      <x:c r="B335" s="14" t="n">
        <x:v>330</x:v>
      </x:c>
      <x:c r="C335" s="14" t="n">
        <x:v>434</x:v>
      </x:c>
      <x:c r="D335" s="14" t="n">
        <x:v>9608</x:v>
      </x:c>
      <x:c r="E335" s="14" t="n">
        <x:v>448</x:v>
      </x:c>
      <x:c r="F335" s="14" t="n">
        <x:v>11190</x:v>
      </x:c>
      <x:c r="G335" s="14" t="n">
        <x:v>10060</x:v>
      </x:c>
      <x:c r="H335" s="14" t="n">
        <x:f>INT((F335-D335)*(A335-C335)/(E335-C335))+D335</x:f>
        <x:v>10060</x:v>
      </x:c>
      <x:c r="I335" s="68" t="n">
        <x:f>H335-G335</x:f>
        <x:v>0</x:v>
      </x:c>
      <x:c r="J335" s="14" t="n">
        <x:v>65493</x:v>
      </x:c>
      <x:c r="K335" s="14" t="n">
        <x:f>INT(H335*'공식·설정'!$B$10/'공식·설정'!$B$15)</x:f>
        <x:v>65493</x:v>
      </x:c>
      <x:c r="L335" s="68" t="n">
        <x:f>K335-J335</x:f>
        <x:v>0</x:v>
      </x:c>
      <x:c r="M335" s="65" t="n">
        <x:f>J335/'공식·설정'!$B$7</x:f>
        <x:v>255.83203125</x:v>
      </x:c>
      <x:c r="N335" s="65" t="n">
        <x:f>K335/'공식·설정'!$B$7</x:f>
        <x:v>255.83203125</x:v>
      </x:c>
      <x:c r="O335" s="14" t="n">
        <x:v>26</x:v>
      </x:c>
      <x:c r="P335" s="14" t="n">
        <x:f>MIN(32767,MAX(0,INT((K335+INT('공식·설정'!$B$12/2))/'공식·설정'!$B$12)))</x:f>
        <x:v>26</x:v>
      </x:c>
      <x:c r="Q335" s="68" t="n">
        <x:f>P335-O335</x:f>
        <x:v>0</x:v>
      </x:c>
      <x:c r="R335" s="14" t="n">
        <x:v>75008</x:v>
      </x:c>
      <x:c r="S335" s="14" t="n">
        <x:f>P335*'공식·설정'!$B$12+'공식·설정'!$B$14</x:f>
        <x:v>75008</x:v>
      </x:c>
      <x:c r="T335" s="68" t="n">
        <x:f>S335-R335</x:f>
        <x:v>0</x:v>
      </x:c>
      <x:c r="U335" s="65" t="n">
        <x:f>R335/'공식·설정'!$B$7</x:f>
        <x:v>293</x:v>
      </x:c>
      <x:c r="V335" s="65" t="n">
        <x:f>S335/'공식·설정'!$B$7</x:f>
        <x:v>293</x:v>
      </x:c>
      <x:c r="W335" s="14" t="n">
        <x:v>736</x:v>
      </x:c>
      <x:c r="X335" s="14" t="n">
        <x:f>INT(ABS(K336-K335)*'공식·설정'!$B$8/K335)</x:f>
        <x:v>736</x:v>
      </x:c>
      <x:c r="Y335" s="68" t="n">
        <x:f>X335-W335</x:f>
        <x:v>0</x:v>
      </x:c>
      <x:c r="Z335" s="66" t="n">
        <x:f>W335/'공식·설정'!$B$8</x:f>
        <x:v>0.01123046875</x:v>
      </x:c>
      <x:c r="AA335" s="66" t="n">
        <x:f>X335/'공식·설정'!$B$8</x:f>
        <x:v>0.01123046875</x:v>
      </x:c>
      <x:c r="AB335" s="67" t="str">
        <x:f>IF(AND(I335=0,L335=0,Q335=0,T335=0,Y335=0),"PASS","FAIL")</x:f>
        <x:v>PASS</x:v>
      </x:c>
    </x:row>
    <x:row r="336" ht="18" customHeight="1">
      <x:c r="A336" s="14" t="n">
        <x:v>439</x:v>
      </x:c>
      <x:c r="B336" s="14" t="n">
        <x:v>331</x:v>
      </x:c>
      <x:c r="C336" s="14" t="n">
        <x:v>434</x:v>
      </x:c>
      <x:c r="D336" s="14" t="n">
        <x:v>9608</x:v>
      </x:c>
      <x:c r="E336" s="14" t="n">
        <x:v>448</x:v>
      </x:c>
      <x:c r="F336" s="14" t="n">
        <x:v>11190</x:v>
      </x:c>
      <x:c r="G336" s="14" t="n">
        <x:v>10173</x:v>
      </x:c>
      <x:c r="H336" s="14" t="n">
        <x:f>INT((F336-D336)*(A336-C336)/(E336-C336))+D336</x:f>
        <x:v>10173</x:v>
      </x:c>
      <x:c r="I336" s="68" t="n">
        <x:f>H336-G336</x:f>
        <x:v>0</x:v>
      </x:c>
      <x:c r="J336" s="14" t="n">
        <x:v>66229</x:v>
      </x:c>
      <x:c r="K336" s="14" t="n">
        <x:f>INT(H336*'공식·설정'!$B$10/'공식·설정'!$B$15)</x:f>
        <x:v>66229</x:v>
      </x:c>
      <x:c r="L336" s="68" t="n">
        <x:f>K336-J336</x:f>
        <x:v>0</x:v>
      </x:c>
      <x:c r="M336" s="65" t="n">
        <x:f>J336/'공식·설정'!$B$7</x:f>
        <x:v>258.70703125</x:v>
      </x:c>
      <x:c r="N336" s="65" t="n">
        <x:f>K336/'공식·설정'!$B$7</x:f>
        <x:v>258.70703125</x:v>
      </x:c>
      <x:c r="O336" s="14" t="n">
        <x:v>26</x:v>
      </x:c>
      <x:c r="P336" s="14" t="n">
        <x:f>MIN(32767,MAX(0,INT((K336+INT('공식·설정'!$B$12/2))/'공식·설정'!$B$12)))</x:f>
        <x:v>26</x:v>
      </x:c>
      <x:c r="Q336" s="68" t="n">
        <x:f>P336-O336</x:f>
        <x:v>0</x:v>
      </x:c>
      <x:c r="R336" s="14" t="n">
        <x:v>75008</x:v>
      </x:c>
      <x:c r="S336" s="14" t="n">
        <x:f>P336*'공식·설정'!$B$12+'공식·설정'!$B$14</x:f>
        <x:v>75008</x:v>
      </x:c>
      <x:c r="T336" s="68" t="n">
        <x:f>S336-R336</x:f>
        <x:v>0</x:v>
      </x:c>
      <x:c r="U336" s="65" t="n">
        <x:f>R336/'공식·설정'!$B$7</x:f>
        <x:v>293</x:v>
      </x:c>
      <x:c r="V336" s="65" t="n">
        <x:f>S336/'공식·설정'!$B$7</x:f>
        <x:v>293</x:v>
      </x:c>
      <x:c r="W336" s="14" t="n">
        <x:v>727</x:v>
      </x:c>
      <x:c r="X336" s="14" t="n">
        <x:f>INT(ABS(K337-K336)*'공식·설정'!$B$8/K336)</x:f>
        <x:v>727</x:v>
      </x:c>
      <x:c r="Y336" s="68" t="n">
        <x:f>X336-W336</x:f>
        <x:v>0</x:v>
      </x:c>
      <x:c r="Z336" s="66" t="n">
        <x:f>W336/'공식·설정'!$B$8</x:f>
        <x:v>0.0110931396484375</x:v>
      </x:c>
      <x:c r="AA336" s="66" t="n">
        <x:f>X336/'공식·설정'!$B$8</x:f>
        <x:v>0.0110931396484375</x:v>
      </x:c>
      <x:c r="AB336" s="67" t="str">
        <x:f>IF(AND(I336=0,L336=0,Q336=0,T336=0,Y336=0),"PASS","FAIL")</x:f>
        <x:v>PASS</x:v>
      </x:c>
    </x:row>
    <x:row r="337" ht="18" customHeight="1">
      <x:c r="A337" s="14" t="n">
        <x:v>440</x:v>
      </x:c>
      <x:c r="B337" s="14" t="n">
        <x:v>332</x:v>
      </x:c>
      <x:c r="C337" s="14" t="n">
        <x:v>434</x:v>
      </x:c>
      <x:c r="D337" s="14" t="n">
        <x:v>9608</x:v>
      </x:c>
      <x:c r="E337" s="14" t="n">
        <x:v>448</x:v>
      </x:c>
      <x:c r="F337" s="14" t="n">
        <x:v>11190</x:v>
      </x:c>
      <x:c r="G337" s="14" t="n">
        <x:v>10286</x:v>
      </x:c>
      <x:c r="H337" s="14" t="n">
        <x:f>INT((F337-D337)*(A337-C337)/(E337-C337))+D337</x:f>
        <x:v>10286</x:v>
      </x:c>
      <x:c r="I337" s="68" t="n">
        <x:f>H337-G337</x:f>
        <x:v>0</x:v>
      </x:c>
      <x:c r="J337" s="14" t="n">
        <x:v>66964</x:v>
      </x:c>
      <x:c r="K337" s="14" t="n">
        <x:f>INT(H337*'공식·설정'!$B$10/'공식·설정'!$B$15)</x:f>
        <x:v>66964</x:v>
      </x:c>
      <x:c r="L337" s="68" t="n">
        <x:f>K337-J337</x:f>
        <x:v>0</x:v>
      </x:c>
      <x:c r="M337" s="65" t="n">
        <x:f>J337/'공식·설정'!$B$7</x:f>
        <x:v>261.578125</x:v>
      </x:c>
      <x:c r="N337" s="65" t="n">
        <x:f>K337/'공식·설정'!$B$7</x:f>
        <x:v>261.578125</x:v>
      </x:c>
      <x:c r="O337" s="14" t="n">
        <x:v>26</x:v>
      </x:c>
      <x:c r="P337" s="14" t="n">
        <x:f>MIN(32767,MAX(0,INT((K337+INT('공식·설정'!$B$12/2))/'공식·설정'!$B$12)))</x:f>
        <x:v>26</x:v>
      </x:c>
      <x:c r="Q337" s="68" t="n">
        <x:f>P337-O337</x:f>
        <x:v>0</x:v>
      </x:c>
      <x:c r="R337" s="14" t="n">
        <x:v>75008</x:v>
      </x:c>
      <x:c r="S337" s="14" t="n">
        <x:f>P337*'공식·설정'!$B$12+'공식·설정'!$B$14</x:f>
        <x:v>75008</x:v>
      </x:c>
      <x:c r="T337" s="68" t="n">
        <x:f>S337-R337</x:f>
        <x:v>0</x:v>
      </x:c>
      <x:c r="U337" s="65" t="n">
        <x:f>R337/'공식·설정'!$B$7</x:f>
        <x:v>293</x:v>
      </x:c>
      <x:c r="V337" s="65" t="n">
        <x:f>S337/'공식·설정'!$B$7</x:f>
        <x:v>293</x:v>
      </x:c>
      <x:c r="W337" s="14" t="n">
        <x:v>720</x:v>
      </x:c>
      <x:c r="X337" s="14" t="n">
        <x:f>INT(ABS(K338-K337)*'공식·설정'!$B$8/K337)</x:f>
        <x:v>720</x:v>
      </x:c>
      <x:c r="Y337" s="68" t="n">
        <x:f>X337-W337</x:f>
        <x:v>0</x:v>
      </x:c>
      <x:c r="Z337" s="66" t="n">
        <x:f>W337/'공식·설정'!$B$8</x:f>
        <x:v>0.010986328125</x:v>
      </x:c>
      <x:c r="AA337" s="66" t="n">
        <x:f>X337/'공식·설정'!$B$8</x:f>
        <x:v>0.010986328125</x:v>
      </x:c>
      <x:c r="AB337" s="67" t="str">
        <x:f>IF(AND(I337=0,L337=0,Q337=0,T337=0,Y337=0),"PASS","FAIL")</x:f>
        <x:v>PASS</x:v>
      </x:c>
    </x:row>
    <x:row r="338" ht="18" customHeight="1">
      <x:c r="A338" s="14" t="n">
        <x:v>441</x:v>
      </x:c>
      <x:c r="B338" s="14" t="n">
        <x:v>333</x:v>
      </x:c>
      <x:c r="C338" s="14" t="n">
        <x:v>434</x:v>
      </x:c>
      <x:c r="D338" s="14" t="n">
        <x:v>9608</x:v>
      </x:c>
      <x:c r="E338" s="14" t="n">
        <x:v>448</x:v>
      </x:c>
      <x:c r="F338" s="14" t="n">
        <x:v>11190</x:v>
      </x:c>
      <x:c r="G338" s="14" t="n">
        <x:v>10399</x:v>
      </x:c>
      <x:c r="H338" s="14" t="n">
        <x:f>INT((F338-D338)*(A338-C338)/(E338-C338))+D338</x:f>
        <x:v>10399</x:v>
      </x:c>
      <x:c r="I338" s="68" t="n">
        <x:f>H338-G338</x:f>
        <x:v>0</x:v>
      </x:c>
      <x:c r="J338" s="14" t="n">
        <x:v>67700</x:v>
      </x:c>
      <x:c r="K338" s="14" t="n">
        <x:f>INT(H338*'공식·설정'!$B$10/'공식·설정'!$B$15)</x:f>
        <x:v>67700</x:v>
      </x:c>
      <x:c r="L338" s="68" t="n">
        <x:f>K338-J338</x:f>
        <x:v>0</x:v>
      </x:c>
      <x:c r="M338" s="65" t="n">
        <x:f>J338/'공식·설정'!$B$7</x:f>
        <x:v>264.453125</x:v>
      </x:c>
      <x:c r="N338" s="65" t="n">
        <x:f>K338/'공식·설정'!$B$7</x:f>
        <x:v>264.453125</x:v>
      </x:c>
      <x:c r="O338" s="14" t="n">
        <x:v>26</x:v>
      </x:c>
      <x:c r="P338" s="14" t="n">
        <x:f>MIN(32767,MAX(0,INT((K338+INT('공식·설정'!$B$12/2))/'공식·설정'!$B$12)))</x:f>
        <x:v>26</x:v>
      </x:c>
      <x:c r="Q338" s="68" t="n">
        <x:f>P338-O338</x:f>
        <x:v>0</x:v>
      </x:c>
      <x:c r="R338" s="14" t="n">
        <x:v>75008</x:v>
      </x:c>
      <x:c r="S338" s="14" t="n">
        <x:f>P338*'공식·설정'!$B$12+'공식·설정'!$B$14</x:f>
        <x:v>75008</x:v>
      </x:c>
      <x:c r="T338" s="68" t="n">
        <x:f>S338-R338</x:f>
        <x:v>0</x:v>
      </x:c>
      <x:c r="U338" s="65" t="n">
        <x:f>R338/'공식·설정'!$B$7</x:f>
        <x:v>293</x:v>
      </x:c>
      <x:c r="V338" s="65" t="n">
        <x:f>S338/'공식·설정'!$B$7</x:f>
        <x:v>293</x:v>
      </x:c>
      <x:c r="W338" s="14" t="n">
        <x:v>712</x:v>
      </x:c>
      <x:c r="X338" s="14" t="n">
        <x:f>INT(ABS(K339-K338)*'공식·설정'!$B$8/K338)</x:f>
        <x:v>712</x:v>
      </x:c>
      <x:c r="Y338" s="68" t="n">
        <x:f>X338-W338</x:f>
        <x:v>0</x:v>
      </x:c>
      <x:c r="Z338" s="66" t="n">
        <x:f>W338/'공식·설정'!$B$8</x:f>
        <x:v>0.0108642578125</x:v>
      </x:c>
      <x:c r="AA338" s="66" t="n">
        <x:f>X338/'공식·설정'!$B$8</x:f>
        <x:v>0.0108642578125</x:v>
      </x:c>
      <x:c r="AB338" s="67" t="str">
        <x:f>IF(AND(I338=0,L338=0,Q338=0,T338=0,Y338=0),"PASS","FAIL")</x:f>
        <x:v>PASS</x:v>
      </x:c>
    </x:row>
    <x:row r="339" ht="18" customHeight="1">
      <x:c r="A339" s="14" t="n">
        <x:v>442</x:v>
      </x:c>
      <x:c r="B339" s="14" t="n">
        <x:v>334</x:v>
      </x:c>
      <x:c r="C339" s="14" t="n">
        <x:v>434</x:v>
      </x:c>
      <x:c r="D339" s="14" t="n">
        <x:v>9608</x:v>
      </x:c>
      <x:c r="E339" s="14" t="n">
        <x:v>448</x:v>
      </x:c>
      <x:c r="F339" s="14" t="n">
        <x:v>11190</x:v>
      </x:c>
      <x:c r="G339" s="14" t="n">
        <x:v>10512</x:v>
      </x:c>
      <x:c r="H339" s="14" t="n">
        <x:f>INT((F339-D339)*(A339-C339)/(E339-C339))+D339</x:f>
        <x:v>10512</x:v>
      </x:c>
      <x:c r="I339" s="68" t="n">
        <x:f>H339-G339</x:f>
        <x:v>0</x:v>
      </x:c>
      <x:c r="J339" s="14" t="n">
        <x:v>68436</x:v>
      </x:c>
      <x:c r="K339" s="14" t="n">
        <x:f>INT(H339*'공식·설정'!$B$10/'공식·설정'!$B$15)</x:f>
        <x:v>68436</x:v>
      </x:c>
      <x:c r="L339" s="68" t="n">
        <x:f>K339-J339</x:f>
        <x:v>0</x:v>
      </x:c>
      <x:c r="M339" s="65" t="n">
        <x:f>J339/'공식·설정'!$B$7</x:f>
        <x:v>267.328125</x:v>
      </x:c>
      <x:c r="N339" s="65" t="n">
        <x:f>K339/'공식·설정'!$B$7</x:f>
        <x:v>267.328125</x:v>
      </x:c>
      <x:c r="O339" s="14" t="n">
        <x:v>27</x:v>
      </x:c>
      <x:c r="P339" s="14" t="n">
        <x:f>MIN(32767,MAX(0,INT((K339+INT('공식·설정'!$B$12/2))/'공식·설정'!$B$12)))</x:f>
        <x:v>27</x:v>
      </x:c>
      <x:c r="Q339" s="68" t="n">
        <x:f>P339-O339</x:f>
        <x:v>0</x:v>
      </x:c>
      <x:c r="R339" s="14" t="n">
        <x:v>77568</x:v>
      </x:c>
      <x:c r="S339" s="14" t="n">
        <x:f>P339*'공식·설정'!$B$12+'공식·설정'!$B$14</x:f>
        <x:v>77568</x:v>
      </x:c>
      <x:c r="T339" s="68" t="n">
        <x:f>S339-R339</x:f>
        <x:v>0</x:v>
      </x:c>
      <x:c r="U339" s="65" t="n">
        <x:f>R339/'공식·설정'!$B$7</x:f>
        <x:v>303</x:v>
      </x:c>
      <x:c r="V339" s="65" t="n">
        <x:f>S339/'공식·설정'!$B$7</x:f>
        <x:v>303</x:v>
      </x:c>
      <x:c r="W339" s="14" t="n">
        <x:v>703</x:v>
      </x:c>
      <x:c r="X339" s="14" t="n">
        <x:f>INT(ABS(K340-K339)*'공식·설정'!$B$8/K339)</x:f>
        <x:v>703</x:v>
      </x:c>
      <x:c r="Y339" s="68" t="n">
        <x:f>X339-W339</x:f>
        <x:v>0</x:v>
      </x:c>
      <x:c r="Z339" s="66" t="n">
        <x:f>W339/'공식·설정'!$B$8</x:f>
        <x:v>0.0107269287109375</x:v>
      </x:c>
      <x:c r="AA339" s="66" t="n">
        <x:f>X339/'공식·설정'!$B$8</x:f>
        <x:v>0.0107269287109375</x:v>
      </x:c>
      <x:c r="AB339" s="67" t="str">
        <x:f>IF(AND(I339=0,L339=0,Q339=0,T339=0,Y339=0),"PASS","FAIL")</x:f>
        <x:v>PASS</x:v>
      </x:c>
    </x:row>
    <x:row r="340" ht="18" customHeight="1">
      <x:c r="A340" s="14" t="n">
        <x:v>443</x:v>
      </x:c>
      <x:c r="B340" s="14" t="n">
        <x:v>335</x:v>
      </x:c>
      <x:c r="C340" s="14" t="n">
        <x:v>434</x:v>
      </x:c>
      <x:c r="D340" s="14" t="n">
        <x:v>9608</x:v>
      </x:c>
      <x:c r="E340" s="14" t="n">
        <x:v>448</x:v>
      </x:c>
      <x:c r="F340" s="14" t="n">
        <x:v>11190</x:v>
      </x:c>
      <x:c r="G340" s="14" t="n">
        <x:v>10625</x:v>
      </x:c>
      <x:c r="H340" s="14" t="n">
        <x:f>INT((F340-D340)*(A340-C340)/(E340-C340))+D340</x:f>
        <x:v>10625</x:v>
      </x:c>
      <x:c r="I340" s="68" t="n">
        <x:f>H340-G340</x:f>
        <x:v>0</x:v>
      </x:c>
      <x:c r="J340" s="14" t="n">
        <x:v>69171</x:v>
      </x:c>
      <x:c r="K340" s="14" t="n">
        <x:f>INT(H340*'공식·설정'!$B$10/'공식·설정'!$B$15)</x:f>
        <x:v>69171</x:v>
      </x:c>
      <x:c r="L340" s="68" t="n">
        <x:f>K340-J340</x:f>
        <x:v>0</x:v>
      </x:c>
      <x:c r="M340" s="65" t="n">
        <x:f>J340/'공식·설정'!$B$7</x:f>
        <x:v>270.19921875</x:v>
      </x:c>
      <x:c r="N340" s="65" t="n">
        <x:f>K340/'공식·설정'!$B$7</x:f>
        <x:v>270.19921875</x:v>
      </x:c>
      <x:c r="O340" s="14" t="n">
        <x:v>27</x:v>
      </x:c>
      <x:c r="P340" s="14" t="n">
        <x:f>MIN(32767,MAX(0,INT((K340+INT('공식·설정'!$B$12/2))/'공식·설정'!$B$12)))</x:f>
        <x:v>27</x:v>
      </x:c>
      <x:c r="Q340" s="68" t="n">
        <x:f>P340-O340</x:f>
        <x:v>0</x:v>
      </x:c>
      <x:c r="R340" s="14" t="n">
        <x:v>77568</x:v>
      </x:c>
      <x:c r="S340" s="14" t="n">
        <x:f>P340*'공식·설정'!$B$12+'공식·설정'!$B$14</x:f>
        <x:v>77568</x:v>
      </x:c>
      <x:c r="T340" s="68" t="n">
        <x:f>S340-R340</x:f>
        <x:v>0</x:v>
      </x:c>
      <x:c r="U340" s="65" t="n">
        <x:f>R340/'공식·설정'!$B$7</x:f>
        <x:v>303</x:v>
      </x:c>
      <x:c r="V340" s="65" t="n">
        <x:f>S340/'공식·설정'!$B$7</x:f>
        <x:v>303</x:v>
      </x:c>
      <x:c r="W340" s="14" t="n">
        <x:v>697</x:v>
      </x:c>
      <x:c r="X340" s="14" t="n">
        <x:f>INT(ABS(K341-K340)*'공식·설정'!$B$8/K340)</x:f>
        <x:v>697</x:v>
      </x:c>
      <x:c r="Y340" s="68" t="n">
        <x:f>X340-W340</x:f>
        <x:v>0</x:v>
      </x:c>
      <x:c r="Z340" s="66" t="n">
        <x:f>W340/'공식·설정'!$B$8</x:f>
        <x:v>0.0106353759765625</x:v>
      </x:c>
      <x:c r="AA340" s="66" t="n">
        <x:f>X340/'공식·설정'!$B$8</x:f>
        <x:v>0.0106353759765625</x:v>
      </x:c>
      <x:c r="AB340" s="67" t="str">
        <x:f>IF(AND(I340=0,L340=0,Q340=0,T340=0,Y340=0),"PASS","FAIL")</x:f>
        <x:v>PASS</x:v>
      </x:c>
    </x:row>
    <x:row r="341" ht="18" customHeight="1">
      <x:c r="A341" s="14" t="n">
        <x:v>444</x:v>
      </x:c>
      <x:c r="B341" s="14" t="n">
        <x:v>336</x:v>
      </x:c>
      <x:c r="C341" s="14" t="n">
        <x:v>434</x:v>
      </x:c>
      <x:c r="D341" s="14" t="n">
        <x:v>9608</x:v>
      </x:c>
      <x:c r="E341" s="14" t="n">
        <x:v>448</x:v>
      </x:c>
      <x:c r="F341" s="14" t="n">
        <x:v>11190</x:v>
      </x:c>
      <x:c r="G341" s="14" t="n">
        <x:v>10738</x:v>
      </x:c>
      <x:c r="H341" s="14" t="n">
        <x:f>INT((F341-D341)*(A341-C341)/(E341-C341))+D341</x:f>
        <x:v>10738</x:v>
      </x:c>
      <x:c r="I341" s="68" t="n">
        <x:f>H341-G341</x:f>
        <x:v>0</x:v>
      </x:c>
      <x:c r="J341" s="14" t="n">
        <x:v>69907</x:v>
      </x:c>
      <x:c r="K341" s="14" t="n">
        <x:f>INT(H341*'공식·설정'!$B$10/'공식·설정'!$B$15)</x:f>
        <x:v>69907</x:v>
      </x:c>
      <x:c r="L341" s="68" t="n">
        <x:f>K341-J341</x:f>
        <x:v>0</x:v>
      </x:c>
      <x:c r="M341" s="65" t="n">
        <x:f>J341/'공식·설정'!$B$7</x:f>
        <x:v>273.07421875</x:v>
      </x:c>
      <x:c r="N341" s="65" t="n">
        <x:f>K341/'공식·설정'!$B$7</x:f>
        <x:v>273.07421875</x:v>
      </x:c>
      <x:c r="O341" s="14" t="n">
        <x:v>27</x:v>
      </x:c>
      <x:c r="P341" s="14" t="n">
        <x:f>MIN(32767,MAX(0,INT((K341+INT('공식·설정'!$B$12/2))/'공식·설정'!$B$12)))</x:f>
        <x:v>27</x:v>
      </x:c>
      <x:c r="Q341" s="68" t="n">
        <x:f>P341-O341</x:f>
        <x:v>0</x:v>
      </x:c>
      <x:c r="R341" s="14" t="n">
        <x:v>77568</x:v>
      </x:c>
      <x:c r="S341" s="14" t="n">
        <x:f>P341*'공식·설정'!$B$12+'공식·설정'!$B$14</x:f>
        <x:v>77568</x:v>
      </x:c>
      <x:c r="T341" s="68" t="n">
        <x:f>S341-R341</x:f>
        <x:v>0</x:v>
      </x:c>
      <x:c r="U341" s="65" t="n">
        <x:f>R341/'공식·설정'!$B$7</x:f>
        <x:v>303</x:v>
      </x:c>
      <x:c r="V341" s="65" t="n">
        <x:f>S341/'공식·설정'!$B$7</x:f>
        <x:v>303</x:v>
      </x:c>
      <x:c r="W341" s="14" t="n">
        <x:v>689</x:v>
      </x:c>
      <x:c r="X341" s="14" t="n">
        <x:f>INT(ABS(K342-K341)*'공식·설정'!$B$8/K341)</x:f>
        <x:v>689</x:v>
      </x:c>
      <x:c r="Y341" s="68" t="n">
        <x:f>X341-W341</x:f>
        <x:v>0</x:v>
      </x:c>
      <x:c r="Z341" s="66" t="n">
        <x:f>W341/'공식·설정'!$B$8</x:f>
        <x:v>0.0105133056640625</x:v>
      </x:c>
      <x:c r="AA341" s="66" t="n">
        <x:f>X341/'공식·설정'!$B$8</x:f>
        <x:v>0.0105133056640625</x:v>
      </x:c>
      <x:c r="AB341" s="67" t="str">
        <x:f>IF(AND(I341=0,L341=0,Q341=0,T341=0,Y341=0),"PASS","FAIL")</x:f>
        <x:v>PASS</x:v>
      </x:c>
    </x:row>
    <x:row r="342" ht="18" customHeight="1">
      <x:c r="A342" s="14" t="n">
        <x:v>445</x:v>
      </x:c>
      <x:c r="B342" s="14" t="n">
        <x:v>337</x:v>
      </x:c>
      <x:c r="C342" s="14" t="n">
        <x:v>434</x:v>
      </x:c>
      <x:c r="D342" s="14" t="n">
        <x:v>9608</x:v>
      </x:c>
      <x:c r="E342" s="14" t="n">
        <x:v>448</x:v>
      </x:c>
      <x:c r="F342" s="14" t="n">
        <x:v>11190</x:v>
      </x:c>
      <x:c r="G342" s="14" t="n">
        <x:v>10851</x:v>
      </x:c>
      <x:c r="H342" s="14" t="n">
        <x:f>INT((F342-D342)*(A342-C342)/(E342-C342))+D342</x:f>
        <x:v>10851</x:v>
      </x:c>
      <x:c r="I342" s="68" t="n">
        <x:f>H342-G342</x:f>
        <x:v>0</x:v>
      </x:c>
      <x:c r="J342" s="14" t="n">
        <x:v>70643</x:v>
      </x:c>
      <x:c r="K342" s="14" t="n">
        <x:f>INT(H342*'공식·설정'!$B$10/'공식·설정'!$B$15)</x:f>
        <x:v>70643</x:v>
      </x:c>
      <x:c r="L342" s="68" t="n">
        <x:f>K342-J342</x:f>
        <x:v>0</x:v>
      </x:c>
      <x:c r="M342" s="65" t="n">
        <x:f>J342/'공식·설정'!$B$7</x:f>
        <x:v>275.94921875</x:v>
      </x:c>
      <x:c r="N342" s="65" t="n">
        <x:f>K342/'공식·설정'!$B$7</x:f>
        <x:v>275.94921875</x:v>
      </x:c>
      <x:c r="O342" s="14" t="n">
        <x:v>28</x:v>
      </x:c>
      <x:c r="P342" s="14" t="n">
        <x:f>MIN(32767,MAX(0,INT((K342+INT('공식·설정'!$B$12/2))/'공식·설정'!$B$12)))</x:f>
        <x:v>28</x:v>
      </x:c>
      <x:c r="Q342" s="68" t="n">
        <x:f>P342-O342</x:f>
        <x:v>0</x:v>
      </x:c>
      <x:c r="R342" s="14" t="n">
        <x:v>80128</x:v>
      </x:c>
      <x:c r="S342" s="14" t="n">
        <x:f>P342*'공식·설정'!$B$12+'공식·설정'!$B$14</x:f>
        <x:v>80128</x:v>
      </x:c>
      <x:c r="T342" s="68" t="n">
        <x:f>S342-R342</x:f>
        <x:v>0</x:v>
      </x:c>
      <x:c r="U342" s="65" t="n">
        <x:f>R342/'공식·설정'!$B$7</x:f>
        <x:v>313</x:v>
      </x:c>
      <x:c r="V342" s="65" t="n">
        <x:f>S342/'공식·설정'!$B$7</x:f>
        <x:v>313</x:v>
      </x:c>
      <x:c r="W342" s="14" t="n">
        <x:v>681</x:v>
      </x:c>
      <x:c r="X342" s="14" t="n">
        <x:f>INT(ABS(K343-K342)*'공식·설정'!$B$8/K342)</x:f>
        <x:v>681</x:v>
      </x:c>
      <x:c r="Y342" s="68" t="n">
        <x:f>X342-W342</x:f>
        <x:v>0</x:v>
      </x:c>
      <x:c r="Z342" s="66" t="n">
        <x:f>W342/'공식·설정'!$B$8</x:f>
        <x:v>0.0103912353515625</x:v>
      </x:c>
      <x:c r="AA342" s="66" t="n">
        <x:f>X342/'공식·설정'!$B$8</x:f>
        <x:v>0.0103912353515625</x:v>
      </x:c>
      <x:c r="AB342" s="67" t="str">
        <x:f>IF(AND(I342=0,L342=0,Q342=0,T342=0,Y342=0),"PASS","FAIL")</x:f>
        <x:v>PASS</x:v>
      </x:c>
    </x:row>
    <x:row r="343" ht="18" customHeight="1">
      <x:c r="A343" s="14" t="n">
        <x:v>446</x:v>
      </x:c>
      <x:c r="B343" s="14" t="n">
        <x:v>338</x:v>
      </x:c>
      <x:c r="C343" s="14" t="n">
        <x:v>434</x:v>
      </x:c>
      <x:c r="D343" s="14" t="n">
        <x:v>9608</x:v>
      </x:c>
      <x:c r="E343" s="14" t="n">
        <x:v>448</x:v>
      </x:c>
      <x:c r="F343" s="14" t="n">
        <x:v>11190</x:v>
      </x:c>
      <x:c r="G343" s="14" t="n">
        <x:v>10964</x:v>
      </x:c>
      <x:c r="H343" s="14" t="n">
        <x:f>INT((F343-D343)*(A343-C343)/(E343-C343))+D343</x:f>
        <x:v>10964</x:v>
      </x:c>
      <x:c r="I343" s="68" t="n">
        <x:f>H343-G343</x:f>
        <x:v>0</x:v>
      </x:c>
      <x:c r="J343" s="14" t="n">
        <x:v>71378</x:v>
      </x:c>
      <x:c r="K343" s="14" t="n">
        <x:f>INT(H343*'공식·설정'!$B$10/'공식·설정'!$B$15)</x:f>
        <x:v>71378</x:v>
      </x:c>
      <x:c r="L343" s="68" t="n">
        <x:f>K343-J343</x:f>
        <x:v>0</x:v>
      </x:c>
      <x:c r="M343" s="65" t="n">
        <x:f>J343/'공식·설정'!$B$7</x:f>
        <x:v>278.8203125</x:v>
      </x:c>
      <x:c r="N343" s="65" t="n">
        <x:f>K343/'공식·설정'!$B$7</x:f>
        <x:v>278.8203125</x:v>
      </x:c>
      <x:c r="O343" s="14" t="n">
        <x:v>28</x:v>
      </x:c>
      <x:c r="P343" s="14" t="n">
        <x:f>MIN(32767,MAX(0,INT((K343+INT('공식·설정'!$B$12/2))/'공식·설정'!$B$12)))</x:f>
        <x:v>28</x:v>
      </x:c>
      <x:c r="Q343" s="68" t="n">
        <x:f>P343-O343</x:f>
        <x:v>0</x:v>
      </x:c>
      <x:c r="R343" s="14" t="n">
        <x:v>80128</x:v>
      </x:c>
      <x:c r="S343" s="14" t="n">
        <x:f>P343*'공식·설정'!$B$12+'공식·설정'!$B$14</x:f>
        <x:v>80128</x:v>
      </x:c>
      <x:c r="T343" s="68" t="n">
        <x:f>S343-R343</x:f>
        <x:v>0</x:v>
      </x:c>
      <x:c r="U343" s="65" t="n">
        <x:f>R343/'공식·설정'!$B$7</x:f>
        <x:v>313</x:v>
      </x:c>
      <x:c r="V343" s="65" t="n">
        <x:f>S343/'공식·설정'!$B$7</x:f>
        <x:v>313</x:v>
      </x:c>
      <x:c r="W343" s="14" t="n">
        <x:v>675</x:v>
      </x:c>
      <x:c r="X343" s="14" t="n">
        <x:f>INT(ABS(K344-K343)*'공식·설정'!$B$8/K343)</x:f>
        <x:v>675</x:v>
      </x:c>
      <x:c r="Y343" s="68" t="n">
        <x:f>X343-W343</x:f>
        <x:v>0</x:v>
      </x:c>
      <x:c r="Z343" s="66" t="n">
        <x:f>W343/'공식·설정'!$B$8</x:f>
        <x:v>0.0102996826171875</x:v>
      </x:c>
      <x:c r="AA343" s="66" t="n">
        <x:f>X343/'공식·설정'!$B$8</x:f>
        <x:v>0.0102996826171875</x:v>
      </x:c>
      <x:c r="AB343" s="67" t="str">
        <x:f>IF(AND(I343=0,L343=0,Q343=0,T343=0,Y343=0),"PASS","FAIL")</x:f>
        <x:v>PASS</x:v>
      </x:c>
    </x:row>
    <x:row r="344" ht="18" customHeight="1">
      <x:c r="A344" s="14" t="n">
        <x:v>447</x:v>
      </x:c>
      <x:c r="B344" s="14" t="n">
        <x:v>339</x:v>
      </x:c>
      <x:c r="C344" s="14" t="n">
        <x:v>434</x:v>
      </x:c>
      <x:c r="D344" s="14" t="n">
        <x:v>9608</x:v>
      </x:c>
      <x:c r="E344" s="14" t="n">
        <x:v>448</x:v>
      </x:c>
      <x:c r="F344" s="14" t="n">
        <x:v>11190</x:v>
      </x:c>
      <x:c r="G344" s="14" t="n">
        <x:v>11077</x:v>
      </x:c>
      <x:c r="H344" s="14" t="n">
        <x:f>INT((F344-D344)*(A344-C344)/(E344-C344))+D344</x:f>
        <x:v>11077</x:v>
      </x:c>
      <x:c r="I344" s="68" t="n">
        <x:f>H344-G344</x:f>
        <x:v>0</x:v>
      </x:c>
      <x:c r="J344" s="14" t="n">
        <x:v>72114</x:v>
      </x:c>
      <x:c r="K344" s="14" t="n">
        <x:f>INT(H344*'공식·설정'!$B$10/'공식·설정'!$B$15)</x:f>
        <x:v>72114</x:v>
      </x:c>
      <x:c r="L344" s="68" t="n">
        <x:f>K344-J344</x:f>
        <x:v>0</x:v>
      </x:c>
      <x:c r="M344" s="65" t="n">
        <x:f>J344/'공식·설정'!$B$7</x:f>
        <x:v>281.6953125</x:v>
      </x:c>
      <x:c r="N344" s="65" t="n">
        <x:f>K344/'공식·설정'!$B$7</x:f>
        <x:v>281.6953125</x:v>
      </x:c>
      <x:c r="O344" s="14" t="n">
        <x:v>28</x:v>
      </x:c>
      <x:c r="P344" s="14" t="n">
        <x:f>MIN(32767,MAX(0,INT((K344+INT('공식·설정'!$B$12/2))/'공식·설정'!$B$12)))</x:f>
        <x:v>28</x:v>
      </x:c>
      <x:c r="Q344" s="68" t="n">
        <x:f>P344-O344</x:f>
        <x:v>0</x:v>
      </x:c>
      <x:c r="R344" s="14" t="n">
        <x:v>80128</x:v>
      </x:c>
      <x:c r="S344" s="14" t="n">
        <x:f>P344*'공식·설정'!$B$12+'공식·설정'!$B$14</x:f>
        <x:v>80128</x:v>
      </x:c>
      <x:c r="T344" s="68" t="n">
        <x:f>S344-R344</x:f>
        <x:v>0</x:v>
      </x:c>
      <x:c r="U344" s="65" t="n">
        <x:f>R344/'공식·설정'!$B$7</x:f>
        <x:v>313</x:v>
      </x:c>
      <x:c r="V344" s="65" t="n">
        <x:f>S344/'공식·설정'!$B$7</x:f>
        <x:v>313</x:v>
      </x:c>
      <x:c r="W344" s="14" t="n">
        <x:v>668</x:v>
      </x:c>
      <x:c r="X344" s="14" t="n">
        <x:f>INT(ABS(K345-K344)*'공식·설정'!$B$8/K344)</x:f>
        <x:v>668</x:v>
      </x:c>
      <x:c r="Y344" s="68" t="n">
        <x:f>X344-W344</x:f>
        <x:v>0</x:v>
      </x:c>
      <x:c r="Z344" s="66" t="n">
        <x:f>W344/'공식·설정'!$B$8</x:f>
        <x:v>0.01019287109375</x:v>
      </x:c>
      <x:c r="AA344" s="66" t="n">
        <x:f>X344/'공식·설정'!$B$8</x:f>
        <x:v>0.01019287109375</x:v>
      </x:c>
      <x:c r="AB344" s="67" t="str">
        <x:f>IF(AND(I344=0,L344=0,Q344=0,T344=0,Y344=0),"PASS","FAIL")</x:f>
        <x:v>PASS</x:v>
      </x:c>
    </x:row>
    <x:row r="345" ht="18" customHeight="1">
      <x:c r="A345" s="14" t="n">
        <x:v>448</x:v>
      </x:c>
      <x:c r="B345" s="14" t="n">
        <x:v>340</x:v>
      </x:c>
      <x:c r="C345" s="14" t="n">
        <x:v>448</x:v>
      </x:c>
      <x:c r="D345" s="14" t="n">
        <x:v>11190</x:v>
      </x:c>
      <x:c r="E345" s="14" t="n">
        <x:v>462</x:v>
      </x:c>
      <x:c r="F345" s="14" t="n">
        <x:v>13030</x:v>
      </x:c>
      <x:c r="G345" s="14" t="n">
        <x:v>11190</x:v>
      </x:c>
      <x:c r="H345" s="14" t="n">
        <x:f>INT((F345-D345)*(A345-C345)/(E345-C345))+D345</x:f>
        <x:v>11190</x:v>
      </x:c>
      <x:c r="I345" s="68" t="n">
        <x:f>H345-G345</x:f>
        <x:v>0</x:v>
      </x:c>
      <x:c r="J345" s="14" t="n">
        <x:v>72850</x:v>
      </x:c>
      <x:c r="K345" s="14" t="n">
        <x:f>INT(H345*'공식·설정'!$B$10/'공식·설정'!$B$15)</x:f>
        <x:v>72850</x:v>
      </x:c>
      <x:c r="L345" s="68" t="n">
        <x:f>K345-J345</x:f>
        <x:v>0</x:v>
      </x:c>
      <x:c r="M345" s="65" t="n">
        <x:f>J345/'공식·설정'!$B$7</x:f>
        <x:v>284.5703125</x:v>
      </x:c>
      <x:c r="N345" s="65" t="n">
        <x:f>K345/'공식·설정'!$B$7</x:f>
        <x:v>284.5703125</x:v>
      </x:c>
      <x:c r="O345" s="14" t="n">
        <x:v>28</x:v>
      </x:c>
      <x:c r="P345" s="14" t="n">
        <x:f>MIN(32767,MAX(0,INT((K345+INT('공식·설정'!$B$12/2))/'공식·설정'!$B$12)))</x:f>
        <x:v>28</x:v>
      </x:c>
      <x:c r="Q345" s="68" t="n">
        <x:f>P345-O345</x:f>
        <x:v>0</x:v>
      </x:c>
      <x:c r="R345" s="14" t="n">
        <x:v>80128</x:v>
      </x:c>
      <x:c r="S345" s="14" t="n">
        <x:f>P345*'공식·설정'!$B$12+'공식·설정'!$B$14</x:f>
        <x:v>80128</x:v>
      </x:c>
      <x:c r="T345" s="68" t="n">
        <x:f>S345-R345</x:f>
        <x:v>0</x:v>
      </x:c>
      <x:c r="U345" s="65" t="n">
        <x:f>R345/'공식·설정'!$B$7</x:f>
        <x:v>313</x:v>
      </x:c>
      <x:c r="V345" s="65" t="n">
        <x:f>S345/'공식·설정'!$B$7</x:f>
        <x:v>313</x:v>
      </x:c>
      <x:c r="W345" s="14" t="n">
        <x:v>766</x:v>
      </x:c>
      <x:c r="X345" s="14" t="n">
        <x:f>INT(ABS(K346-K345)*'공식·설정'!$B$8/K345)</x:f>
        <x:v>766</x:v>
      </x:c>
      <x:c r="Y345" s="68" t="n">
        <x:f>X345-W345</x:f>
        <x:v>0</x:v>
      </x:c>
      <x:c r="Z345" s="66" t="n">
        <x:f>W345/'공식·설정'!$B$8</x:f>
        <x:v>0.011688232421875</x:v>
      </x:c>
      <x:c r="AA345" s="66" t="n">
        <x:f>X345/'공식·설정'!$B$8</x:f>
        <x:v>0.011688232421875</x:v>
      </x:c>
      <x:c r="AB345" s="67" t="str">
        <x:f>IF(AND(I345=0,L345=0,Q345=0,T345=0,Y345=0),"PASS","FAIL")</x:f>
        <x:v>PASS</x:v>
      </x:c>
    </x:row>
    <x:row r="346" ht="18" customHeight="1">
      <x:c r="A346" s="14" t="n">
        <x:v>449</x:v>
      </x:c>
      <x:c r="B346" s="14" t="n">
        <x:v>341</x:v>
      </x:c>
      <x:c r="C346" s="14" t="n">
        <x:v>448</x:v>
      </x:c>
      <x:c r="D346" s="14" t="n">
        <x:v>11190</x:v>
      </x:c>
      <x:c r="E346" s="14" t="n">
        <x:v>462</x:v>
      </x:c>
      <x:c r="F346" s="14" t="n">
        <x:v>13030</x:v>
      </x:c>
      <x:c r="G346" s="14" t="n">
        <x:v>11321</x:v>
      </x:c>
      <x:c r="H346" s="14" t="n">
        <x:f>INT((F346-D346)*(A346-C346)/(E346-C346))+D346</x:f>
        <x:v>11321</x:v>
      </x:c>
      <x:c r="I346" s="68" t="n">
        <x:f>H346-G346</x:f>
        <x:v>0</x:v>
      </x:c>
      <x:c r="J346" s="14" t="n">
        <x:v>73702</x:v>
      </x:c>
      <x:c r="K346" s="14" t="n">
        <x:f>INT(H346*'공식·설정'!$B$10/'공식·설정'!$B$15)</x:f>
        <x:v>73702</x:v>
      </x:c>
      <x:c r="L346" s="68" t="n">
        <x:f>K346-J346</x:f>
        <x:v>0</x:v>
      </x:c>
      <x:c r="M346" s="65" t="n">
        <x:f>J346/'공식·설정'!$B$7</x:f>
        <x:v>287.8984375</x:v>
      </x:c>
      <x:c r="N346" s="65" t="n">
        <x:f>K346/'공식·설정'!$B$7</x:f>
        <x:v>287.8984375</x:v>
      </x:c>
      <x:c r="O346" s="14" t="n">
        <x:v>29</x:v>
      </x:c>
      <x:c r="P346" s="14" t="n">
        <x:f>MIN(32767,MAX(0,INT((K346+INT('공식·설정'!$B$12/2))/'공식·설정'!$B$12)))</x:f>
        <x:v>29</x:v>
      </x:c>
      <x:c r="Q346" s="68" t="n">
        <x:f>P346-O346</x:f>
        <x:v>0</x:v>
      </x:c>
      <x:c r="R346" s="14" t="n">
        <x:v>82688</x:v>
      </x:c>
      <x:c r="S346" s="14" t="n">
        <x:f>P346*'공식·설정'!$B$12+'공식·설정'!$B$14</x:f>
        <x:v>82688</x:v>
      </x:c>
      <x:c r="T346" s="68" t="n">
        <x:f>S346-R346</x:f>
        <x:v>0</x:v>
      </x:c>
      <x:c r="U346" s="65" t="n">
        <x:f>R346/'공식·설정'!$B$7</x:f>
        <x:v>323</x:v>
      </x:c>
      <x:c r="V346" s="65" t="n">
        <x:f>S346/'공식·설정'!$B$7</x:f>
        <x:v>323</x:v>
      </x:c>
      <x:c r="W346" s="14" t="n">
        <x:v>758</x:v>
      </x:c>
      <x:c r="X346" s="14" t="n">
        <x:f>INT(ABS(K347-K346)*'공식·설정'!$B$8/K346)</x:f>
        <x:v>758</x:v>
      </x:c>
      <x:c r="Y346" s="68" t="n">
        <x:f>X346-W346</x:f>
        <x:v>0</x:v>
      </x:c>
      <x:c r="Z346" s="66" t="n">
        <x:f>W346/'공식·설정'!$B$8</x:f>
        <x:v>0.011566162109375</x:v>
      </x:c>
      <x:c r="AA346" s="66" t="n">
        <x:f>X346/'공식·설정'!$B$8</x:f>
        <x:v>0.011566162109375</x:v>
      </x:c>
      <x:c r="AB346" s="67" t="str">
        <x:f>IF(AND(I346=0,L346=0,Q346=0,T346=0,Y346=0),"PASS","FAIL")</x:f>
        <x:v>PASS</x:v>
      </x:c>
    </x:row>
    <x:row r="347" ht="18" customHeight="1">
      <x:c r="A347" s="14" t="n">
        <x:v>450</x:v>
      </x:c>
      <x:c r="B347" s="14" t="n">
        <x:v>342</x:v>
      </x:c>
      <x:c r="C347" s="14" t="n">
        <x:v>448</x:v>
      </x:c>
      <x:c r="D347" s="14" t="n">
        <x:v>11190</x:v>
      </x:c>
      <x:c r="E347" s="14" t="n">
        <x:v>462</x:v>
      </x:c>
      <x:c r="F347" s="14" t="n">
        <x:v>13030</x:v>
      </x:c>
      <x:c r="G347" s="14" t="n">
        <x:v>11452</x:v>
      </x:c>
      <x:c r="H347" s="14" t="n">
        <x:f>INT((F347-D347)*(A347-C347)/(E347-C347))+D347</x:f>
        <x:v>11452</x:v>
      </x:c>
      <x:c r="I347" s="68" t="n">
        <x:f>H347-G347</x:f>
        <x:v>0</x:v>
      </x:c>
      <x:c r="J347" s="14" t="n">
        <x:v>74555</x:v>
      </x:c>
      <x:c r="K347" s="14" t="n">
        <x:f>INT(H347*'공식·설정'!$B$10/'공식·설정'!$B$15)</x:f>
        <x:v>74555</x:v>
      </x:c>
      <x:c r="L347" s="68" t="n">
        <x:f>K347-J347</x:f>
        <x:v>0</x:v>
      </x:c>
      <x:c r="M347" s="65" t="n">
        <x:f>J347/'공식·설정'!$B$7</x:f>
        <x:v>291.23046875</x:v>
      </x:c>
      <x:c r="N347" s="65" t="n">
        <x:f>K347/'공식·설정'!$B$7</x:f>
        <x:v>291.23046875</x:v>
      </x:c>
      <x:c r="O347" s="14" t="n">
        <x:v>29</x:v>
      </x:c>
      <x:c r="P347" s="14" t="n">
        <x:f>MIN(32767,MAX(0,INT((K347+INT('공식·설정'!$B$12/2))/'공식·설정'!$B$12)))</x:f>
        <x:v>29</x:v>
      </x:c>
      <x:c r="Q347" s="68" t="n">
        <x:f>P347-O347</x:f>
        <x:v>0</x:v>
      </x:c>
      <x:c r="R347" s="14" t="n">
        <x:v>82688</x:v>
      </x:c>
      <x:c r="S347" s="14" t="n">
        <x:f>P347*'공식·설정'!$B$12+'공식·설정'!$B$14</x:f>
        <x:v>82688</x:v>
      </x:c>
      <x:c r="T347" s="68" t="n">
        <x:f>S347-R347</x:f>
        <x:v>0</x:v>
      </x:c>
      <x:c r="U347" s="65" t="n">
        <x:f>R347/'공식·설정'!$B$7</x:f>
        <x:v>323</x:v>
      </x:c>
      <x:c r="V347" s="65" t="n">
        <x:f>S347/'공식·설정'!$B$7</x:f>
        <x:v>323</x:v>
      </x:c>
      <x:c r="W347" s="14" t="n">
        <x:v>755</x:v>
      </x:c>
      <x:c r="X347" s="14" t="n">
        <x:f>INT(ABS(K348-K347)*'공식·설정'!$B$8/K347)</x:f>
        <x:v>755</x:v>
      </x:c>
      <x:c r="Y347" s="68" t="n">
        <x:f>X347-W347</x:f>
        <x:v>0</x:v>
      </x:c>
      <x:c r="Z347" s="66" t="n">
        <x:f>W347/'공식·설정'!$B$8</x:f>
        <x:v>0.0115203857421875</x:v>
      </x:c>
      <x:c r="AA347" s="66" t="n">
        <x:f>X347/'공식·설정'!$B$8</x:f>
        <x:v>0.0115203857421875</x:v>
      </x:c>
      <x:c r="AB347" s="67" t="str">
        <x:f>IF(AND(I347=0,L347=0,Q347=0,T347=0,Y347=0),"PASS","FAIL")</x:f>
        <x:v>PASS</x:v>
      </x:c>
    </x:row>
    <x:row r="348" ht="18" customHeight="1">
      <x:c r="A348" s="14" t="n">
        <x:v>451</x:v>
      </x:c>
      <x:c r="B348" s="14" t="n">
        <x:v>343</x:v>
      </x:c>
      <x:c r="C348" s="14" t="n">
        <x:v>448</x:v>
      </x:c>
      <x:c r="D348" s="14" t="n">
        <x:v>11190</x:v>
      </x:c>
      <x:c r="E348" s="14" t="n">
        <x:v>462</x:v>
      </x:c>
      <x:c r="F348" s="14" t="n">
        <x:v>13030</x:v>
      </x:c>
      <x:c r="G348" s="14" t="n">
        <x:v>11584</x:v>
      </x:c>
      <x:c r="H348" s="14" t="n">
        <x:f>INT((F348-D348)*(A348-C348)/(E348-C348))+D348</x:f>
        <x:v>11584</x:v>
      </x:c>
      <x:c r="I348" s="68" t="n">
        <x:f>H348-G348</x:f>
        <x:v>0</x:v>
      </x:c>
      <x:c r="J348" s="14" t="n">
        <x:v>75415</x:v>
      </x:c>
      <x:c r="K348" s="14" t="n">
        <x:f>INT(H348*'공식·설정'!$B$10/'공식·설정'!$B$15)</x:f>
        <x:v>75415</x:v>
      </x:c>
      <x:c r="L348" s="68" t="n">
        <x:f>K348-J348</x:f>
        <x:v>0</x:v>
      </x:c>
      <x:c r="M348" s="65" t="n">
        <x:f>J348/'공식·설정'!$B$7</x:f>
        <x:v>294.58984375</x:v>
      </x:c>
      <x:c r="N348" s="65" t="n">
        <x:f>K348/'공식·설정'!$B$7</x:f>
        <x:v>294.58984375</x:v>
      </x:c>
      <x:c r="O348" s="14" t="n">
        <x:v>29</x:v>
      </x:c>
      <x:c r="P348" s="14" t="n">
        <x:f>MIN(32767,MAX(0,INT((K348+INT('공식·설정'!$B$12/2))/'공식·설정'!$B$12)))</x:f>
        <x:v>29</x:v>
      </x:c>
      <x:c r="Q348" s="68" t="n">
        <x:f>P348-O348</x:f>
        <x:v>0</x:v>
      </x:c>
      <x:c r="R348" s="14" t="n">
        <x:v>82688</x:v>
      </x:c>
      <x:c r="S348" s="14" t="n">
        <x:f>P348*'공식·설정'!$B$12+'공식·설정'!$B$14</x:f>
        <x:v>82688</x:v>
      </x:c>
      <x:c r="T348" s="68" t="n">
        <x:f>S348-R348</x:f>
        <x:v>0</x:v>
      </x:c>
      <x:c r="U348" s="65" t="n">
        <x:f>R348/'공식·설정'!$B$7</x:f>
        <x:v>323</x:v>
      </x:c>
      <x:c r="V348" s="65" t="n">
        <x:f>S348/'공식·설정'!$B$7</x:f>
        <x:v>323</x:v>
      </x:c>
      <x:c r="W348" s="14" t="n">
        <x:v>740</x:v>
      </x:c>
      <x:c r="X348" s="14" t="n">
        <x:f>INT(ABS(K349-K348)*'공식·설정'!$B$8/K348)</x:f>
        <x:v>740</x:v>
      </x:c>
      <x:c r="Y348" s="68" t="n">
        <x:f>X348-W348</x:f>
        <x:v>0</x:v>
      </x:c>
      <x:c r="Z348" s="66" t="n">
        <x:f>W348/'공식·설정'!$B$8</x:f>
        <x:v>0.01129150390625</x:v>
      </x:c>
      <x:c r="AA348" s="66" t="n">
        <x:f>X348/'공식·설정'!$B$8</x:f>
        <x:v>0.01129150390625</x:v>
      </x:c>
      <x:c r="AB348" s="67" t="str">
        <x:f>IF(AND(I348=0,L348=0,Q348=0,T348=0,Y348=0),"PASS","FAIL")</x:f>
        <x:v>PASS</x:v>
      </x:c>
    </x:row>
    <x:row r="349" ht="18" customHeight="1">
      <x:c r="A349" s="14" t="n">
        <x:v>452</x:v>
      </x:c>
      <x:c r="B349" s="14" t="n">
        <x:v>344</x:v>
      </x:c>
      <x:c r="C349" s="14" t="n">
        <x:v>448</x:v>
      </x:c>
      <x:c r="D349" s="14" t="n">
        <x:v>11190</x:v>
      </x:c>
      <x:c r="E349" s="14" t="n">
        <x:v>462</x:v>
      </x:c>
      <x:c r="F349" s="14" t="n">
        <x:v>13030</x:v>
      </x:c>
      <x:c r="G349" s="14" t="n">
        <x:v>11715</x:v>
      </x:c>
      <x:c r="H349" s="14" t="n">
        <x:f>INT((F349-D349)*(A349-C349)/(E349-C349))+D349</x:f>
        <x:v>11715</x:v>
      </x:c>
      <x:c r="I349" s="68" t="n">
        <x:f>H349-G349</x:f>
        <x:v>0</x:v>
      </x:c>
      <x:c r="J349" s="14" t="n">
        <x:v>76267</x:v>
      </x:c>
      <x:c r="K349" s="14" t="n">
        <x:f>INT(H349*'공식·설정'!$B$10/'공식·설정'!$B$15)</x:f>
        <x:v>76267</x:v>
      </x:c>
      <x:c r="L349" s="68" t="n">
        <x:f>K349-J349</x:f>
        <x:v>0</x:v>
      </x:c>
      <x:c r="M349" s="65" t="n">
        <x:f>J349/'공식·설정'!$B$7</x:f>
        <x:v>297.91796875</x:v>
      </x:c>
      <x:c r="N349" s="65" t="n">
        <x:f>K349/'공식·설정'!$B$7</x:f>
        <x:v>297.91796875</x:v>
      </x:c>
      <x:c r="O349" s="14" t="n">
        <x:v>30</x:v>
      </x:c>
      <x:c r="P349" s="14" t="n">
        <x:f>MIN(32767,MAX(0,INT((K349+INT('공식·설정'!$B$12/2))/'공식·설정'!$B$12)))</x:f>
        <x:v>30</x:v>
      </x:c>
      <x:c r="Q349" s="68" t="n">
        <x:f>P349-O349</x:f>
        <x:v>0</x:v>
      </x:c>
      <x:c r="R349" s="14" t="n">
        <x:v>85248</x:v>
      </x:c>
      <x:c r="S349" s="14" t="n">
        <x:f>P349*'공식·설정'!$B$12+'공식·설정'!$B$14</x:f>
        <x:v>85248</x:v>
      </x:c>
      <x:c r="T349" s="68" t="n">
        <x:f>S349-R349</x:f>
        <x:v>0</x:v>
      </x:c>
      <x:c r="U349" s="65" t="n">
        <x:f>R349/'공식·설정'!$B$7</x:f>
        <x:v>333</x:v>
      </x:c>
      <x:c r="V349" s="65" t="n">
        <x:f>S349/'공식·설정'!$B$7</x:f>
        <x:v>333</x:v>
      </x:c>
      <x:c r="W349" s="14" t="n">
        <x:v>738</x:v>
      </x:c>
      <x:c r="X349" s="14" t="n">
        <x:f>INT(ABS(K350-K349)*'공식·설정'!$B$8/K349)</x:f>
        <x:v>738</x:v>
      </x:c>
      <x:c r="Y349" s="68" t="n">
        <x:f>X349-W349</x:f>
        <x:v>0</x:v>
      </x:c>
      <x:c r="Z349" s="66" t="n">
        <x:f>W349/'공식·설정'!$B$8</x:f>
        <x:v>0.011260986328125</x:v>
      </x:c>
      <x:c r="AA349" s="66" t="n">
        <x:f>X349/'공식·설정'!$B$8</x:f>
        <x:v>0.011260986328125</x:v>
      </x:c>
      <x:c r="AB349" s="67" t="str">
        <x:f>IF(AND(I349=0,L349=0,Q349=0,T349=0,Y349=0),"PASS","FAIL")</x:f>
        <x:v>PASS</x:v>
      </x:c>
    </x:row>
    <x:row r="350" ht="18" customHeight="1">
      <x:c r="A350" s="14" t="n">
        <x:v>453</x:v>
      </x:c>
      <x:c r="B350" s="14" t="n">
        <x:v>345</x:v>
      </x:c>
      <x:c r="C350" s="14" t="n">
        <x:v>448</x:v>
      </x:c>
      <x:c r="D350" s="14" t="n">
        <x:v>11190</x:v>
      </x:c>
      <x:c r="E350" s="14" t="n">
        <x:v>462</x:v>
      </x:c>
      <x:c r="F350" s="14" t="n">
        <x:v>13030</x:v>
      </x:c>
      <x:c r="G350" s="14" t="n">
        <x:v>11847</x:v>
      </x:c>
      <x:c r="H350" s="14" t="n">
        <x:f>INT((F350-D350)*(A350-C350)/(E350-C350))+D350</x:f>
        <x:v>11847</x:v>
      </x:c>
      <x:c r="I350" s="68" t="n">
        <x:f>H350-G350</x:f>
        <x:v>0</x:v>
      </x:c>
      <x:c r="J350" s="14" t="n">
        <x:v>77127</x:v>
      </x:c>
      <x:c r="K350" s="14" t="n">
        <x:f>INT(H350*'공식·설정'!$B$10/'공식·설정'!$B$15)</x:f>
        <x:v>77127</x:v>
      </x:c>
      <x:c r="L350" s="68" t="n">
        <x:f>K350-J350</x:f>
        <x:v>0</x:v>
      </x:c>
      <x:c r="M350" s="65" t="n">
        <x:f>J350/'공식·설정'!$B$7</x:f>
        <x:v>301.27734375</x:v>
      </x:c>
      <x:c r="N350" s="65" t="n">
        <x:f>K350/'공식·설정'!$B$7</x:f>
        <x:v>301.27734375</x:v>
      </x:c>
      <x:c r="O350" s="14" t="n">
        <x:v>30</x:v>
      </x:c>
      <x:c r="P350" s="14" t="n">
        <x:f>MIN(32767,MAX(0,INT((K350+INT('공식·설정'!$B$12/2))/'공식·설정'!$B$12)))</x:f>
        <x:v>30</x:v>
      </x:c>
      <x:c r="Q350" s="68" t="n">
        <x:f>P350-O350</x:f>
        <x:v>0</x:v>
      </x:c>
      <x:c r="R350" s="14" t="n">
        <x:v>85248</x:v>
      </x:c>
      <x:c r="S350" s="14" t="n">
        <x:f>P350*'공식·설정'!$B$12+'공식·설정'!$B$14</x:f>
        <x:v>85248</x:v>
      </x:c>
      <x:c r="T350" s="68" t="n">
        <x:f>S350-R350</x:f>
        <x:v>0</x:v>
      </x:c>
      <x:c r="U350" s="65" t="n">
        <x:f>R350/'공식·설정'!$B$7</x:f>
        <x:v>333</x:v>
      </x:c>
      <x:c r="V350" s="65" t="n">
        <x:f>S350/'공식·설정'!$B$7</x:f>
        <x:v>333</x:v>
      </x:c>
      <x:c r="W350" s="14" t="n">
        <x:v>724</x:v>
      </x:c>
      <x:c r="X350" s="14" t="n">
        <x:f>INT(ABS(K351-K350)*'공식·설정'!$B$8/K350)</x:f>
        <x:v>724</x:v>
      </x:c>
      <x:c r="Y350" s="68" t="n">
        <x:f>X350-W350</x:f>
        <x:v>0</x:v>
      </x:c>
      <x:c r="Z350" s="66" t="n">
        <x:f>W350/'공식·설정'!$B$8</x:f>
        <x:v>0.01104736328125</x:v>
      </x:c>
      <x:c r="AA350" s="66" t="n">
        <x:f>X350/'공식·설정'!$B$8</x:f>
        <x:v>0.01104736328125</x:v>
      </x:c>
      <x:c r="AB350" s="67" t="str">
        <x:f>IF(AND(I350=0,L350=0,Q350=0,T350=0,Y350=0),"PASS","FAIL")</x:f>
        <x:v>PASS</x:v>
      </x:c>
    </x:row>
    <x:row r="351" ht="18" customHeight="1">
      <x:c r="A351" s="14" t="n">
        <x:v>454</x:v>
      </x:c>
      <x:c r="B351" s="14" t="n">
        <x:v>346</x:v>
      </x:c>
      <x:c r="C351" s="14" t="n">
        <x:v>448</x:v>
      </x:c>
      <x:c r="D351" s="14" t="n">
        <x:v>11190</x:v>
      </x:c>
      <x:c r="E351" s="14" t="n">
        <x:v>462</x:v>
      </x:c>
      <x:c r="F351" s="14" t="n">
        <x:v>13030</x:v>
      </x:c>
      <x:c r="G351" s="14" t="n">
        <x:v>11978</x:v>
      </x:c>
      <x:c r="H351" s="14" t="n">
        <x:f>INT((F351-D351)*(A351-C351)/(E351-C351))+D351</x:f>
        <x:v>11978</x:v>
      </x:c>
      <x:c r="I351" s="68" t="n">
        <x:f>H351-G351</x:f>
        <x:v>0</x:v>
      </x:c>
      <x:c r="J351" s="14" t="n">
        <x:v>77980</x:v>
      </x:c>
      <x:c r="K351" s="14" t="n">
        <x:f>INT(H351*'공식·설정'!$B$10/'공식·설정'!$B$15)</x:f>
        <x:v>77980</x:v>
      </x:c>
      <x:c r="L351" s="68" t="n">
        <x:f>K351-J351</x:f>
        <x:v>0</x:v>
      </x:c>
      <x:c r="M351" s="65" t="n">
        <x:f>J351/'공식·설정'!$B$7</x:f>
        <x:v>304.609375</x:v>
      </x:c>
      <x:c r="N351" s="65" t="n">
        <x:f>K351/'공식·설정'!$B$7</x:f>
        <x:v>304.609375</x:v>
      </x:c>
      <x:c r="O351" s="14" t="n">
        <x:v>30</x:v>
      </x:c>
      <x:c r="P351" s="14" t="n">
        <x:f>MIN(32767,MAX(0,INT((K351+INT('공식·설정'!$B$12/2))/'공식·설정'!$B$12)))</x:f>
        <x:v>30</x:v>
      </x:c>
      <x:c r="Q351" s="68" t="n">
        <x:f>P351-O351</x:f>
        <x:v>0</x:v>
      </x:c>
      <x:c r="R351" s="14" t="n">
        <x:v>85248</x:v>
      </x:c>
      <x:c r="S351" s="14" t="n">
        <x:f>P351*'공식·설정'!$B$12+'공식·설정'!$B$14</x:f>
        <x:v>85248</x:v>
      </x:c>
      <x:c r="T351" s="68" t="n">
        <x:f>S351-R351</x:f>
        <x:v>0</x:v>
      </x:c>
      <x:c r="U351" s="65" t="n">
        <x:f>R351/'공식·설정'!$B$7</x:f>
        <x:v>333</x:v>
      </x:c>
      <x:c r="V351" s="65" t="n">
        <x:f>S351/'공식·설정'!$B$7</x:f>
        <x:v>333</x:v>
      </x:c>
      <x:c r="W351" s="14" t="n">
        <x:v>721</x:v>
      </x:c>
      <x:c r="X351" s="14" t="n">
        <x:f>INT(ABS(K352-K351)*'공식·설정'!$B$8/K351)</x:f>
        <x:v>721</x:v>
      </x:c>
      <x:c r="Y351" s="68" t="n">
        <x:f>X351-W351</x:f>
        <x:v>0</x:v>
      </x:c>
      <x:c r="Z351" s="66" t="n">
        <x:f>W351/'공식·설정'!$B$8</x:f>
        <x:v>0.0110015869140625</x:v>
      </x:c>
      <x:c r="AA351" s="66" t="n">
        <x:f>X351/'공식·설정'!$B$8</x:f>
        <x:v>0.0110015869140625</x:v>
      </x:c>
      <x:c r="AB351" s="67" t="str">
        <x:f>IF(AND(I351=0,L351=0,Q351=0,T351=0,Y351=0),"PASS","FAIL")</x:f>
        <x:v>PASS</x:v>
      </x:c>
    </x:row>
    <x:row r="352" ht="18" customHeight="1">
      <x:c r="A352" s="14" t="n">
        <x:v>455</x:v>
      </x:c>
      <x:c r="B352" s="14" t="n">
        <x:v>347</x:v>
      </x:c>
      <x:c r="C352" s="14" t="n">
        <x:v>448</x:v>
      </x:c>
      <x:c r="D352" s="14" t="n">
        <x:v>11190</x:v>
      </x:c>
      <x:c r="E352" s="14" t="n">
        <x:v>462</x:v>
      </x:c>
      <x:c r="F352" s="14" t="n">
        <x:v>13030</x:v>
      </x:c>
      <x:c r="G352" s="14" t="n">
        <x:v>12110</x:v>
      </x:c>
      <x:c r="H352" s="14" t="n">
        <x:f>INT((F352-D352)*(A352-C352)/(E352-C352))+D352</x:f>
        <x:v>12110</x:v>
      </x:c>
      <x:c r="I352" s="68" t="n">
        <x:f>H352-G352</x:f>
        <x:v>0</x:v>
      </x:c>
      <x:c r="J352" s="14" t="n">
        <x:v>78839</x:v>
      </x:c>
      <x:c r="K352" s="14" t="n">
        <x:f>INT(H352*'공식·설정'!$B$10/'공식·설정'!$B$15)</x:f>
        <x:v>78839</x:v>
      </x:c>
      <x:c r="L352" s="68" t="n">
        <x:f>K352-J352</x:f>
        <x:v>0</x:v>
      </x:c>
      <x:c r="M352" s="65" t="n">
        <x:f>J352/'공식·설정'!$B$7</x:f>
        <x:v>307.96484375</x:v>
      </x:c>
      <x:c r="N352" s="65" t="n">
        <x:f>K352/'공식·설정'!$B$7</x:f>
        <x:v>307.96484375</x:v>
      </x:c>
      <x:c r="O352" s="14" t="n">
        <x:v>31</x:v>
      </x:c>
      <x:c r="P352" s="14" t="n">
        <x:f>MIN(32767,MAX(0,INT((K352+INT('공식·설정'!$B$12/2))/'공식·설정'!$B$12)))</x:f>
        <x:v>31</x:v>
      </x:c>
      <x:c r="Q352" s="68" t="n">
        <x:f>P352-O352</x:f>
        <x:v>0</x:v>
      </x:c>
      <x:c r="R352" s="14" t="n">
        <x:v>87808</x:v>
      </x:c>
      <x:c r="S352" s="14" t="n">
        <x:f>P352*'공식·설정'!$B$12+'공식·설정'!$B$14</x:f>
        <x:v>87808</x:v>
      </x:c>
      <x:c r="T352" s="68" t="n">
        <x:f>S352-R352</x:f>
        <x:v>0</x:v>
      </x:c>
      <x:c r="U352" s="65" t="n">
        <x:f>R352/'공식·설정'!$B$7</x:f>
        <x:v>343</x:v>
      </x:c>
      <x:c r="V352" s="65" t="n">
        <x:f>S352/'공식·설정'!$B$7</x:f>
        <x:v>343</x:v>
      </x:c>
      <x:c r="W352" s="14" t="n">
        <x:v>709</x:v>
      </x:c>
      <x:c r="X352" s="14" t="n">
        <x:f>INT(ABS(K353-K352)*'공식·설정'!$B$8/K352)</x:f>
        <x:v>709</x:v>
      </x:c>
      <x:c r="Y352" s="68" t="n">
        <x:f>X352-W352</x:f>
        <x:v>0</x:v>
      </x:c>
      <x:c r="Z352" s="66" t="n">
        <x:f>W352/'공식·설정'!$B$8</x:f>
        <x:v>0.0108184814453125</x:v>
      </x:c>
      <x:c r="AA352" s="66" t="n">
        <x:f>X352/'공식·설정'!$B$8</x:f>
        <x:v>0.0108184814453125</x:v>
      </x:c>
      <x:c r="AB352" s="67" t="str">
        <x:f>IF(AND(I352=0,L352=0,Q352=0,T352=0,Y352=0),"PASS","FAIL")</x:f>
        <x:v>PASS</x:v>
      </x:c>
    </x:row>
    <x:row r="353" ht="18" customHeight="1">
      <x:c r="A353" s="14" t="n">
        <x:v>456</x:v>
      </x:c>
      <x:c r="B353" s="14" t="n">
        <x:v>348</x:v>
      </x:c>
      <x:c r="C353" s="14" t="n">
        <x:v>448</x:v>
      </x:c>
      <x:c r="D353" s="14" t="n">
        <x:v>11190</x:v>
      </x:c>
      <x:c r="E353" s="14" t="n">
        <x:v>462</x:v>
      </x:c>
      <x:c r="F353" s="14" t="n">
        <x:v>13030</x:v>
      </x:c>
      <x:c r="G353" s="14" t="n">
        <x:v>12241</x:v>
      </x:c>
      <x:c r="H353" s="14" t="n">
        <x:f>INT((F353-D353)*(A353-C353)/(E353-C353))+D353</x:f>
        <x:v>12241</x:v>
      </x:c>
      <x:c r="I353" s="68" t="n">
        <x:f>H353-G353</x:f>
        <x:v>0</x:v>
      </x:c>
      <x:c r="J353" s="14" t="n">
        <x:v>79692</x:v>
      </x:c>
      <x:c r="K353" s="14" t="n">
        <x:f>INT(H353*'공식·설정'!$B$10/'공식·설정'!$B$15)</x:f>
        <x:v>79692</x:v>
      </x:c>
      <x:c r="L353" s="68" t="n">
        <x:f>K353-J353</x:f>
        <x:v>0</x:v>
      </x:c>
      <x:c r="M353" s="65" t="n">
        <x:f>J353/'공식·설정'!$B$7</x:f>
        <x:v>311.296875</x:v>
      </x:c>
      <x:c r="N353" s="65" t="n">
        <x:f>K353/'공식·설정'!$B$7</x:f>
        <x:v>311.296875</x:v>
      </x:c>
      <x:c r="O353" s="14" t="n">
        <x:v>31</x:v>
      </x:c>
      <x:c r="P353" s="14" t="n">
        <x:f>MIN(32767,MAX(0,INT((K353+INT('공식·설정'!$B$12/2))/'공식·설정'!$B$12)))</x:f>
        <x:v>31</x:v>
      </x:c>
      <x:c r="Q353" s="68" t="n">
        <x:f>P353-O353</x:f>
        <x:v>0</x:v>
      </x:c>
      <x:c r="R353" s="14" t="n">
        <x:v>87808</x:v>
      </x:c>
      <x:c r="S353" s="14" t="n">
        <x:f>P353*'공식·설정'!$B$12+'공식·설정'!$B$14</x:f>
        <x:v>87808</x:v>
      </x:c>
      <x:c r="T353" s="68" t="n">
        <x:f>S353-R353</x:f>
        <x:v>0</x:v>
      </x:c>
      <x:c r="U353" s="65" t="n">
        <x:f>R353/'공식·설정'!$B$7</x:f>
        <x:v>343</x:v>
      </x:c>
      <x:c r="V353" s="65" t="n">
        <x:f>S353/'공식·설정'!$B$7</x:f>
        <x:v>343</x:v>
      </x:c>
      <x:c r="W353" s="14" t="n">
        <x:v>701</x:v>
      </x:c>
      <x:c r="X353" s="14" t="n">
        <x:f>INT(ABS(K354-K353)*'공식·설정'!$B$8/K353)</x:f>
        <x:v>701</x:v>
      </x:c>
      <x:c r="Y353" s="68" t="n">
        <x:f>X353-W353</x:f>
        <x:v>0</x:v>
      </x:c>
      <x:c r="Z353" s="66" t="n">
        <x:f>W353/'공식·설정'!$B$8</x:f>
        <x:v>0.0106964111328125</x:v>
      </x:c>
      <x:c r="AA353" s="66" t="n">
        <x:f>X353/'공식·설정'!$B$8</x:f>
        <x:v>0.0106964111328125</x:v>
      </x:c>
      <x:c r="AB353" s="67" t="str">
        <x:f>IF(AND(I353=0,L353=0,Q353=0,T353=0,Y353=0),"PASS","FAIL")</x:f>
        <x:v>PASS</x:v>
      </x:c>
    </x:row>
    <x:row r="354" ht="18" customHeight="1">
      <x:c r="A354" s="14" t="n">
        <x:v>457</x:v>
      </x:c>
      <x:c r="B354" s="14" t="n">
        <x:v>349</x:v>
      </x:c>
      <x:c r="C354" s="14" t="n">
        <x:v>448</x:v>
      </x:c>
      <x:c r="D354" s="14" t="n">
        <x:v>11190</x:v>
      </x:c>
      <x:c r="E354" s="14" t="n">
        <x:v>462</x:v>
      </x:c>
      <x:c r="F354" s="14" t="n">
        <x:v>13030</x:v>
      </x:c>
      <x:c r="G354" s="14" t="n">
        <x:v>12372</x:v>
      </x:c>
      <x:c r="H354" s="14" t="n">
        <x:f>INT((F354-D354)*(A354-C354)/(E354-C354))+D354</x:f>
        <x:v>12372</x:v>
      </x:c>
      <x:c r="I354" s="68" t="n">
        <x:f>H354-G354</x:f>
        <x:v>0</x:v>
      </x:c>
      <x:c r="J354" s="14" t="n">
        <x:v>80545</x:v>
      </x:c>
      <x:c r="K354" s="14" t="n">
        <x:f>INT(H354*'공식·설정'!$B$10/'공식·설정'!$B$15)</x:f>
        <x:v>80545</x:v>
      </x:c>
      <x:c r="L354" s="68" t="n">
        <x:f>K354-J354</x:f>
        <x:v>0</x:v>
      </x:c>
      <x:c r="M354" s="65" t="n">
        <x:f>J354/'공식·설정'!$B$7</x:f>
        <x:v>314.62890625</x:v>
      </x:c>
      <x:c r="N354" s="65" t="n">
        <x:f>K354/'공식·설정'!$B$7</x:f>
        <x:v>314.62890625</x:v>
      </x:c>
      <x:c r="O354" s="14" t="n">
        <x:v>31</x:v>
      </x:c>
      <x:c r="P354" s="14" t="n">
        <x:f>MIN(32767,MAX(0,INT((K354+INT('공식·설정'!$B$12/2))/'공식·설정'!$B$12)))</x:f>
        <x:v>31</x:v>
      </x:c>
      <x:c r="Q354" s="68" t="n">
        <x:f>P354-O354</x:f>
        <x:v>0</x:v>
      </x:c>
      <x:c r="R354" s="14" t="n">
        <x:v>87808</x:v>
      </x:c>
      <x:c r="S354" s="14" t="n">
        <x:f>P354*'공식·설정'!$B$12+'공식·설정'!$B$14</x:f>
        <x:v>87808</x:v>
      </x:c>
      <x:c r="T354" s="68" t="n">
        <x:f>S354-R354</x:f>
        <x:v>0</x:v>
      </x:c>
      <x:c r="U354" s="65" t="n">
        <x:f>R354/'공식·설정'!$B$7</x:f>
        <x:v>343</x:v>
      </x:c>
      <x:c r="V354" s="65" t="n">
        <x:f>S354/'공식·설정'!$B$7</x:f>
        <x:v>343</x:v>
      </x:c>
      <x:c r="W354" s="14" t="n">
        <x:v>698</x:v>
      </x:c>
      <x:c r="X354" s="14" t="n">
        <x:f>INT(ABS(K355-K354)*'공식·설정'!$B$8/K354)</x:f>
        <x:v>698</x:v>
      </x:c>
      <x:c r="Y354" s="68" t="n">
        <x:f>X354-W354</x:f>
        <x:v>0</x:v>
      </x:c>
      <x:c r="Z354" s="66" t="n">
        <x:f>W354/'공식·설정'!$B$8</x:f>
        <x:v>0.010650634765625</x:v>
      </x:c>
      <x:c r="AA354" s="66" t="n">
        <x:f>X354/'공식·설정'!$B$8</x:f>
        <x:v>0.010650634765625</x:v>
      </x:c>
      <x:c r="AB354" s="67" t="str">
        <x:f>IF(AND(I354=0,L354=0,Q354=0,T354=0,Y354=0),"PASS","FAIL")</x:f>
        <x:v>PASS</x:v>
      </x:c>
    </x:row>
    <x:row r="355" ht="18" customHeight="1">
      <x:c r="A355" s="14" t="n">
        <x:v>458</x:v>
      </x:c>
      <x:c r="B355" s="14" t="n">
        <x:v>350</x:v>
      </x:c>
      <x:c r="C355" s="14" t="n">
        <x:v>448</x:v>
      </x:c>
      <x:c r="D355" s="14" t="n">
        <x:v>11190</x:v>
      </x:c>
      <x:c r="E355" s="14" t="n">
        <x:v>462</x:v>
      </x:c>
      <x:c r="F355" s="14" t="n">
        <x:v>13030</x:v>
      </x:c>
      <x:c r="G355" s="14" t="n">
        <x:v>12504</x:v>
      </x:c>
      <x:c r="H355" s="14" t="n">
        <x:f>INT((F355-D355)*(A355-C355)/(E355-C355))+D355</x:f>
        <x:v>12504</x:v>
      </x:c>
      <x:c r="I355" s="68" t="n">
        <x:f>H355-G355</x:f>
        <x:v>0</x:v>
      </x:c>
      <x:c r="J355" s="14" t="n">
        <x:v>81404</x:v>
      </x:c>
      <x:c r="K355" s="14" t="n">
        <x:f>INT(H355*'공식·설정'!$B$10/'공식·설정'!$B$15)</x:f>
        <x:v>81404</x:v>
      </x:c>
      <x:c r="L355" s="68" t="n">
        <x:f>K355-J355</x:f>
        <x:v>0</x:v>
      </x:c>
      <x:c r="M355" s="65" t="n">
        <x:f>J355/'공식·설정'!$B$7</x:f>
        <x:v>317.984375</x:v>
      </x:c>
      <x:c r="N355" s="65" t="n">
        <x:f>K355/'공식·설정'!$B$7</x:f>
        <x:v>317.984375</x:v>
      </x:c>
      <x:c r="O355" s="14" t="n">
        <x:v>32</x:v>
      </x:c>
      <x:c r="P355" s="14" t="n">
        <x:f>MIN(32767,MAX(0,INT((K355+INT('공식·설정'!$B$12/2))/'공식·설정'!$B$12)))</x:f>
        <x:v>32</x:v>
      </x:c>
      <x:c r="Q355" s="68" t="n">
        <x:f>P355-O355</x:f>
        <x:v>0</x:v>
      </x:c>
      <x:c r="R355" s="14" t="n">
        <x:v>90368</x:v>
      </x:c>
      <x:c r="S355" s="14" t="n">
        <x:f>P355*'공식·설정'!$B$12+'공식·설정'!$B$14</x:f>
        <x:v>90368</x:v>
      </x:c>
      <x:c r="T355" s="68" t="n">
        <x:f>S355-R355</x:f>
        <x:v>0</x:v>
      </x:c>
      <x:c r="U355" s="65" t="n">
        <x:f>R355/'공식·설정'!$B$7</x:f>
        <x:v>353</x:v>
      </x:c>
      <x:c r="V355" s="65" t="n">
        <x:f>S355/'공식·설정'!$B$7</x:f>
        <x:v>353</x:v>
      </x:c>
      <x:c r="W355" s="14" t="n">
        <x:v>686</x:v>
      </x:c>
      <x:c r="X355" s="14" t="n">
        <x:f>INT(ABS(K356-K355)*'공식·설정'!$B$8/K355)</x:f>
        <x:v>686</x:v>
      </x:c>
      <x:c r="Y355" s="68" t="n">
        <x:f>X355-W355</x:f>
        <x:v>0</x:v>
      </x:c>
      <x:c r="Z355" s="66" t="n">
        <x:f>W355/'공식·설정'!$B$8</x:f>
        <x:v>0.010467529296875</x:v>
      </x:c>
      <x:c r="AA355" s="66" t="n">
        <x:f>X355/'공식·설정'!$B$8</x:f>
        <x:v>0.010467529296875</x:v>
      </x:c>
      <x:c r="AB355" s="67" t="str">
        <x:f>IF(AND(I355=0,L355=0,Q355=0,T355=0,Y355=0),"PASS","FAIL")</x:f>
        <x:v>PASS</x:v>
      </x:c>
    </x:row>
    <x:row r="356" ht="18" customHeight="1">
      <x:c r="A356" s="14" t="n">
        <x:v>459</x:v>
      </x:c>
      <x:c r="B356" s="14" t="n">
        <x:v>351</x:v>
      </x:c>
      <x:c r="C356" s="14" t="n">
        <x:v>448</x:v>
      </x:c>
      <x:c r="D356" s="14" t="n">
        <x:v>11190</x:v>
      </x:c>
      <x:c r="E356" s="14" t="n">
        <x:v>462</x:v>
      </x:c>
      <x:c r="F356" s="14" t="n">
        <x:v>13030</x:v>
      </x:c>
      <x:c r="G356" s="14" t="n">
        <x:v>12635</x:v>
      </x:c>
      <x:c r="H356" s="14" t="n">
        <x:f>INT((F356-D356)*(A356-C356)/(E356-C356))+D356</x:f>
        <x:v>12635</x:v>
      </x:c>
      <x:c r="I356" s="68" t="n">
        <x:f>H356-G356</x:f>
        <x:v>0</x:v>
      </x:c>
      <x:c r="J356" s="14" t="n">
        <x:v>82257</x:v>
      </x:c>
      <x:c r="K356" s="14" t="n">
        <x:f>INT(H356*'공식·설정'!$B$10/'공식·설정'!$B$15)</x:f>
        <x:v>82257</x:v>
      </x:c>
      <x:c r="L356" s="68" t="n">
        <x:f>K356-J356</x:f>
        <x:v>0</x:v>
      </x:c>
      <x:c r="M356" s="65" t="n">
        <x:f>J356/'공식·설정'!$B$7</x:f>
        <x:v>321.31640625</x:v>
      </x:c>
      <x:c r="N356" s="65" t="n">
        <x:f>K356/'공식·설정'!$B$7</x:f>
        <x:v>321.31640625</x:v>
      </x:c>
      <x:c r="O356" s="14" t="n">
        <x:v>32</x:v>
      </x:c>
      <x:c r="P356" s="14" t="n">
        <x:f>MIN(32767,MAX(0,INT((K356+INT('공식·설정'!$B$12/2))/'공식·설정'!$B$12)))</x:f>
        <x:v>32</x:v>
      </x:c>
      <x:c r="Q356" s="68" t="n">
        <x:f>P356-O356</x:f>
        <x:v>0</x:v>
      </x:c>
      <x:c r="R356" s="14" t="n">
        <x:v>90368</x:v>
      </x:c>
      <x:c r="S356" s="14" t="n">
        <x:f>P356*'공식·설정'!$B$12+'공식·설정'!$B$14</x:f>
        <x:v>90368</x:v>
      </x:c>
      <x:c r="T356" s="68" t="n">
        <x:f>S356-R356</x:f>
        <x:v>0</x:v>
      </x:c>
      <x:c r="U356" s="65" t="n">
        <x:f>R356/'공식·설정'!$B$7</x:f>
        <x:v>353</x:v>
      </x:c>
      <x:c r="V356" s="65" t="n">
        <x:f>S356/'공식·설정'!$B$7</x:f>
        <x:v>353</x:v>
      </x:c>
      <x:c r="W356" s="14" t="n">
        <x:v>684</x:v>
      </x:c>
      <x:c r="X356" s="14" t="n">
        <x:f>INT(ABS(K357-K356)*'공식·설정'!$B$8/K356)</x:f>
        <x:v>684</x:v>
      </x:c>
      <x:c r="Y356" s="68" t="n">
        <x:f>X356-W356</x:f>
        <x:v>0</x:v>
      </x:c>
      <x:c r="Z356" s="66" t="n">
        <x:f>W356/'공식·설정'!$B$8</x:f>
        <x:v>0.01043701171875</x:v>
      </x:c>
      <x:c r="AA356" s="66" t="n">
        <x:f>X356/'공식·설정'!$B$8</x:f>
        <x:v>0.01043701171875</x:v>
      </x:c>
      <x:c r="AB356" s="67" t="str">
        <x:f>IF(AND(I356=0,L356=0,Q356=0,T356=0,Y356=0),"PASS","FAIL")</x:f>
        <x:v>PASS</x:v>
      </x:c>
    </x:row>
    <x:row r="357" ht="18" customHeight="1">
      <x:c r="A357" s="14" t="n">
        <x:v>460</x:v>
      </x:c>
      <x:c r="B357" s="14" t="n">
        <x:v>352</x:v>
      </x:c>
      <x:c r="C357" s="14" t="n">
        <x:v>448</x:v>
      </x:c>
      <x:c r="D357" s="14" t="n">
        <x:v>11190</x:v>
      </x:c>
      <x:c r="E357" s="14" t="n">
        <x:v>462</x:v>
      </x:c>
      <x:c r="F357" s="14" t="n">
        <x:v>13030</x:v>
      </x:c>
      <x:c r="G357" s="14" t="n">
        <x:v>12767</x:v>
      </x:c>
      <x:c r="H357" s="14" t="n">
        <x:f>INT((F357-D357)*(A357-C357)/(E357-C357))+D357</x:f>
        <x:v>12767</x:v>
      </x:c>
      <x:c r="I357" s="68" t="n">
        <x:f>H357-G357</x:f>
        <x:v>0</x:v>
      </x:c>
      <x:c r="J357" s="14" t="n">
        <x:v>83116</x:v>
      </x:c>
      <x:c r="K357" s="14" t="n">
        <x:f>INT(H357*'공식·설정'!$B$10/'공식·설정'!$B$15)</x:f>
        <x:v>83116</x:v>
      </x:c>
      <x:c r="L357" s="68" t="n">
        <x:f>K357-J357</x:f>
        <x:v>0</x:v>
      </x:c>
      <x:c r="M357" s="65" t="n">
        <x:f>J357/'공식·설정'!$B$7</x:f>
        <x:v>324.671875</x:v>
      </x:c>
      <x:c r="N357" s="65" t="n">
        <x:f>K357/'공식·설정'!$B$7</x:f>
        <x:v>324.671875</x:v>
      </x:c>
      <x:c r="O357" s="14" t="n">
        <x:v>32</x:v>
      </x:c>
      <x:c r="P357" s="14" t="n">
        <x:f>MIN(32767,MAX(0,INT((K357+INT('공식·설정'!$B$12/2))/'공식·설정'!$B$12)))</x:f>
        <x:v>32</x:v>
      </x:c>
      <x:c r="Q357" s="68" t="n">
        <x:f>P357-O357</x:f>
        <x:v>0</x:v>
      </x:c>
      <x:c r="R357" s="14" t="n">
        <x:v>90368</x:v>
      </x:c>
      <x:c r="S357" s="14" t="n">
        <x:f>P357*'공식·설정'!$B$12+'공식·설정'!$B$14</x:f>
        <x:v>90368</x:v>
      </x:c>
      <x:c r="T357" s="68" t="n">
        <x:f>S357-R357</x:f>
        <x:v>0</x:v>
      </x:c>
      <x:c r="U357" s="65" t="n">
        <x:f>R357/'공식·설정'!$B$7</x:f>
        <x:v>353</x:v>
      </x:c>
      <x:c r="V357" s="65" t="n">
        <x:f>S357/'공식·설정'!$B$7</x:f>
        <x:v>353</x:v>
      </x:c>
      <x:c r="W357" s="14" t="n">
        <x:v>672</x:v>
      </x:c>
      <x:c r="X357" s="14" t="n">
        <x:f>INT(ABS(K358-K357)*'공식·설정'!$B$8/K357)</x:f>
        <x:v>672</x:v>
      </x:c>
      <x:c r="Y357" s="68" t="n">
        <x:f>X357-W357</x:f>
        <x:v>0</x:v>
      </x:c>
      <x:c r="Z357" s="66" t="n">
        <x:f>W357/'공식·설정'!$B$8</x:f>
        <x:v>0.01025390625</x:v>
      </x:c>
      <x:c r="AA357" s="66" t="n">
        <x:f>X357/'공식·설정'!$B$8</x:f>
        <x:v>0.01025390625</x:v>
      </x:c>
      <x:c r="AB357" s="67" t="str">
        <x:f>IF(AND(I357=0,L357=0,Q357=0,T357=0,Y357=0),"PASS","FAIL")</x:f>
        <x:v>PASS</x:v>
      </x:c>
    </x:row>
    <x:row r="358" ht="18" customHeight="1">
      <x:c r="A358" s="14" t="n">
        <x:v>461</x:v>
      </x:c>
      <x:c r="B358" s="14" t="n">
        <x:v>353</x:v>
      </x:c>
      <x:c r="C358" s="14" t="n">
        <x:v>448</x:v>
      </x:c>
      <x:c r="D358" s="14" t="n">
        <x:v>11190</x:v>
      </x:c>
      <x:c r="E358" s="14" t="n">
        <x:v>462</x:v>
      </x:c>
      <x:c r="F358" s="14" t="n">
        <x:v>13030</x:v>
      </x:c>
      <x:c r="G358" s="14" t="n">
        <x:v>12898</x:v>
      </x:c>
      <x:c r="H358" s="14" t="n">
        <x:f>INT((F358-D358)*(A358-C358)/(E358-C358))+D358</x:f>
        <x:v>12898</x:v>
      </x:c>
      <x:c r="I358" s="68" t="n">
        <x:f>H358-G358</x:f>
        <x:v>0</x:v>
      </x:c>
      <x:c r="J358" s="14" t="n">
        <x:v>83969</x:v>
      </x:c>
      <x:c r="K358" s="14" t="n">
        <x:f>INT(H358*'공식·설정'!$B$10/'공식·설정'!$B$15)</x:f>
        <x:v>83969</x:v>
      </x:c>
      <x:c r="L358" s="68" t="n">
        <x:f>K358-J358</x:f>
        <x:v>0</x:v>
      </x:c>
      <x:c r="M358" s="65" t="n">
        <x:f>J358/'공식·설정'!$B$7</x:f>
        <x:v>328.00390625</x:v>
      </x:c>
      <x:c r="N358" s="65" t="n">
        <x:f>K358/'공식·설정'!$B$7</x:f>
        <x:v>328.00390625</x:v>
      </x:c>
      <x:c r="O358" s="14" t="n">
        <x:v>33</x:v>
      </x:c>
      <x:c r="P358" s="14" t="n">
        <x:f>MIN(32767,MAX(0,INT((K358+INT('공식·설정'!$B$12/2))/'공식·설정'!$B$12)))</x:f>
        <x:v>33</x:v>
      </x:c>
      <x:c r="Q358" s="68" t="n">
        <x:f>P358-O358</x:f>
        <x:v>0</x:v>
      </x:c>
      <x:c r="R358" s="14" t="n">
        <x:v>92928</x:v>
      </x:c>
      <x:c r="S358" s="14" t="n">
        <x:f>P358*'공식·설정'!$B$12+'공식·설정'!$B$14</x:f>
        <x:v>92928</x:v>
      </x:c>
      <x:c r="T358" s="68" t="n">
        <x:f>S358-R358</x:f>
        <x:v>0</x:v>
      </x:c>
      <x:c r="U358" s="65" t="n">
        <x:f>R358/'공식·설정'!$B$7</x:f>
        <x:v>363</x:v>
      </x:c>
      <x:c r="V358" s="65" t="n">
        <x:f>S358/'공식·설정'!$B$7</x:f>
        <x:v>363</x:v>
      </x:c>
      <x:c r="W358" s="14" t="n">
        <x:v>670</x:v>
      </x:c>
      <x:c r="X358" s="14" t="n">
        <x:f>INT(ABS(K359-K358)*'공식·설정'!$B$8/K358)</x:f>
        <x:v>670</x:v>
      </x:c>
      <x:c r="Y358" s="68" t="n">
        <x:f>X358-W358</x:f>
        <x:v>0</x:v>
      </x:c>
      <x:c r="Z358" s="66" t="n">
        <x:f>W358/'공식·설정'!$B$8</x:f>
        <x:v>0.010223388671875</x:v>
      </x:c>
      <x:c r="AA358" s="66" t="n">
        <x:f>X358/'공식·설정'!$B$8</x:f>
        <x:v>0.010223388671875</x:v>
      </x:c>
      <x:c r="AB358" s="67" t="str">
        <x:f>IF(AND(I358=0,L358=0,Q358=0,T358=0,Y358=0),"PASS","FAIL")</x:f>
        <x:v>PASS</x:v>
      </x:c>
    </x:row>
    <x:row r="359" ht="18" customHeight="1">
      <x:c r="A359" s="14" t="n">
        <x:v>462</x:v>
      </x:c>
      <x:c r="B359" s="14" t="n">
        <x:v>354</x:v>
      </x:c>
      <x:c r="C359" s="14" t="n">
        <x:v>462</x:v>
      </x:c>
      <x:c r="D359" s="14" t="n">
        <x:v>13030</x:v>
      </x:c>
      <x:c r="E359" s="14" t="n">
        <x:v>476</x:v>
      </x:c>
      <x:c r="F359" s="14" t="n">
        <x:v>15171</x:v>
      </x:c>
      <x:c r="G359" s="14" t="n">
        <x:v>13030</x:v>
      </x:c>
      <x:c r="H359" s="14" t="n">
        <x:f>INT((F359-D359)*(A359-C359)/(E359-C359))+D359</x:f>
        <x:v>13030</x:v>
      </x:c>
      <x:c r="I359" s="68" t="n">
        <x:f>H359-G359</x:f>
        <x:v>0</x:v>
      </x:c>
      <x:c r="J359" s="14" t="n">
        <x:v>84828</x:v>
      </x:c>
      <x:c r="K359" s="14" t="n">
        <x:f>INT(H359*'공식·설정'!$B$10/'공식·설정'!$B$15)</x:f>
        <x:v>84828</x:v>
      </x:c>
      <x:c r="L359" s="68" t="n">
        <x:f>K359-J359</x:f>
        <x:v>0</x:v>
      </x:c>
      <x:c r="M359" s="65" t="n">
        <x:f>J359/'공식·설정'!$B$7</x:f>
        <x:v>331.359375</x:v>
      </x:c>
      <x:c r="N359" s="65" t="n">
        <x:f>K359/'공식·설정'!$B$7</x:f>
        <x:v>331.359375</x:v>
      </x:c>
      <x:c r="O359" s="14" t="n">
        <x:v>33</x:v>
      </x:c>
      <x:c r="P359" s="14" t="n">
        <x:f>MIN(32767,MAX(0,INT((K359+INT('공식·설정'!$B$12/2))/'공식·설정'!$B$12)))</x:f>
        <x:v>33</x:v>
      </x:c>
      <x:c r="Q359" s="68" t="n">
        <x:f>P359-O359</x:f>
        <x:v>0</x:v>
      </x:c>
      <x:c r="R359" s="14" t="n">
        <x:v>92928</x:v>
      </x:c>
      <x:c r="S359" s="14" t="n">
        <x:f>P359*'공식·설정'!$B$12+'공식·설정'!$B$14</x:f>
        <x:v>92928</x:v>
      </x:c>
      <x:c r="T359" s="68" t="n">
        <x:f>S359-R359</x:f>
        <x:v>0</x:v>
      </x:c>
      <x:c r="U359" s="65" t="n">
        <x:f>R359/'공식·설정'!$B$7</x:f>
        <x:v>363</x:v>
      </x:c>
      <x:c r="V359" s="65" t="n">
        <x:f>S359/'공식·설정'!$B$7</x:f>
        <x:v>363</x:v>
      </x:c>
      <x:c r="W359" s="14" t="n">
        <x:v>764</x:v>
      </x:c>
      <x:c r="X359" s="14" t="n">
        <x:f>INT(ABS(K360-K359)*'공식·설정'!$B$8/K359)</x:f>
        <x:v>764</x:v>
      </x:c>
      <x:c r="Y359" s="68" t="n">
        <x:f>X359-W359</x:f>
        <x:v>0</x:v>
      </x:c>
      <x:c r="Z359" s="66" t="n">
        <x:f>W359/'공식·설정'!$B$8</x:f>
        <x:v>0.01165771484375</x:v>
      </x:c>
      <x:c r="AA359" s="66" t="n">
        <x:f>X359/'공식·설정'!$B$8</x:f>
        <x:v>0.01165771484375</x:v>
      </x:c>
      <x:c r="AB359" s="67" t="str">
        <x:f>IF(AND(I359=0,L359=0,Q359=0,T359=0,Y359=0),"PASS","FAIL")</x:f>
        <x:v>PASS</x:v>
      </x:c>
    </x:row>
    <x:row r="360" ht="18" customHeight="1">
      <x:c r="A360" s="14" t="n">
        <x:v>463</x:v>
      </x:c>
      <x:c r="B360" s="14" t="n">
        <x:v>355</x:v>
      </x:c>
      <x:c r="C360" s="14" t="n">
        <x:v>462</x:v>
      </x:c>
      <x:c r="D360" s="14" t="n">
        <x:v>13030</x:v>
      </x:c>
      <x:c r="E360" s="14" t="n">
        <x:v>476</x:v>
      </x:c>
      <x:c r="F360" s="14" t="n">
        <x:v>15171</x:v>
      </x:c>
      <x:c r="G360" s="14" t="n">
        <x:v>13182</x:v>
      </x:c>
      <x:c r="H360" s="14" t="n">
        <x:f>INT((F360-D360)*(A360-C360)/(E360-C360))+D360</x:f>
        <x:v>13182</x:v>
      </x:c>
      <x:c r="I360" s="68" t="n">
        <x:f>H360-G360</x:f>
        <x:v>0</x:v>
      </x:c>
      <x:c r="J360" s="14" t="n">
        <x:v>85818</x:v>
      </x:c>
      <x:c r="K360" s="14" t="n">
        <x:f>INT(H360*'공식·설정'!$B$10/'공식·설정'!$B$15)</x:f>
        <x:v>85818</x:v>
      </x:c>
      <x:c r="L360" s="68" t="n">
        <x:f>K360-J360</x:f>
        <x:v>0</x:v>
      </x:c>
      <x:c r="M360" s="65" t="n">
        <x:f>J360/'공식·설정'!$B$7</x:f>
        <x:v>335.2265625</x:v>
      </x:c>
      <x:c r="N360" s="65" t="n">
        <x:f>K360/'공식·설정'!$B$7</x:f>
        <x:v>335.2265625</x:v>
      </x:c>
      <x:c r="O360" s="14" t="n">
        <x:v>34</x:v>
      </x:c>
      <x:c r="P360" s="14" t="n">
        <x:f>MIN(32767,MAX(0,INT((K360+INT('공식·설정'!$B$12/2))/'공식·설정'!$B$12)))</x:f>
        <x:v>34</x:v>
      </x:c>
      <x:c r="Q360" s="68" t="n">
        <x:f>P360-O360</x:f>
        <x:v>0</x:v>
      </x:c>
      <x:c r="R360" s="14" t="n">
        <x:v>95488</x:v>
      </x:c>
      <x:c r="S360" s="14" t="n">
        <x:f>P360*'공식·설정'!$B$12+'공식·설정'!$B$14</x:f>
        <x:v>95488</x:v>
      </x:c>
      <x:c r="T360" s="68" t="n">
        <x:f>S360-R360</x:f>
        <x:v>0</x:v>
      </x:c>
      <x:c r="U360" s="65" t="n">
        <x:f>R360/'공식·설정'!$B$7</x:f>
        <x:v>373</x:v>
      </x:c>
      <x:c r="V360" s="65" t="n">
        <x:f>S360/'공식·설정'!$B$7</x:f>
        <x:v>373</x:v>
      </x:c>
      <x:c r="W360" s="14" t="n">
        <x:v>760</x:v>
      </x:c>
      <x:c r="X360" s="14" t="n">
        <x:f>INT(ABS(K361-K360)*'공식·설정'!$B$8/K360)</x:f>
        <x:v>760</x:v>
      </x:c>
      <x:c r="Y360" s="68" t="n">
        <x:f>X360-W360</x:f>
        <x:v>0</x:v>
      </x:c>
      <x:c r="Z360" s="66" t="n">
        <x:f>W360/'공식·설정'!$B$8</x:f>
        <x:v>0.0115966796875</x:v>
      </x:c>
      <x:c r="AA360" s="66" t="n">
        <x:f>X360/'공식·설정'!$B$8</x:f>
        <x:v>0.0115966796875</x:v>
      </x:c>
      <x:c r="AB360" s="67" t="str">
        <x:f>IF(AND(I360=0,L360=0,Q360=0,T360=0,Y360=0),"PASS","FAIL")</x:f>
        <x:v>PASS</x:v>
      </x:c>
    </x:row>
    <x:row r="361" ht="18" customHeight="1">
      <x:c r="A361" s="14" t="n">
        <x:v>464</x:v>
      </x:c>
      <x:c r="B361" s="14" t="n">
        <x:v>356</x:v>
      </x:c>
      <x:c r="C361" s="14" t="n">
        <x:v>462</x:v>
      </x:c>
      <x:c r="D361" s="14" t="n">
        <x:v>13030</x:v>
      </x:c>
      <x:c r="E361" s="14" t="n">
        <x:v>476</x:v>
      </x:c>
      <x:c r="F361" s="14" t="n">
        <x:v>15171</x:v>
      </x:c>
      <x:c r="G361" s="14" t="n">
        <x:v>13335</x:v>
      </x:c>
      <x:c r="H361" s="14" t="n">
        <x:f>INT((F361-D361)*(A361-C361)/(E361-C361))+D361</x:f>
        <x:v>13335</x:v>
      </x:c>
      <x:c r="I361" s="68" t="n">
        <x:f>H361-G361</x:f>
        <x:v>0</x:v>
      </x:c>
      <x:c r="J361" s="14" t="n">
        <x:v>86814</x:v>
      </x:c>
      <x:c r="K361" s="14" t="n">
        <x:f>INT(H361*'공식·설정'!$B$10/'공식·설정'!$B$15)</x:f>
        <x:v>86814</x:v>
      </x:c>
      <x:c r="L361" s="68" t="n">
        <x:f>K361-J361</x:f>
        <x:v>0</x:v>
      </x:c>
      <x:c r="M361" s="65" t="n">
        <x:f>J361/'공식·설정'!$B$7</x:f>
        <x:v>339.1171875</x:v>
      </x:c>
      <x:c r="N361" s="65" t="n">
        <x:f>K361/'공식·설정'!$B$7</x:f>
        <x:v>339.1171875</x:v>
      </x:c>
      <x:c r="O361" s="14" t="n">
        <x:v>34</x:v>
      </x:c>
      <x:c r="P361" s="14" t="n">
        <x:f>MIN(32767,MAX(0,INT((K361+INT('공식·설정'!$B$12/2))/'공식·설정'!$B$12)))</x:f>
        <x:v>34</x:v>
      </x:c>
      <x:c r="Q361" s="68" t="n">
        <x:f>P361-O361</x:f>
        <x:v>0</x:v>
      </x:c>
      <x:c r="R361" s="14" t="n">
        <x:v>95488</x:v>
      </x:c>
      <x:c r="S361" s="14" t="n">
        <x:f>P361*'공식·설정'!$B$12+'공식·설정'!$B$14</x:f>
        <x:v>95488</x:v>
      </x:c>
      <x:c r="T361" s="68" t="n">
        <x:f>S361-R361</x:f>
        <x:v>0</x:v>
      </x:c>
      <x:c r="U361" s="65" t="n">
        <x:f>R361/'공식·설정'!$B$7</x:f>
        <x:v>373</x:v>
      </x:c>
      <x:c r="V361" s="65" t="n">
        <x:f>S361/'공식·설정'!$B$7</x:f>
        <x:v>373</x:v>
      </x:c>
      <x:c r="W361" s="14" t="n">
        <x:v>751</x:v>
      </x:c>
      <x:c r="X361" s="14" t="n">
        <x:f>INT(ABS(K362-K361)*'공식·설정'!$B$8/K361)</x:f>
        <x:v>751</x:v>
      </x:c>
      <x:c r="Y361" s="68" t="n">
        <x:f>X361-W361</x:f>
        <x:v>0</x:v>
      </x:c>
      <x:c r="Z361" s="66" t="n">
        <x:f>W361/'공식·설정'!$B$8</x:f>
        <x:v>0.0114593505859375</x:v>
      </x:c>
      <x:c r="AA361" s="66" t="n">
        <x:f>X361/'공식·설정'!$B$8</x:f>
        <x:v>0.0114593505859375</x:v>
      </x:c>
      <x:c r="AB361" s="67" t="str">
        <x:f>IF(AND(I361=0,L361=0,Q361=0,T361=0,Y361=0),"PASS","FAIL")</x:f>
        <x:v>PASS</x:v>
      </x:c>
    </x:row>
    <x:row r="362" ht="18" customHeight="1">
      <x:c r="A362" s="14" t="n">
        <x:v>465</x:v>
      </x:c>
      <x:c r="B362" s="14" t="n">
        <x:v>357</x:v>
      </x:c>
      <x:c r="C362" s="14" t="n">
        <x:v>462</x:v>
      </x:c>
      <x:c r="D362" s="14" t="n">
        <x:v>13030</x:v>
      </x:c>
      <x:c r="E362" s="14" t="n">
        <x:v>476</x:v>
      </x:c>
      <x:c r="F362" s="14" t="n">
        <x:v>15171</x:v>
      </x:c>
      <x:c r="G362" s="14" t="n">
        <x:v>13488</x:v>
      </x:c>
      <x:c r="H362" s="14" t="n">
        <x:f>INT((F362-D362)*(A362-C362)/(E362-C362))+D362</x:f>
        <x:v>13488</x:v>
      </x:c>
      <x:c r="I362" s="68" t="n">
        <x:f>H362-G362</x:f>
        <x:v>0</x:v>
      </x:c>
      <x:c r="J362" s="14" t="n">
        <x:v>87810</x:v>
      </x:c>
      <x:c r="K362" s="14" t="n">
        <x:f>INT(H362*'공식·설정'!$B$10/'공식·설정'!$B$15)</x:f>
        <x:v>87810</x:v>
      </x:c>
      <x:c r="L362" s="68" t="n">
        <x:f>K362-J362</x:f>
        <x:v>0</x:v>
      </x:c>
      <x:c r="M362" s="65" t="n">
        <x:f>J362/'공식·설정'!$B$7</x:f>
        <x:v>343.0078125</x:v>
      </x:c>
      <x:c r="N362" s="65" t="n">
        <x:f>K362/'공식·설정'!$B$7</x:f>
        <x:v>343.0078125</x:v>
      </x:c>
      <x:c r="O362" s="14" t="n">
        <x:v>34</x:v>
      </x:c>
      <x:c r="P362" s="14" t="n">
        <x:f>MIN(32767,MAX(0,INT((K362+INT('공식·설정'!$B$12/2))/'공식·설정'!$B$12)))</x:f>
        <x:v>34</x:v>
      </x:c>
      <x:c r="Q362" s="68" t="n">
        <x:f>P362-O362</x:f>
        <x:v>0</x:v>
      </x:c>
      <x:c r="R362" s="14" t="n">
        <x:v>95488</x:v>
      </x:c>
      <x:c r="S362" s="14" t="n">
        <x:f>P362*'공식·설정'!$B$12+'공식·설정'!$B$14</x:f>
        <x:v>95488</x:v>
      </x:c>
      <x:c r="T362" s="68" t="n">
        <x:f>S362-R362</x:f>
        <x:v>0</x:v>
      </x:c>
      <x:c r="U362" s="65" t="n">
        <x:f>R362/'공식·설정'!$B$7</x:f>
        <x:v>373</x:v>
      </x:c>
      <x:c r="V362" s="65" t="n">
        <x:f>S362/'공식·설정'!$B$7</x:f>
        <x:v>373</x:v>
      </x:c>
      <x:c r="W362" s="14" t="n">
        <x:v>743</x:v>
      </x:c>
      <x:c r="X362" s="14" t="n">
        <x:f>INT(ABS(K363-K362)*'공식·설정'!$B$8/K362)</x:f>
        <x:v>743</x:v>
      </x:c>
      <x:c r="Y362" s="68" t="n">
        <x:f>X362-W362</x:f>
        <x:v>0</x:v>
      </x:c>
      <x:c r="Z362" s="66" t="n">
        <x:f>W362/'공식·설정'!$B$8</x:f>
        <x:v>0.0113372802734375</x:v>
      </x:c>
      <x:c r="AA362" s="66" t="n">
        <x:f>X362/'공식·설정'!$B$8</x:f>
        <x:v>0.0113372802734375</x:v>
      </x:c>
      <x:c r="AB362" s="67" t="str">
        <x:f>IF(AND(I362=0,L362=0,Q362=0,T362=0,Y362=0),"PASS","FAIL")</x:f>
        <x:v>PASS</x:v>
      </x:c>
    </x:row>
    <x:row r="363" ht="18" customHeight="1">
      <x:c r="A363" s="14" t="n">
        <x:v>466</x:v>
      </x:c>
      <x:c r="B363" s="14" t="n">
        <x:v>358</x:v>
      </x:c>
      <x:c r="C363" s="14" t="n">
        <x:v>462</x:v>
      </x:c>
      <x:c r="D363" s="14" t="n">
        <x:v>13030</x:v>
      </x:c>
      <x:c r="E363" s="14" t="n">
        <x:v>476</x:v>
      </x:c>
      <x:c r="F363" s="14" t="n">
        <x:v>15171</x:v>
      </x:c>
      <x:c r="G363" s="14" t="n">
        <x:v>13641</x:v>
      </x:c>
      <x:c r="H363" s="14" t="n">
        <x:f>INT((F363-D363)*(A363-C363)/(E363-C363))+D363</x:f>
        <x:v>13641</x:v>
      </x:c>
      <x:c r="I363" s="68" t="n">
        <x:f>H363-G363</x:f>
        <x:v>0</x:v>
      </x:c>
      <x:c r="J363" s="14" t="n">
        <x:v>88806</x:v>
      </x:c>
      <x:c r="K363" s="14" t="n">
        <x:f>INT(H363*'공식·설정'!$B$10/'공식·설정'!$B$15)</x:f>
        <x:v>88806</x:v>
      </x:c>
      <x:c r="L363" s="68" t="n">
        <x:f>K363-J363</x:f>
        <x:v>0</x:v>
      </x:c>
      <x:c r="M363" s="65" t="n">
        <x:f>J363/'공식·설정'!$B$7</x:f>
        <x:v>346.8984375</x:v>
      </x:c>
      <x:c r="N363" s="65" t="n">
        <x:f>K363/'공식·설정'!$B$7</x:f>
        <x:v>346.8984375</x:v>
      </x:c>
      <x:c r="O363" s="14" t="n">
        <x:v>35</x:v>
      </x:c>
      <x:c r="P363" s="14" t="n">
        <x:f>MIN(32767,MAX(0,INT((K363+INT('공식·설정'!$B$12/2))/'공식·설정'!$B$12)))</x:f>
        <x:v>35</x:v>
      </x:c>
      <x:c r="Q363" s="68" t="n">
        <x:f>P363-O363</x:f>
        <x:v>0</x:v>
      </x:c>
      <x:c r="R363" s="14" t="n">
        <x:v>98048</x:v>
      </x:c>
      <x:c r="S363" s="14" t="n">
        <x:f>P363*'공식·설정'!$B$12+'공식·설정'!$B$14</x:f>
        <x:v>98048</x:v>
      </x:c>
      <x:c r="T363" s="68" t="n">
        <x:f>S363-R363</x:f>
        <x:v>0</x:v>
      </x:c>
      <x:c r="U363" s="65" t="n">
        <x:f>R363/'공식·설정'!$B$7</x:f>
        <x:v>383</x:v>
      </x:c>
      <x:c r="V363" s="65" t="n">
        <x:f>S363/'공식·설정'!$B$7</x:f>
        <x:v>383</x:v>
      </x:c>
      <x:c r="W363" s="14" t="n">
        <x:v>735</x:v>
      </x:c>
      <x:c r="X363" s="14" t="n">
        <x:f>INT(ABS(K364-K363)*'공식·설정'!$B$8/K363)</x:f>
        <x:v>735</x:v>
      </x:c>
      <x:c r="Y363" s="68" t="n">
        <x:f>X363-W363</x:f>
        <x:v>0</x:v>
      </x:c>
      <x:c r="Z363" s="66" t="n">
        <x:f>W363/'공식·설정'!$B$8</x:f>
        <x:v>0.0112152099609375</x:v>
      </x:c>
      <x:c r="AA363" s="66" t="n">
        <x:f>X363/'공식·설정'!$B$8</x:f>
        <x:v>0.0112152099609375</x:v>
      </x:c>
      <x:c r="AB363" s="67" t="str">
        <x:f>IF(AND(I363=0,L363=0,Q363=0,T363=0,Y363=0),"PASS","FAIL")</x:f>
        <x:v>PASS</x:v>
      </x:c>
    </x:row>
    <x:row r="364" ht="18" customHeight="1">
      <x:c r="A364" s="14" t="n">
        <x:v>467</x:v>
      </x:c>
      <x:c r="B364" s="14" t="n">
        <x:v>359</x:v>
      </x:c>
      <x:c r="C364" s="14" t="n">
        <x:v>462</x:v>
      </x:c>
      <x:c r="D364" s="14" t="n">
        <x:v>13030</x:v>
      </x:c>
      <x:c r="E364" s="14" t="n">
        <x:v>476</x:v>
      </x:c>
      <x:c r="F364" s="14" t="n">
        <x:v>15171</x:v>
      </x:c>
      <x:c r="G364" s="14" t="n">
        <x:v>13794</x:v>
      </x:c>
      <x:c r="H364" s="14" t="n">
        <x:f>INT((F364-D364)*(A364-C364)/(E364-C364))+D364</x:f>
        <x:v>13794</x:v>
      </x:c>
      <x:c r="I364" s="68" t="n">
        <x:f>H364-G364</x:f>
        <x:v>0</x:v>
      </x:c>
      <x:c r="J364" s="14" t="n">
        <x:v>89802</x:v>
      </x:c>
      <x:c r="K364" s="14" t="n">
        <x:f>INT(H364*'공식·설정'!$B$10/'공식·설정'!$B$15)</x:f>
        <x:v>89802</x:v>
      </x:c>
      <x:c r="L364" s="68" t="n">
        <x:f>K364-J364</x:f>
        <x:v>0</x:v>
      </x:c>
      <x:c r="M364" s="65" t="n">
        <x:f>J364/'공식·설정'!$B$7</x:f>
        <x:v>350.7890625</x:v>
      </x:c>
      <x:c r="N364" s="65" t="n">
        <x:f>K364/'공식·설정'!$B$7</x:f>
        <x:v>350.7890625</x:v>
      </x:c>
      <x:c r="O364" s="14" t="n">
        <x:v>35</x:v>
      </x:c>
      <x:c r="P364" s="14" t="n">
        <x:f>MIN(32767,MAX(0,INT((K364+INT('공식·설정'!$B$12/2))/'공식·설정'!$B$12)))</x:f>
        <x:v>35</x:v>
      </x:c>
      <x:c r="Q364" s="68" t="n">
        <x:f>P364-O364</x:f>
        <x:v>0</x:v>
      </x:c>
      <x:c r="R364" s="14" t="n">
        <x:v>98048</x:v>
      </x:c>
      <x:c r="S364" s="14" t="n">
        <x:f>P364*'공식·설정'!$B$12+'공식·설정'!$B$14</x:f>
        <x:v>98048</x:v>
      </x:c>
      <x:c r="T364" s="68" t="n">
        <x:f>S364-R364</x:f>
        <x:v>0</x:v>
      </x:c>
      <x:c r="U364" s="65" t="n">
        <x:f>R364/'공식·설정'!$B$7</x:f>
        <x:v>383</x:v>
      </x:c>
      <x:c r="V364" s="65" t="n">
        <x:f>S364/'공식·설정'!$B$7</x:f>
        <x:v>383</x:v>
      </x:c>
      <x:c r="W364" s="14" t="n">
        <x:v>726</x:v>
      </x:c>
      <x:c r="X364" s="14" t="n">
        <x:f>INT(ABS(K365-K364)*'공식·설정'!$B$8/K364)</x:f>
        <x:v>726</x:v>
      </x:c>
      <x:c r="Y364" s="68" t="n">
        <x:f>X364-W364</x:f>
        <x:v>0</x:v>
      </x:c>
      <x:c r="Z364" s="66" t="n">
        <x:f>W364/'공식·설정'!$B$8</x:f>
        <x:v>0.011077880859375</x:v>
      </x:c>
      <x:c r="AA364" s="66" t="n">
        <x:f>X364/'공식·설정'!$B$8</x:f>
        <x:v>0.011077880859375</x:v>
      </x:c>
      <x:c r="AB364" s="67" t="str">
        <x:f>IF(AND(I364=0,L364=0,Q364=0,T364=0,Y364=0),"PASS","FAIL")</x:f>
        <x:v>PASS</x:v>
      </x:c>
    </x:row>
    <x:row r="365" ht="18" customHeight="1">
      <x:c r="A365" s="14" t="n">
        <x:v>468</x:v>
      </x:c>
      <x:c r="B365" s="14" t="n">
        <x:v>360</x:v>
      </x:c>
      <x:c r="C365" s="14" t="n">
        <x:v>462</x:v>
      </x:c>
      <x:c r="D365" s="14" t="n">
        <x:v>13030</x:v>
      </x:c>
      <x:c r="E365" s="14" t="n">
        <x:v>476</x:v>
      </x:c>
      <x:c r="F365" s="14" t="n">
        <x:v>15171</x:v>
      </x:c>
      <x:c r="G365" s="14" t="n">
        <x:v>13947</x:v>
      </x:c>
      <x:c r="H365" s="14" t="n">
        <x:f>INT((F365-D365)*(A365-C365)/(E365-C365))+D365</x:f>
        <x:v>13947</x:v>
      </x:c>
      <x:c r="I365" s="68" t="n">
        <x:f>H365-G365</x:f>
        <x:v>0</x:v>
      </x:c>
      <x:c r="J365" s="14" t="n">
        <x:v>90798</x:v>
      </x:c>
      <x:c r="K365" s="14" t="n">
        <x:f>INT(H365*'공식·설정'!$B$10/'공식·설정'!$B$15)</x:f>
        <x:v>90798</x:v>
      </x:c>
      <x:c r="L365" s="68" t="n">
        <x:f>K365-J365</x:f>
        <x:v>0</x:v>
      </x:c>
      <x:c r="M365" s="65" t="n">
        <x:f>J365/'공식·설정'!$B$7</x:f>
        <x:v>354.6796875</x:v>
      </x:c>
      <x:c r="N365" s="65" t="n">
        <x:f>K365/'공식·설정'!$B$7</x:f>
        <x:v>354.6796875</x:v>
      </x:c>
      <x:c r="O365" s="14" t="n">
        <x:v>35</x:v>
      </x:c>
      <x:c r="P365" s="14" t="n">
        <x:f>MIN(32767,MAX(0,INT((K365+INT('공식·설정'!$B$12/2))/'공식·설정'!$B$12)))</x:f>
        <x:v>35</x:v>
      </x:c>
      <x:c r="Q365" s="68" t="n">
        <x:f>P365-O365</x:f>
        <x:v>0</x:v>
      </x:c>
      <x:c r="R365" s="14" t="n">
        <x:v>98048</x:v>
      </x:c>
      <x:c r="S365" s="14" t="n">
        <x:f>P365*'공식·설정'!$B$12+'공식·설정'!$B$14</x:f>
        <x:v>98048</x:v>
      </x:c>
      <x:c r="T365" s="68" t="n">
        <x:f>S365-R365</x:f>
        <x:v>0</x:v>
      </x:c>
      <x:c r="U365" s="65" t="n">
        <x:f>R365/'공식·설정'!$B$7</x:f>
        <x:v>383</x:v>
      </x:c>
      <x:c r="V365" s="65" t="n">
        <x:f>S365/'공식·설정'!$B$7</x:f>
        <x:v>383</x:v>
      </x:c>
      <x:c r="W365" s="14" t="n">
        <x:v>718</x:v>
      </x:c>
      <x:c r="X365" s="14" t="n">
        <x:f>INT(ABS(K366-K365)*'공식·설정'!$B$8/K365)</x:f>
        <x:v>718</x:v>
      </x:c>
      <x:c r="Y365" s="68" t="n">
        <x:f>X365-W365</x:f>
        <x:v>0</x:v>
      </x:c>
      <x:c r="Z365" s="66" t="n">
        <x:f>W365/'공식·설정'!$B$8</x:f>
        <x:v>0.010955810546875</x:v>
      </x:c>
      <x:c r="AA365" s="66" t="n">
        <x:f>X365/'공식·설정'!$B$8</x:f>
        <x:v>0.010955810546875</x:v>
      </x:c>
      <x:c r="AB365" s="67" t="str">
        <x:f>IF(AND(I365=0,L365=0,Q365=0,T365=0,Y365=0),"PASS","FAIL")</x:f>
        <x:v>PASS</x:v>
      </x:c>
    </x:row>
    <x:row r="366" ht="18" customHeight="1">
      <x:c r="A366" s="14" t="n">
        <x:v>469</x:v>
      </x:c>
      <x:c r="B366" s="14" t="n">
        <x:v>361</x:v>
      </x:c>
      <x:c r="C366" s="14" t="n">
        <x:v>462</x:v>
      </x:c>
      <x:c r="D366" s="14" t="n">
        <x:v>13030</x:v>
      </x:c>
      <x:c r="E366" s="14" t="n">
        <x:v>476</x:v>
      </x:c>
      <x:c r="F366" s="14" t="n">
        <x:v>15171</x:v>
      </x:c>
      <x:c r="G366" s="14" t="n">
        <x:v>14100</x:v>
      </x:c>
      <x:c r="H366" s="14" t="n">
        <x:f>INT((F366-D366)*(A366-C366)/(E366-C366))+D366</x:f>
        <x:v>14100</x:v>
      </x:c>
      <x:c r="I366" s="68" t="n">
        <x:f>H366-G366</x:f>
        <x:v>0</x:v>
      </x:c>
      <x:c r="J366" s="14" t="n">
        <x:v>91794</x:v>
      </x:c>
      <x:c r="K366" s="14" t="n">
        <x:f>INT(H366*'공식·설정'!$B$10/'공식·설정'!$B$15)</x:f>
        <x:v>91794</x:v>
      </x:c>
      <x:c r="L366" s="68" t="n">
        <x:f>K366-J366</x:f>
        <x:v>0</x:v>
      </x:c>
      <x:c r="M366" s="65" t="n">
        <x:f>J366/'공식·설정'!$B$7</x:f>
        <x:v>358.5703125</x:v>
      </x:c>
      <x:c r="N366" s="65" t="n">
        <x:f>K366/'공식·설정'!$B$7</x:f>
        <x:v>358.5703125</x:v>
      </x:c>
      <x:c r="O366" s="14" t="n">
        <x:v>36</x:v>
      </x:c>
      <x:c r="P366" s="14" t="n">
        <x:f>MIN(32767,MAX(0,INT((K366+INT('공식·설정'!$B$12/2))/'공식·설정'!$B$12)))</x:f>
        <x:v>36</x:v>
      </x:c>
      <x:c r="Q366" s="68" t="n">
        <x:f>P366-O366</x:f>
        <x:v>0</x:v>
      </x:c>
      <x:c r="R366" s="14" t="n">
        <x:v>100608</x:v>
      </x:c>
      <x:c r="S366" s="14" t="n">
        <x:f>P366*'공식·설정'!$B$12+'공식·설정'!$B$14</x:f>
        <x:v>100608</x:v>
      </x:c>
      <x:c r="T366" s="68" t="n">
        <x:f>S366-R366</x:f>
        <x:v>0</x:v>
      </x:c>
      <x:c r="U366" s="65" t="n">
        <x:f>R366/'공식·설정'!$B$7</x:f>
        <x:v>393</x:v>
      </x:c>
      <x:c r="V366" s="65" t="n">
        <x:f>S366/'공식·설정'!$B$7</x:f>
        <x:v>393</x:v>
      </x:c>
      <x:c r="W366" s="14" t="n">
        <x:v>711</x:v>
      </x:c>
      <x:c r="X366" s="14" t="n">
        <x:f>INT(ABS(K367-K366)*'공식·설정'!$B$8/K366)</x:f>
        <x:v>711</x:v>
      </x:c>
      <x:c r="Y366" s="68" t="n">
        <x:f>X366-W366</x:f>
        <x:v>0</x:v>
      </x:c>
      <x:c r="Z366" s="66" t="n">
        <x:f>W366/'공식·설정'!$B$8</x:f>
        <x:v>0.0108489990234375</x:v>
      </x:c>
      <x:c r="AA366" s="66" t="n">
        <x:f>X366/'공식·설정'!$B$8</x:f>
        <x:v>0.0108489990234375</x:v>
      </x:c>
      <x:c r="AB366" s="67" t="str">
        <x:f>IF(AND(I366=0,L366=0,Q366=0,T366=0,Y366=0),"PASS","FAIL")</x:f>
        <x:v>PASS</x:v>
      </x:c>
    </x:row>
    <x:row r="367" ht="18" customHeight="1">
      <x:c r="A367" s="14" t="n">
        <x:v>470</x:v>
      </x:c>
      <x:c r="B367" s="14" t="n">
        <x:v>362</x:v>
      </x:c>
      <x:c r="C367" s="14" t="n">
        <x:v>462</x:v>
      </x:c>
      <x:c r="D367" s="14" t="n">
        <x:v>13030</x:v>
      </x:c>
      <x:c r="E367" s="14" t="n">
        <x:v>476</x:v>
      </x:c>
      <x:c r="F367" s="14" t="n">
        <x:v>15171</x:v>
      </x:c>
      <x:c r="G367" s="14" t="n">
        <x:v>14253</x:v>
      </x:c>
      <x:c r="H367" s="14" t="n">
        <x:f>INT((F367-D367)*(A367-C367)/(E367-C367))+D367</x:f>
        <x:v>14253</x:v>
      </x:c>
      <x:c r="I367" s="68" t="n">
        <x:f>H367-G367</x:f>
        <x:v>0</x:v>
      </x:c>
      <x:c r="J367" s="14" t="n">
        <x:v>92791</x:v>
      </x:c>
      <x:c r="K367" s="14" t="n">
        <x:f>INT(H367*'공식·설정'!$B$10/'공식·설정'!$B$15)</x:f>
        <x:v>92791</x:v>
      </x:c>
      <x:c r="L367" s="68" t="n">
        <x:f>K367-J367</x:f>
        <x:v>0</x:v>
      </x:c>
      <x:c r="M367" s="65" t="n">
        <x:f>J367/'공식·설정'!$B$7</x:f>
        <x:v>362.46484375</x:v>
      </x:c>
      <x:c r="N367" s="65" t="n">
        <x:f>K367/'공식·설정'!$B$7</x:f>
        <x:v>362.46484375</x:v>
      </x:c>
      <x:c r="O367" s="14" t="n">
        <x:v>36</x:v>
      </x:c>
      <x:c r="P367" s="14" t="n">
        <x:f>MIN(32767,MAX(0,INT((K367+INT('공식·설정'!$B$12/2))/'공식·설정'!$B$12)))</x:f>
        <x:v>36</x:v>
      </x:c>
      <x:c r="Q367" s="68" t="n">
        <x:f>P367-O367</x:f>
        <x:v>0</x:v>
      </x:c>
      <x:c r="R367" s="14" t="n">
        <x:v>100608</x:v>
      </x:c>
      <x:c r="S367" s="14" t="n">
        <x:f>P367*'공식·설정'!$B$12+'공식·설정'!$B$14</x:f>
        <x:v>100608</x:v>
      </x:c>
      <x:c r="T367" s="68" t="n">
        <x:f>S367-R367</x:f>
        <x:v>0</x:v>
      </x:c>
      <x:c r="U367" s="65" t="n">
        <x:f>R367/'공식·설정'!$B$7</x:f>
        <x:v>393</x:v>
      </x:c>
      <x:c r="V367" s="65" t="n">
        <x:f>S367/'공식·설정'!$B$7</x:f>
        <x:v>393</x:v>
      </x:c>
      <x:c r="W367" s="14" t="n">
        <x:v>703</x:v>
      </x:c>
      <x:c r="X367" s="14" t="n">
        <x:f>INT(ABS(K368-K367)*'공식·설정'!$B$8/K367)</x:f>
        <x:v>703</x:v>
      </x:c>
      <x:c r="Y367" s="68" t="n">
        <x:f>X367-W367</x:f>
        <x:v>0</x:v>
      </x:c>
      <x:c r="Z367" s="66" t="n">
        <x:f>W367/'공식·설정'!$B$8</x:f>
        <x:v>0.0107269287109375</x:v>
      </x:c>
      <x:c r="AA367" s="66" t="n">
        <x:f>X367/'공식·설정'!$B$8</x:f>
        <x:v>0.0107269287109375</x:v>
      </x:c>
      <x:c r="AB367" s="67" t="str">
        <x:f>IF(AND(I367=0,L367=0,Q367=0,T367=0,Y367=0),"PASS","FAIL")</x:f>
        <x:v>PASS</x:v>
      </x:c>
    </x:row>
    <x:row r="368" ht="18" customHeight="1">
      <x:c r="A368" s="14" t="n">
        <x:v>471</x:v>
      </x:c>
      <x:c r="B368" s="14" t="n">
        <x:v>363</x:v>
      </x:c>
      <x:c r="C368" s="14" t="n">
        <x:v>462</x:v>
      </x:c>
      <x:c r="D368" s="14" t="n">
        <x:v>13030</x:v>
      </x:c>
      <x:c r="E368" s="14" t="n">
        <x:v>476</x:v>
      </x:c>
      <x:c r="F368" s="14" t="n">
        <x:v>15171</x:v>
      </x:c>
      <x:c r="G368" s="14" t="n">
        <x:v>14406</x:v>
      </x:c>
      <x:c r="H368" s="14" t="n">
        <x:f>INT((F368-D368)*(A368-C368)/(E368-C368))+D368</x:f>
        <x:v>14406</x:v>
      </x:c>
      <x:c r="I368" s="68" t="n">
        <x:f>H368-G368</x:f>
        <x:v>0</x:v>
      </x:c>
      <x:c r="J368" s="14" t="n">
        <x:v>93787</x:v>
      </x:c>
      <x:c r="K368" s="14" t="n">
        <x:f>INT(H368*'공식·설정'!$B$10/'공식·설정'!$B$15)</x:f>
        <x:v>93787</x:v>
      </x:c>
      <x:c r="L368" s="68" t="n">
        <x:f>K368-J368</x:f>
        <x:v>0</x:v>
      </x:c>
      <x:c r="M368" s="65" t="n">
        <x:f>J368/'공식·설정'!$B$7</x:f>
        <x:v>366.35546875</x:v>
      </x:c>
      <x:c r="N368" s="65" t="n">
        <x:f>K368/'공식·설정'!$B$7</x:f>
        <x:v>366.35546875</x:v>
      </x:c>
      <x:c r="O368" s="14" t="n">
        <x:v>37</x:v>
      </x:c>
      <x:c r="P368" s="14" t="n">
        <x:f>MIN(32767,MAX(0,INT((K368+INT('공식·설정'!$B$12/2))/'공식·설정'!$B$12)))</x:f>
        <x:v>37</x:v>
      </x:c>
      <x:c r="Q368" s="68" t="n">
        <x:f>P368-O368</x:f>
        <x:v>0</x:v>
      </x:c>
      <x:c r="R368" s="14" t="n">
        <x:v>103168</x:v>
      </x:c>
      <x:c r="S368" s="14" t="n">
        <x:f>P368*'공식·설정'!$B$12+'공식·설정'!$B$14</x:f>
        <x:v>103168</x:v>
      </x:c>
      <x:c r="T368" s="68" t="n">
        <x:f>S368-R368</x:f>
        <x:v>0</x:v>
      </x:c>
      <x:c r="U368" s="65" t="n">
        <x:f>R368/'공식·설정'!$B$7</x:f>
        <x:v>403</x:v>
      </x:c>
      <x:c r="V368" s="65" t="n">
        <x:f>S368/'공식·설정'!$B$7</x:f>
        <x:v>403</x:v>
      </x:c>
      <x:c r="W368" s="14" t="n">
        <x:v>695</x:v>
      </x:c>
      <x:c r="X368" s="14" t="n">
        <x:f>INT(ABS(K369-K368)*'공식·설정'!$B$8/K368)</x:f>
        <x:v>695</x:v>
      </x:c>
      <x:c r="Y368" s="68" t="n">
        <x:f>X368-W368</x:f>
        <x:v>0</x:v>
      </x:c>
      <x:c r="Z368" s="66" t="n">
        <x:f>W368/'공식·설정'!$B$8</x:f>
        <x:v>0.0106048583984375</x:v>
      </x:c>
      <x:c r="AA368" s="66" t="n">
        <x:f>X368/'공식·설정'!$B$8</x:f>
        <x:v>0.0106048583984375</x:v>
      </x:c>
      <x:c r="AB368" s="67" t="str">
        <x:f>IF(AND(I368=0,L368=0,Q368=0,T368=0,Y368=0),"PASS","FAIL")</x:f>
        <x:v>PASS</x:v>
      </x:c>
    </x:row>
    <x:row r="369" ht="18" customHeight="1">
      <x:c r="A369" s="14" t="n">
        <x:v>472</x:v>
      </x:c>
      <x:c r="B369" s="14" t="n">
        <x:v>364</x:v>
      </x:c>
      <x:c r="C369" s="14" t="n">
        <x:v>462</x:v>
      </x:c>
      <x:c r="D369" s="14" t="n">
        <x:v>13030</x:v>
      </x:c>
      <x:c r="E369" s="14" t="n">
        <x:v>476</x:v>
      </x:c>
      <x:c r="F369" s="14" t="n">
        <x:v>15171</x:v>
      </x:c>
      <x:c r="G369" s="14" t="n">
        <x:v>14559</x:v>
      </x:c>
      <x:c r="H369" s="14" t="n">
        <x:f>INT((F369-D369)*(A369-C369)/(E369-C369))+D369</x:f>
        <x:v>14559</x:v>
      </x:c>
      <x:c r="I369" s="68" t="n">
        <x:f>H369-G369</x:f>
        <x:v>0</x:v>
      </x:c>
      <x:c r="J369" s="14" t="n">
        <x:v>94783</x:v>
      </x:c>
      <x:c r="K369" s="14" t="n">
        <x:f>INT(H369*'공식·설정'!$B$10/'공식·설정'!$B$15)</x:f>
        <x:v>94783</x:v>
      </x:c>
      <x:c r="L369" s="68" t="n">
        <x:f>K369-J369</x:f>
        <x:v>0</x:v>
      </x:c>
      <x:c r="M369" s="65" t="n">
        <x:f>J369/'공식·설정'!$B$7</x:f>
        <x:v>370.24609375</x:v>
      </x:c>
      <x:c r="N369" s="65" t="n">
        <x:f>K369/'공식·설정'!$B$7</x:f>
        <x:v>370.24609375</x:v>
      </x:c>
      <x:c r="O369" s="14" t="n">
        <x:v>37</x:v>
      </x:c>
      <x:c r="P369" s="14" t="n">
        <x:f>MIN(32767,MAX(0,INT((K369+INT('공식·설정'!$B$12/2))/'공식·설정'!$B$12)))</x:f>
        <x:v>37</x:v>
      </x:c>
      <x:c r="Q369" s="68" t="n">
        <x:f>P369-O369</x:f>
        <x:v>0</x:v>
      </x:c>
      <x:c r="R369" s="14" t="n">
        <x:v>103168</x:v>
      </x:c>
      <x:c r="S369" s="14" t="n">
        <x:f>P369*'공식·설정'!$B$12+'공식·설정'!$B$14</x:f>
        <x:v>103168</x:v>
      </x:c>
      <x:c r="T369" s="68" t="n">
        <x:f>S369-R369</x:f>
        <x:v>0</x:v>
      </x:c>
      <x:c r="U369" s="65" t="n">
        <x:f>R369/'공식·설정'!$B$7</x:f>
        <x:v>403</x:v>
      </x:c>
      <x:c r="V369" s="65" t="n">
        <x:f>S369/'공식·설정'!$B$7</x:f>
        <x:v>403</x:v>
      </x:c>
      <x:c r="W369" s="14" t="n">
        <x:v>688</x:v>
      </x:c>
      <x:c r="X369" s="14" t="n">
        <x:f>INT(ABS(K370-K369)*'공식·설정'!$B$8/K369)</x:f>
        <x:v>688</x:v>
      </x:c>
      <x:c r="Y369" s="68" t="n">
        <x:f>X369-W369</x:f>
        <x:v>0</x:v>
      </x:c>
      <x:c r="Z369" s="66" t="n">
        <x:f>W369/'공식·설정'!$B$8</x:f>
        <x:v>0.010498046875</x:v>
      </x:c>
      <x:c r="AA369" s="66" t="n">
        <x:f>X369/'공식·설정'!$B$8</x:f>
        <x:v>0.010498046875</x:v>
      </x:c>
      <x:c r="AB369" s="67" t="str">
        <x:f>IF(AND(I369=0,L369=0,Q369=0,T369=0,Y369=0),"PASS","FAIL")</x:f>
        <x:v>PASS</x:v>
      </x:c>
    </x:row>
    <x:row r="370" ht="18" customHeight="1">
      <x:c r="A370" s="14" t="n">
        <x:v>473</x:v>
      </x:c>
      <x:c r="B370" s="14" t="n">
        <x:v>365</x:v>
      </x:c>
      <x:c r="C370" s="14" t="n">
        <x:v>462</x:v>
      </x:c>
      <x:c r="D370" s="14" t="n">
        <x:v>13030</x:v>
      </x:c>
      <x:c r="E370" s="14" t="n">
        <x:v>476</x:v>
      </x:c>
      <x:c r="F370" s="14" t="n">
        <x:v>15171</x:v>
      </x:c>
      <x:c r="G370" s="14" t="n">
        <x:v>14712</x:v>
      </x:c>
      <x:c r="H370" s="14" t="n">
        <x:f>INT((F370-D370)*(A370-C370)/(E370-C370))+D370</x:f>
        <x:v>14712</x:v>
      </x:c>
      <x:c r="I370" s="68" t="n">
        <x:f>H370-G370</x:f>
        <x:v>0</x:v>
      </x:c>
      <x:c r="J370" s="14" t="n">
        <x:v>95779</x:v>
      </x:c>
      <x:c r="K370" s="14" t="n">
        <x:f>INT(H370*'공식·설정'!$B$10/'공식·설정'!$B$15)</x:f>
        <x:v>95779</x:v>
      </x:c>
      <x:c r="L370" s="68" t="n">
        <x:f>K370-J370</x:f>
        <x:v>0</x:v>
      </x:c>
      <x:c r="M370" s="65" t="n">
        <x:f>J370/'공식·설정'!$B$7</x:f>
        <x:v>374.13671875</x:v>
      </x:c>
      <x:c r="N370" s="65" t="n">
        <x:f>K370/'공식·설정'!$B$7</x:f>
        <x:v>374.13671875</x:v>
      </x:c>
      <x:c r="O370" s="14" t="n">
        <x:v>37</x:v>
      </x:c>
      <x:c r="P370" s="14" t="n">
        <x:f>MIN(32767,MAX(0,INT((K370+INT('공식·설정'!$B$12/2))/'공식·설정'!$B$12)))</x:f>
        <x:v>37</x:v>
      </x:c>
      <x:c r="Q370" s="68" t="n">
        <x:f>P370-O370</x:f>
        <x:v>0</x:v>
      </x:c>
      <x:c r="R370" s="14" t="n">
        <x:v>103168</x:v>
      </x:c>
      <x:c r="S370" s="14" t="n">
        <x:f>P370*'공식·설정'!$B$12+'공식·설정'!$B$14</x:f>
        <x:v>103168</x:v>
      </x:c>
      <x:c r="T370" s="68" t="n">
        <x:f>S370-R370</x:f>
        <x:v>0</x:v>
      </x:c>
      <x:c r="U370" s="65" t="n">
        <x:f>R370/'공식·설정'!$B$7</x:f>
        <x:v>403</x:v>
      </x:c>
      <x:c r="V370" s="65" t="n">
        <x:f>S370/'공식·설정'!$B$7</x:f>
        <x:v>403</x:v>
      </x:c>
      <x:c r="W370" s="14" t="n">
        <x:v>681</x:v>
      </x:c>
      <x:c r="X370" s="14" t="n">
        <x:f>INT(ABS(K371-K370)*'공식·설정'!$B$8/K370)</x:f>
        <x:v>681</x:v>
      </x:c>
      <x:c r="Y370" s="68" t="n">
        <x:f>X370-W370</x:f>
        <x:v>0</x:v>
      </x:c>
      <x:c r="Z370" s="66" t="n">
        <x:f>W370/'공식·설정'!$B$8</x:f>
        <x:v>0.0103912353515625</x:v>
      </x:c>
      <x:c r="AA370" s="66" t="n">
        <x:f>X370/'공식·설정'!$B$8</x:f>
        <x:v>0.0103912353515625</x:v>
      </x:c>
      <x:c r="AB370" s="67" t="str">
        <x:f>IF(AND(I370=0,L370=0,Q370=0,T370=0,Y370=0),"PASS","FAIL")</x:f>
        <x:v>PASS</x:v>
      </x:c>
    </x:row>
    <x:row r="371" ht="18" customHeight="1">
      <x:c r="A371" s="14" t="n">
        <x:v>474</x:v>
      </x:c>
      <x:c r="B371" s="14" t="n">
        <x:v>366</x:v>
      </x:c>
      <x:c r="C371" s="14" t="n">
        <x:v>462</x:v>
      </x:c>
      <x:c r="D371" s="14" t="n">
        <x:v>13030</x:v>
      </x:c>
      <x:c r="E371" s="14" t="n">
        <x:v>476</x:v>
      </x:c>
      <x:c r="F371" s="14" t="n">
        <x:v>15171</x:v>
      </x:c>
      <x:c r="G371" s="14" t="n">
        <x:v>14865</x:v>
      </x:c>
      <x:c r="H371" s="14" t="n">
        <x:f>INT((F371-D371)*(A371-C371)/(E371-C371))+D371</x:f>
        <x:v>14865</x:v>
      </x:c>
      <x:c r="I371" s="68" t="n">
        <x:f>H371-G371</x:f>
        <x:v>0</x:v>
      </x:c>
      <x:c r="J371" s="14" t="n">
        <x:v>96775</x:v>
      </x:c>
      <x:c r="K371" s="14" t="n">
        <x:f>INT(H371*'공식·설정'!$B$10/'공식·설정'!$B$15)</x:f>
        <x:v>96775</x:v>
      </x:c>
      <x:c r="L371" s="68" t="n">
        <x:f>K371-J371</x:f>
        <x:v>0</x:v>
      </x:c>
      <x:c r="M371" s="65" t="n">
        <x:f>J371/'공식·설정'!$B$7</x:f>
        <x:v>378.02734375</x:v>
      </x:c>
      <x:c r="N371" s="65" t="n">
        <x:f>K371/'공식·설정'!$B$7</x:f>
        <x:v>378.02734375</x:v>
      </x:c>
      <x:c r="O371" s="14" t="n">
        <x:v>38</x:v>
      </x:c>
      <x:c r="P371" s="14" t="n">
        <x:f>MIN(32767,MAX(0,INT((K371+INT('공식·설정'!$B$12/2))/'공식·설정'!$B$12)))</x:f>
        <x:v>38</x:v>
      </x:c>
      <x:c r="Q371" s="68" t="n">
        <x:f>P371-O371</x:f>
        <x:v>0</x:v>
      </x:c>
      <x:c r="R371" s="14" t="n">
        <x:v>105728</x:v>
      </x:c>
      <x:c r="S371" s="14" t="n">
        <x:f>P371*'공식·설정'!$B$12+'공식·설정'!$B$14</x:f>
        <x:v>105728</x:v>
      </x:c>
      <x:c r="T371" s="68" t="n">
        <x:f>S371-R371</x:f>
        <x:v>0</x:v>
      </x:c>
      <x:c r="U371" s="65" t="n">
        <x:f>R371/'공식·설정'!$B$7</x:f>
        <x:v>413</x:v>
      </x:c>
      <x:c r="V371" s="65" t="n">
        <x:f>S371/'공식·설정'!$B$7</x:f>
        <x:v>413</x:v>
      </x:c>
      <x:c r="W371" s="14" t="n">
        <x:v>674</x:v>
      </x:c>
      <x:c r="X371" s="14" t="n">
        <x:f>INT(ABS(K372-K371)*'공식·설정'!$B$8/K371)</x:f>
        <x:v>674</x:v>
      </x:c>
      <x:c r="Y371" s="68" t="n">
        <x:f>X371-W371</x:f>
        <x:v>0</x:v>
      </x:c>
      <x:c r="Z371" s="66" t="n">
        <x:f>W371/'공식·설정'!$B$8</x:f>
        <x:v>0.010284423828125</x:v>
      </x:c>
      <x:c r="AA371" s="66" t="n">
        <x:f>X371/'공식·설정'!$B$8</x:f>
        <x:v>0.010284423828125</x:v>
      </x:c>
      <x:c r="AB371" s="67" t="str">
        <x:f>IF(AND(I371=0,L371=0,Q371=0,T371=0,Y371=0),"PASS","FAIL")</x:f>
        <x:v>PASS</x:v>
      </x:c>
    </x:row>
    <x:row r="372" ht="18" customHeight="1">
      <x:c r="A372" s="14" t="n">
        <x:v>475</x:v>
      </x:c>
      <x:c r="B372" s="14" t="n">
        <x:v>367</x:v>
      </x:c>
      <x:c r="C372" s="14" t="n">
        <x:v>462</x:v>
      </x:c>
      <x:c r="D372" s="14" t="n">
        <x:v>13030</x:v>
      </x:c>
      <x:c r="E372" s="14" t="n">
        <x:v>476</x:v>
      </x:c>
      <x:c r="F372" s="14" t="n">
        <x:v>15171</x:v>
      </x:c>
      <x:c r="G372" s="14" t="n">
        <x:v>15018</x:v>
      </x:c>
      <x:c r="H372" s="14" t="n">
        <x:f>INT((F372-D372)*(A372-C372)/(E372-C372))+D372</x:f>
        <x:v>15018</x:v>
      </x:c>
      <x:c r="I372" s="68" t="n">
        <x:f>H372-G372</x:f>
        <x:v>0</x:v>
      </x:c>
      <x:c r="J372" s="14" t="n">
        <x:v>97771</x:v>
      </x:c>
      <x:c r="K372" s="14" t="n">
        <x:f>INT(H372*'공식·설정'!$B$10/'공식·설정'!$B$15)</x:f>
        <x:v>97771</x:v>
      </x:c>
      <x:c r="L372" s="68" t="n">
        <x:f>K372-J372</x:f>
        <x:v>0</x:v>
      </x:c>
      <x:c r="M372" s="65" t="n">
        <x:f>J372/'공식·설정'!$B$7</x:f>
        <x:v>381.91796875</x:v>
      </x:c>
      <x:c r="N372" s="65" t="n">
        <x:f>K372/'공식·설정'!$B$7</x:f>
        <x:v>381.91796875</x:v>
      </x:c>
      <x:c r="O372" s="14" t="n">
        <x:v>38</x:v>
      </x:c>
      <x:c r="P372" s="14" t="n">
        <x:f>MIN(32767,MAX(0,INT((K372+INT('공식·설정'!$B$12/2))/'공식·설정'!$B$12)))</x:f>
        <x:v>38</x:v>
      </x:c>
      <x:c r="Q372" s="68" t="n">
        <x:f>P372-O372</x:f>
        <x:v>0</x:v>
      </x:c>
      <x:c r="R372" s="14" t="n">
        <x:v>105728</x:v>
      </x:c>
      <x:c r="S372" s="14" t="n">
        <x:f>P372*'공식·설정'!$B$12+'공식·설정'!$B$14</x:f>
        <x:v>105728</x:v>
      </x:c>
      <x:c r="T372" s="68" t="n">
        <x:f>S372-R372</x:f>
        <x:v>0</x:v>
      </x:c>
      <x:c r="U372" s="65" t="n">
        <x:f>R372/'공식·설정'!$B$7</x:f>
        <x:v>413</x:v>
      </x:c>
      <x:c r="V372" s="65" t="n">
        <x:f>S372/'공식·설정'!$B$7</x:f>
        <x:v>413</x:v>
      </x:c>
      <x:c r="W372" s="14" t="n">
        <x:v>667</x:v>
      </x:c>
      <x:c r="X372" s="14" t="n">
        <x:f>INT(ABS(K373-K372)*'공식·설정'!$B$8/K372)</x:f>
        <x:v>667</x:v>
      </x:c>
      <x:c r="Y372" s="68" t="n">
        <x:f>X372-W372</x:f>
        <x:v>0</x:v>
      </x:c>
      <x:c r="Z372" s="66" t="n">
        <x:f>W372/'공식·설정'!$B$8</x:f>
        <x:v>0.0101776123046875</x:v>
      </x:c>
      <x:c r="AA372" s="66" t="n">
        <x:f>X372/'공식·설정'!$B$8</x:f>
        <x:v>0.0101776123046875</x:v>
      </x:c>
      <x:c r="AB372" s="67" t="str">
        <x:f>IF(AND(I372=0,L372=0,Q372=0,T372=0,Y372=0),"PASS","FAIL")</x:f>
        <x:v>PASS</x:v>
      </x:c>
    </x:row>
    <x:row r="373" ht="18" customHeight="1">
      <x:c r="A373" s="14" t="n">
        <x:v>476</x:v>
      </x:c>
      <x:c r="B373" s="14" t="n">
        <x:v>368</x:v>
      </x:c>
      <x:c r="C373" s="14" t="n">
        <x:v>476</x:v>
      </x:c>
      <x:c r="D373" s="14" t="n">
        <x:v>15171</x:v>
      </x:c>
      <x:c r="E373" s="14" t="n">
        <x:v>490</x:v>
      </x:c>
      <x:c r="F373" s="14" t="n">
        <x:v>17660</x:v>
      </x:c>
      <x:c r="G373" s="14" t="n">
        <x:v>15171</x:v>
      </x:c>
      <x:c r="H373" s="14" t="n">
        <x:f>INT((F373-D373)*(A373-C373)/(E373-C373))+D373</x:f>
        <x:v>15171</x:v>
      </x:c>
      <x:c r="I373" s="68" t="n">
        <x:f>H373-G373</x:f>
        <x:v>0</x:v>
      </x:c>
      <x:c r="J373" s="14" t="n">
        <x:v>98767</x:v>
      </x:c>
      <x:c r="K373" s="14" t="n">
        <x:f>INT(H373*'공식·설정'!$B$10/'공식·설정'!$B$15)</x:f>
        <x:v>98767</x:v>
      </x:c>
      <x:c r="L373" s="68" t="n">
        <x:f>K373-J373</x:f>
        <x:v>0</x:v>
      </x:c>
      <x:c r="M373" s="65" t="n">
        <x:f>J373/'공식·설정'!$B$7</x:f>
        <x:v>385.80859375</x:v>
      </x:c>
      <x:c r="N373" s="65" t="n">
        <x:f>K373/'공식·설정'!$B$7</x:f>
        <x:v>385.80859375</x:v>
      </x:c>
      <x:c r="O373" s="14" t="n">
        <x:v>39</x:v>
      </x:c>
      <x:c r="P373" s="14" t="n">
        <x:f>MIN(32767,MAX(0,INT((K373+INT('공식·설정'!$B$12/2))/'공식·설정'!$B$12)))</x:f>
        <x:v>39</x:v>
      </x:c>
      <x:c r="Q373" s="68" t="n">
        <x:f>P373-O373</x:f>
        <x:v>0</x:v>
      </x:c>
      <x:c r="R373" s="14" t="n">
        <x:v>108288</x:v>
      </x:c>
      <x:c r="S373" s="14" t="n">
        <x:f>P373*'공식·설정'!$B$12+'공식·설정'!$B$14</x:f>
        <x:v>108288</x:v>
      </x:c>
      <x:c r="T373" s="68" t="n">
        <x:f>S373-R373</x:f>
        <x:v>0</x:v>
      </x:c>
      <x:c r="U373" s="65" t="n">
        <x:f>R373/'공식·설정'!$B$7</x:f>
        <x:v>423</x:v>
      </x:c>
      <x:c r="V373" s="65" t="n">
        <x:f>S373/'공식·설정'!$B$7</x:f>
        <x:v>423</x:v>
      </x:c>
      <x:c r="W373" s="14" t="n">
        <x:v>764</x:v>
      </x:c>
      <x:c r="X373" s="14" t="n">
        <x:f>INT(ABS(K374-K373)*'공식·설정'!$B$8/K373)</x:f>
        <x:v>764</x:v>
      </x:c>
      <x:c r="Y373" s="68" t="n">
        <x:f>X373-W373</x:f>
        <x:v>0</x:v>
      </x:c>
      <x:c r="Z373" s="66" t="n">
        <x:f>W373/'공식·설정'!$B$8</x:f>
        <x:v>0.01165771484375</x:v>
      </x:c>
      <x:c r="AA373" s="66" t="n">
        <x:f>X373/'공식·설정'!$B$8</x:f>
        <x:v>0.01165771484375</x:v>
      </x:c>
      <x:c r="AB373" s="67" t="str">
        <x:f>IF(AND(I373=0,L373=0,Q373=0,T373=0,Y373=0),"PASS","FAIL")</x:f>
        <x:v>PASS</x:v>
      </x:c>
    </x:row>
    <x:row r="374" ht="18" customHeight="1">
      <x:c r="A374" s="14" t="n">
        <x:v>477</x:v>
      </x:c>
      <x:c r="B374" s="14" t="n">
        <x:v>369</x:v>
      </x:c>
      <x:c r="C374" s="14" t="n">
        <x:v>476</x:v>
      </x:c>
      <x:c r="D374" s="14" t="n">
        <x:v>15171</x:v>
      </x:c>
      <x:c r="E374" s="14" t="n">
        <x:v>490</x:v>
      </x:c>
      <x:c r="F374" s="14" t="n">
        <x:v>17660</x:v>
      </x:c>
      <x:c r="G374" s="14" t="n">
        <x:v>15348</x:v>
      </x:c>
      <x:c r="H374" s="14" t="n">
        <x:f>INT((F374-D374)*(A374-C374)/(E374-C374))+D374</x:f>
        <x:v>15348</x:v>
      </x:c>
      <x:c r="I374" s="68" t="n">
        <x:f>H374-G374</x:f>
        <x:v>0</x:v>
      </x:c>
      <x:c r="J374" s="14" t="n">
        <x:v>99919</x:v>
      </x:c>
      <x:c r="K374" s="14" t="n">
        <x:f>INT(H374*'공식·설정'!$B$10/'공식·설정'!$B$15)</x:f>
        <x:v>99919</x:v>
      </x:c>
      <x:c r="L374" s="68" t="n">
        <x:f>K374-J374</x:f>
        <x:v>0</x:v>
      </x:c>
      <x:c r="M374" s="65" t="n">
        <x:f>J374/'공식·설정'!$B$7</x:f>
        <x:v>390.30859375</x:v>
      </x:c>
      <x:c r="N374" s="65" t="n">
        <x:f>K374/'공식·설정'!$B$7</x:f>
        <x:v>390.30859375</x:v>
      </x:c>
      <x:c r="O374" s="14" t="n">
        <x:v>39</x:v>
      </x:c>
      <x:c r="P374" s="14" t="n">
        <x:f>MIN(32767,MAX(0,INT((K374+INT('공식·설정'!$B$12/2))/'공식·설정'!$B$12)))</x:f>
        <x:v>39</x:v>
      </x:c>
      <x:c r="Q374" s="68" t="n">
        <x:f>P374-O374</x:f>
        <x:v>0</x:v>
      </x:c>
      <x:c r="R374" s="14" t="n">
        <x:v>108288</x:v>
      </x:c>
      <x:c r="S374" s="14" t="n">
        <x:f>P374*'공식·설정'!$B$12+'공식·설정'!$B$14</x:f>
        <x:v>108288</x:v>
      </x:c>
      <x:c r="T374" s="68" t="n">
        <x:f>S374-R374</x:f>
        <x:v>0</x:v>
      </x:c>
      <x:c r="U374" s="65" t="n">
        <x:f>R374/'공식·설정'!$B$7</x:f>
        <x:v>423</x:v>
      </x:c>
      <x:c r="V374" s="65" t="n">
        <x:f>S374/'공식·설정'!$B$7</x:f>
        <x:v>423</x:v>
      </x:c>
      <x:c r="W374" s="14" t="n">
        <x:v>760</x:v>
      </x:c>
      <x:c r="X374" s="14" t="n">
        <x:f>INT(ABS(K375-K374)*'공식·설정'!$B$8/K374)</x:f>
        <x:v>760</x:v>
      </x:c>
      <x:c r="Y374" s="68" t="n">
        <x:f>X374-W374</x:f>
        <x:v>0</x:v>
      </x:c>
      <x:c r="Z374" s="66" t="n">
        <x:f>W374/'공식·설정'!$B$8</x:f>
        <x:v>0.0115966796875</x:v>
      </x:c>
      <x:c r="AA374" s="66" t="n">
        <x:f>X374/'공식·설정'!$B$8</x:f>
        <x:v>0.0115966796875</x:v>
      </x:c>
      <x:c r="AB374" s="67" t="str">
        <x:f>IF(AND(I374=0,L374=0,Q374=0,T374=0,Y374=0),"PASS","FAIL")</x:f>
        <x:v>PASS</x:v>
      </x:c>
    </x:row>
    <x:row r="375" ht="18" customHeight="1">
      <x:c r="A375" s="14" t="n">
        <x:v>478</x:v>
      </x:c>
      <x:c r="B375" s="14" t="n">
        <x:v>370</x:v>
      </x:c>
      <x:c r="C375" s="14" t="n">
        <x:v>476</x:v>
      </x:c>
      <x:c r="D375" s="14" t="n">
        <x:v>15171</x:v>
      </x:c>
      <x:c r="E375" s="14" t="n">
        <x:v>490</x:v>
      </x:c>
      <x:c r="F375" s="14" t="n">
        <x:v>17660</x:v>
      </x:c>
      <x:c r="G375" s="14" t="n">
        <x:v>15526</x:v>
      </x:c>
      <x:c r="H375" s="14" t="n">
        <x:f>INT((F375-D375)*(A375-C375)/(E375-C375))+D375</x:f>
        <x:v>15526</x:v>
      </x:c>
      <x:c r="I375" s="68" t="n">
        <x:f>H375-G375</x:f>
        <x:v>0</x:v>
      </x:c>
      <x:c r="J375" s="14" t="n">
        <x:v>101078</x:v>
      </x:c>
      <x:c r="K375" s="14" t="n">
        <x:f>INT(H375*'공식·설정'!$B$10/'공식·설정'!$B$15)</x:f>
        <x:v>101078</x:v>
      </x:c>
      <x:c r="L375" s="68" t="n">
        <x:f>K375-J375</x:f>
        <x:v>0</x:v>
      </x:c>
      <x:c r="M375" s="65" t="n">
        <x:f>J375/'공식·설정'!$B$7</x:f>
        <x:v>394.8359375</x:v>
      </x:c>
      <x:c r="N375" s="65" t="n">
        <x:f>K375/'공식·설정'!$B$7</x:f>
        <x:v>394.8359375</x:v>
      </x:c>
      <x:c r="O375" s="14" t="n">
        <x:v>39</x:v>
      </x:c>
      <x:c r="P375" s="14" t="n">
        <x:f>MIN(32767,MAX(0,INT((K375+INT('공식·설정'!$B$12/2))/'공식·설정'!$B$12)))</x:f>
        <x:v>39</x:v>
      </x:c>
      <x:c r="Q375" s="68" t="n">
        <x:f>P375-O375</x:f>
        <x:v>0</x:v>
      </x:c>
      <x:c r="R375" s="14" t="n">
        <x:v>108288</x:v>
      </x:c>
      <x:c r="S375" s="14" t="n">
        <x:f>P375*'공식·설정'!$B$12+'공식·설정'!$B$14</x:f>
        <x:v>108288</x:v>
      </x:c>
      <x:c r="T375" s="68" t="n">
        <x:f>S375-R375</x:f>
        <x:v>0</x:v>
      </x:c>
      <x:c r="U375" s="65" t="n">
        <x:f>R375/'공식·설정'!$B$7</x:f>
        <x:v>423</x:v>
      </x:c>
      <x:c r="V375" s="65" t="n">
        <x:f>S375/'공식·설정'!$B$7</x:f>
        <x:v>423</x:v>
      </x:c>
      <x:c r="W375" s="14" t="n">
        <x:v>751</x:v>
      </x:c>
      <x:c r="X375" s="14" t="n">
        <x:f>INT(ABS(K376-K375)*'공식·설정'!$B$8/K375)</x:f>
        <x:v>751</x:v>
      </x:c>
      <x:c r="Y375" s="68" t="n">
        <x:f>X375-W375</x:f>
        <x:v>0</x:v>
      </x:c>
      <x:c r="Z375" s="66" t="n">
        <x:f>W375/'공식·설정'!$B$8</x:f>
        <x:v>0.0114593505859375</x:v>
      </x:c>
      <x:c r="AA375" s="66" t="n">
        <x:f>X375/'공식·설정'!$B$8</x:f>
        <x:v>0.0114593505859375</x:v>
      </x:c>
      <x:c r="AB375" s="67" t="str">
        <x:f>IF(AND(I375=0,L375=0,Q375=0,T375=0,Y375=0),"PASS","FAIL")</x:f>
        <x:v>PASS</x:v>
      </x:c>
    </x:row>
    <x:row r="376" ht="18" customHeight="1">
      <x:c r="A376" s="14" t="n">
        <x:v>479</x:v>
      </x:c>
      <x:c r="B376" s="14" t="n">
        <x:v>371</x:v>
      </x:c>
      <x:c r="C376" s="14" t="n">
        <x:v>476</x:v>
      </x:c>
      <x:c r="D376" s="14" t="n">
        <x:v>15171</x:v>
      </x:c>
      <x:c r="E376" s="14" t="n">
        <x:v>490</x:v>
      </x:c>
      <x:c r="F376" s="14" t="n">
        <x:v>17660</x:v>
      </x:c>
      <x:c r="G376" s="14" t="n">
        <x:v>15704</x:v>
      </x:c>
      <x:c r="H376" s="14" t="n">
        <x:f>INT((F376-D376)*(A376-C376)/(E376-C376))+D376</x:f>
        <x:v>15704</x:v>
      </x:c>
      <x:c r="I376" s="68" t="n">
        <x:f>H376-G376</x:f>
        <x:v>0</x:v>
      </x:c>
      <x:c r="J376" s="14" t="n">
        <x:v>102237</x:v>
      </x:c>
      <x:c r="K376" s="14" t="n">
        <x:f>INT(H376*'공식·설정'!$B$10/'공식·설정'!$B$15)</x:f>
        <x:v>102237</x:v>
      </x:c>
      <x:c r="L376" s="68" t="n">
        <x:f>K376-J376</x:f>
        <x:v>0</x:v>
      </x:c>
      <x:c r="M376" s="65" t="n">
        <x:f>J376/'공식·설정'!$B$7</x:f>
        <x:v>399.36328125</x:v>
      </x:c>
      <x:c r="N376" s="65" t="n">
        <x:f>K376/'공식·설정'!$B$7</x:f>
        <x:v>399.36328125</x:v>
      </x:c>
      <x:c r="O376" s="14" t="n">
        <x:v>40</x:v>
      </x:c>
      <x:c r="P376" s="14" t="n">
        <x:f>MIN(32767,MAX(0,INT((K376+INT('공식·설정'!$B$12/2))/'공식·설정'!$B$12)))</x:f>
        <x:v>40</x:v>
      </x:c>
      <x:c r="Q376" s="68" t="n">
        <x:f>P376-O376</x:f>
        <x:v>0</x:v>
      </x:c>
      <x:c r="R376" s="14" t="n">
        <x:v>110848</x:v>
      </x:c>
      <x:c r="S376" s="14" t="n">
        <x:f>P376*'공식·설정'!$B$12+'공식·설정'!$B$14</x:f>
        <x:v>110848</x:v>
      </x:c>
      <x:c r="T376" s="68" t="n">
        <x:f>S376-R376</x:f>
        <x:v>0</x:v>
      </x:c>
      <x:c r="U376" s="65" t="n">
        <x:f>R376/'공식·설정'!$B$7</x:f>
        <x:v>433</x:v>
      </x:c>
      <x:c r="V376" s="65" t="n">
        <x:f>S376/'공식·설정'!$B$7</x:f>
        <x:v>433</x:v>
      </x:c>
      <x:c r="W376" s="14" t="n">
        <x:v>742</x:v>
      </x:c>
      <x:c r="X376" s="14" t="n">
        <x:f>INT(ABS(K377-K376)*'공식·설정'!$B$8/K376)</x:f>
        <x:v>742</x:v>
      </x:c>
      <x:c r="Y376" s="68" t="n">
        <x:f>X376-W376</x:f>
        <x:v>0</x:v>
      </x:c>
      <x:c r="Z376" s="66" t="n">
        <x:f>W376/'공식·설정'!$B$8</x:f>
        <x:v>0.011322021484375</x:v>
      </x:c>
      <x:c r="AA376" s="66" t="n">
        <x:f>X376/'공식·설정'!$B$8</x:f>
        <x:v>0.011322021484375</x:v>
      </x:c>
      <x:c r="AB376" s="67" t="str">
        <x:f>IF(AND(I376=0,L376=0,Q376=0,T376=0,Y376=0),"PASS","FAIL")</x:f>
        <x:v>PASS</x:v>
      </x:c>
    </x:row>
    <x:row r="377" ht="18" customHeight="1">
      <x:c r="A377" s="14" t="n">
        <x:v>480</x:v>
      </x:c>
      <x:c r="B377" s="14" t="n">
        <x:v>372</x:v>
      </x:c>
      <x:c r="C377" s="14" t="n">
        <x:v>476</x:v>
      </x:c>
      <x:c r="D377" s="14" t="n">
        <x:v>15171</x:v>
      </x:c>
      <x:c r="E377" s="14" t="n">
        <x:v>490</x:v>
      </x:c>
      <x:c r="F377" s="14" t="n">
        <x:v>17660</x:v>
      </x:c>
      <x:c r="G377" s="14" t="n">
        <x:v>15882</x:v>
      </x:c>
      <x:c r="H377" s="14" t="n">
        <x:f>INT((F377-D377)*(A377-C377)/(E377-C377))+D377</x:f>
        <x:v>15882</x:v>
      </x:c>
      <x:c r="I377" s="68" t="n">
        <x:f>H377-G377</x:f>
        <x:v>0</x:v>
      </x:c>
      <x:c r="J377" s="14" t="n">
        <x:v>103396</x:v>
      </x:c>
      <x:c r="K377" s="14" t="n">
        <x:f>INT(H377*'공식·설정'!$B$10/'공식·설정'!$B$15)</x:f>
        <x:v>103396</x:v>
      </x:c>
      <x:c r="L377" s="68" t="n">
        <x:f>K377-J377</x:f>
        <x:v>0</x:v>
      </x:c>
      <x:c r="M377" s="65" t="n">
        <x:f>J377/'공식·설정'!$B$7</x:f>
        <x:v>403.890625</x:v>
      </x:c>
      <x:c r="N377" s="65" t="n">
        <x:f>K377/'공식·설정'!$B$7</x:f>
        <x:v>403.890625</x:v>
      </x:c>
      <x:c r="O377" s="14" t="n">
        <x:v>40</x:v>
      </x:c>
      <x:c r="P377" s="14" t="n">
        <x:f>MIN(32767,MAX(0,INT((K377+INT('공식·설정'!$B$12/2))/'공식·설정'!$B$12)))</x:f>
        <x:v>40</x:v>
      </x:c>
      <x:c r="Q377" s="68" t="n">
        <x:f>P377-O377</x:f>
        <x:v>0</x:v>
      </x:c>
      <x:c r="R377" s="14" t="n">
        <x:v>110848</x:v>
      </x:c>
      <x:c r="S377" s="14" t="n">
        <x:f>P377*'공식·설정'!$B$12+'공식·설정'!$B$14</x:f>
        <x:v>110848</x:v>
      </x:c>
      <x:c r="T377" s="68" t="n">
        <x:f>S377-R377</x:f>
        <x:v>0</x:v>
      </x:c>
      <x:c r="U377" s="65" t="n">
        <x:f>R377/'공식·설정'!$B$7</x:f>
        <x:v>433</x:v>
      </x:c>
      <x:c r="V377" s="65" t="n">
        <x:f>S377/'공식·설정'!$B$7</x:f>
        <x:v>433</x:v>
      </x:c>
      <x:c r="W377" s="14" t="n">
        <x:v>730</x:v>
      </x:c>
      <x:c r="X377" s="14" t="n">
        <x:f>INT(ABS(K378-K377)*'공식·설정'!$B$8/K377)</x:f>
        <x:v>730</x:v>
      </x:c>
      <x:c r="Y377" s="68" t="n">
        <x:f>X377-W377</x:f>
        <x:v>0</x:v>
      </x:c>
      <x:c r="Z377" s="66" t="n">
        <x:f>W377/'공식·설정'!$B$8</x:f>
        <x:v>0.011138916015625</x:v>
      </x:c>
      <x:c r="AA377" s="66" t="n">
        <x:f>X377/'공식·설정'!$B$8</x:f>
        <x:v>0.011138916015625</x:v>
      </x:c>
      <x:c r="AB377" s="67" t="str">
        <x:f>IF(AND(I377=0,L377=0,Q377=0,T377=0,Y377=0),"PASS","FAIL")</x:f>
        <x:v>PASS</x:v>
      </x:c>
    </x:row>
    <x:row r="378" ht="18" customHeight="1">
      <x:c r="A378" s="14" t="n">
        <x:v>481</x:v>
      </x:c>
      <x:c r="B378" s="14" t="n">
        <x:v>373</x:v>
      </x:c>
      <x:c r="C378" s="14" t="n">
        <x:v>476</x:v>
      </x:c>
      <x:c r="D378" s="14" t="n">
        <x:v>15171</x:v>
      </x:c>
      <x:c r="E378" s="14" t="n">
        <x:v>490</x:v>
      </x:c>
      <x:c r="F378" s="14" t="n">
        <x:v>17660</x:v>
      </x:c>
      <x:c r="G378" s="14" t="n">
        <x:v>16059</x:v>
      </x:c>
      <x:c r="H378" s="14" t="n">
        <x:f>INT((F378-D378)*(A378-C378)/(E378-C378))+D378</x:f>
        <x:v>16059</x:v>
      </x:c>
      <x:c r="I378" s="68" t="n">
        <x:f>H378-G378</x:f>
        <x:v>0</x:v>
      </x:c>
      <x:c r="J378" s="14" t="n">
        <x:v>104548</x:v>
      </x:c>
      <x:c r="K378" s="14" t="n">
        <x:f>INT(H378*'공식·설정'!$B$10/'공식·설정'!$B$15)</x:f>
        <x:v>104548</x:v>
      </x:c>
      <x:c r="L378" s="68" t="n">
        <x:f>K378-J378</x:f>
        <x:v>0</x:v>
      </x:c>
      <x:c r="M378" s="65" t="n">
        <x:f>J378/'공식·설정'!$B$7</x:f>
        <x:v>408.390625</x:v>
      </x:c>
      <x:c r="N378" s="65" t="n">
        <x:f>K378/'공식·설정'!$B$7</x:f>
        <x:v>408.390625</x:v>
      </x:c>
      <x:c r="O378" s="14" t="n">
        <x:v>41</x:v>
      </x:c>
      <x:c r="P378" s="14" t="n">
        <x:f>MIN(32767,MAX(0,INT((K378+INT('공식·설정'!$B$12/2))/'공식·설정'!$B$12)))</x:f>
        <x:v>41</x:v>
      </x:c>
      <x:c r="Q378" s="68" t="n">
        <x:f>P378-O378</x:f>
        <x:v>0</x:v>
      </x:c>
      <x:c r="R378" s="14" t="n">
        <x:v>113408</x:v>
      </x:c>
      <x:c r="S378" s="14" t="n">
        <x:f>P378*'공식·설정'!$B$12+'공식·설정'!$B$14</x:f>
        <x:v>113408</x:v>
      </x:c>
      <x:c r="T378" s="68" t="n">
        <x:f>S378-R378</x:f>
        <x:v>0</x:v>
      </x:c>
      <x:c r="U378" s="65" t="n">
        <x:f>R378/'공식·설정'!$B$7</x:f>
        <x:v>443</x:v>
      </x:c>
      <x:c r="V378" s="65" t="n">
        <x:f>S378/'공식·설정'!$B$7</x:f>
        <x:v>443</x:v>
      </x:c>
      <x:c r="W378" s="14" t="n">
        <x:v>726</x:v>
      </x:c>
      <x:c r="X378" s="14" t="n">
        <x:f>INT(ABS(K379-K378)*'공식·설정'!$B$8/K378)</x:f>
        <x:v>726</x:v>
      </x:c>
      <x:c r="Y378" s="68" t="n">
        <x:f>X378-W378</x:f>
        <x:v>0</x:v>
      </x:c>
      <x:c r="Z378" s="66" t="n">
        <x:f>W378/'공식·설정'!$B$8</x:f>
        <x:v>0.011077880859375</x:v>
      </x:c>
      <x:c r="AA378" s="66" t="n">
        <x:f>X378/'공식·설정'!$B$8</x:f>
        <x:v>0.011077880859375</x:v>
      </x:c>
      <x:c r="AB378" s="67" t="str">
        <x:f>IF(AND(I378=0,L378=0,Q378=0,T378=0,Y378=0),"PASS","FAIL")</x:f>
        <x:v>PASS</x:v>
      </x:c>
    </x:row>
    <x:row r="379" ht="18" customHeight="1">
      <x:c r="A379" s="14" t="n">
        <x:v>482</x:v>
      </x:c>
      <x:c r="B379" s="14" t="n">
        <x:v>374</x:v>
      </x:c>
      <x:c r="C379" s="14" t="n">
        <x:v>476</x:v>
      </x:c>
      <x:c r="D379" s="14" t="n">
        <x:v>15171</x:v>
      </x:c>
      <x:c r="E379" s="14" t="n">
        <x:v>490</x:v>
      </x:c>
      <x:c r="F379" s="14" t="n">
        <x:v>17660</x:v>
      </x:c>
      <x:c r="G379" s="14" t="n">
        <x:v>16237</x:v>
      </x:c>
      <x:c r="H379" s="14" t="n">
        <x:f>INT((F379-D379)*(A379-C379)/(E379-C379))+D379</x:f>
        <x:v>16237</x:v>
      </x:c>
      <x:c r="I379" s="68" t="n">
        <x:f>H379-G379</x:f>
        <x:v>0</x:v>
      </x:c>
      <x:c r="J379" s="14" t="n">
        <x:v>105707</x:v>
      </x:c>
      <x:c r="K379" s="14" t="n">
        <x:f>INT(H379*'공식·설정'!$B$10/'공식·설정'!$B$15)</x:f>
        <x:v>105707</x:v>
      </x:c>
      <x:c r="L379" s="68" t="n">
        <x:f>K379-J379</x:f>
        <x:v>0</x:v>
      </x:c>
      <x:c r="M379" s="65" t="n">
        <x:f>J379/'공식·설정'!$B$7</x:f>
        <x:v>412.91796875</x:v>
      </x:c>
      <x:c r="N379" s="65" t="n">
        <x:f>K379/'공식·설정'!$B$7</x:f>
        <x:v>412.91796875</x:v>
      </x:c>
      <x:c r="O379" s="14" t="n">
        <x:v>41</x:v>
      </x:c>
      <x:c r="P379" s="14" t="n">
        <x:f>MIN(32767,MAX(0,INT((K379+INT('공식·설정'!$B$12/2))/'공식·설정'!$B$12)))</x:f>
        <x:v>41</x:v>
      </x:c>
      <x:c r="Q379" s="68" t="n">
        <x:f>P379-O379</x:f>
        <x:v>0</x:v>
      </x:c>
      <x:c r="R379" s="14" t="n">
        <x:v>113408</x:v>
      </x:c>
      <x:c r="S379" s="14" t="n">
        <x:f>P379*'공식·설정'!$B$12+'공식·설정'!$B$14</x:f>
        <x:v>113408</x:v>
      </x:c>
      <x:c r="T379" s="68" t="n">
        <x:f>S379-R379</x:f>
        <x:v>0</x:v>
      </x:c>
      <x:c r="U379" s="65" t="n">
        <x:f>R379/'공식·설정'!$B$7</x:f>
        <x:v>443</x:v>
      </x:c>
      <x:c r="V379" s="65" t="n">
        <x:f>S379/'공식·설정'!$B$7</x:f>
        <x:v>443</x:v>
      </x:c>
      <x:c r="W379" s="14" t="n">
        <x:v>718</x:v>
      </x:c>
      <x:c r="X379" s="14" t="n">
        <x:f>INT(ABS(K380-K379)*'공식·설정'!$B$8/K379)</x:f>
        <x:v>718</x:v>
      </x:c>
      <x:c r="Y379" s="68" t="n">
        <x:f>X379-W379</x:f>
        <x:v>0</x:v>
      </x:c>
      <x:c r="Z379" s="66" t="n">
        <x:f>W379/'공식·설정'!$B$8</x:f>
        <x:v>0.010955810546875</x:v>
      </x:c>
      <x:c r="AA379" s="66" t="n">
        <x:f>X379/'공식·설정'!$B$8</x:f>
        <x:v>0.010955810546875</x:v>
      </x:c>
      <x:c r="AB379" s="67" t="str">
        <x:f>IF(AND(I379=0,L379=0,Q379=0,T379=0,Y379=0),"PASS","FAIL")</x:f>
        <x:v>PASS</x:v>
      </x:c>
    </x:row>
    <x:row r="380" ht="18" customHeight="1">
      <x:c r="A380" s="14" t="n">
        <x:v>483</x:v>
      </x:c>
      <x:c r="B380" s="14" t="n">
        <x:v>375</x:v>
      </x:c>
      <x:c r="C380" s="14" t="n">
        <x:v>476</x:v>
      </x:c>
      <x:c r="D380" s="14" t="n">
        <x:v>15171</x:v>
      </x:c>
      <x:c r="E380" s="14" t="n">
        <x:v>490</x:v>
      </x:c>
      <x:c r="F380" s="14" t="n">
        <x:v>17660</x:v>
      </x:c>
      <x:c r="G380" s="14" t="n">
        <x:v>16415</x:v>
      </x:c>
      <x:c r="H380" s="14" t="n">
        <x:f>INT((F380-D380)*(A380-C380)/(E380-C380))+D380</x:f>
        <x:v>16415</x:v>
      </x:c>
      <x:c r="I380" s="68" t="n">
        <x:f>H380-G380</x:f>
        <x:v>0</x:v>
      </x:c>
      <x:c r="J380" s="14" t="n">
        <x:v>106866</x:v>
      </x:c>
      <x:c r="K380" s="14" t="n">
        <x:f>INT(H380*'공식·설정'!$B$10/'공식·설정'!$B$15)</x:f>
        <x:v>106866</x:v>
      </x:c>
      <x:c r="L380" s="68" t="n">
        <x:f>K380-J380</x:f>
        <x:v>0</x:v>
      </x:c>
      <x:c r="M380" s="65" t="n">
        <x:f>J380/'공식·설정'!$B$7</x:f>
        <x:v>417.4453125</x:v>
      </x:c>
      <x:c r="N380" s="65" t="n">
        <x:f>K380/'공식·설정'!$B$7</x:f>
        <x:v>417.4453125</x:v>
      </x:c>
      <x:c r="O380" s="14" t="n">
        <x:v>42</x:v>
      </x:c>
      <x:c r="P380" s="14" t="n">
        <x:f>MIN(32767,MAX(0,INT((K380+INT('공식·설정'!$B$12/2))/'공식·설정'!$B$12)))</x:f>
        <x:v>42</x:v>
      </x:c>
      <x:c r="Q380" s="68" t="n">
        <x:f>P380-O380</x:f>
        <x:v>0</x:v>
      </x:c>
      <x:c r="R380" s="14" t="n">
        <x:v>115968</x:v>
      </x:c>
      <x:c r="S380" s="14" t="n">
        <x:f>P380*'공식·설정'!$B$12+'공식·설정'!$B$14</x:f>
        <x:v>115968</x:v>
      </x:c>
      <x:c r="T380" s="68" t="n">
        <x:f>S380-R380</x:f>
        <x:v>0</x:v>
      </x:c>
      <x:c r="U380" s="65" t="n">
        <x:f>R380/'공식·설정'!$B$7</x:f>
        <x:v>453</x:v>
      </x:c>
      <x:c r="V380" s="65" t="n">
        <x:f>S380/'공식·설정'!$B$7</x:f>
        <x:v>453</x:v>
      </x:c>
      <x:c r="W380" s="14" t="n">
        <x:v>710</x:v>
      </x:c>
      <x:c r="X380" s="14" t="n">
        <x:f>INT(ABS(K381-K380)*'공식·설정'!$B$8/K380)</x:f>
        <x:v>710</x:v>
      </x:c>
      <x:c r="Y380" s="68" t="n">
        <x:f>X380-W380</x:f>
        <x:v>0</x:v>
      </x:c>
      <x:c r="Z380" s="66" t="n">
        <x:f>W380/'공식·설정'!$B$8</x:f>
        <x:v>0.010833740234375</x:v>
      </x:c>
      <x:c r="AA380" s="66" t="n">
        <x:f>X380/'공식·설정'!$B$8</x:f>
        <x:v>0.010833740234375</x:v>
      </x:c>
      <x:c r="AB380" s="67" t="str">
        <x:f>IF(AND(I380=0,L380=0,Q380=0,T380=0,Y380=0),"PASS","FAIL")</x:f>
        <x:v>PASS</x:v>
      </x:c>
    </x:row>
    <x:row r="381" ht="18" customHeight="1">
      <x:c r="A381" s="14" t="n">
        <x:v>484</x:v>
      </x:c>
      <x:c r="B381" s="14" t="n">
        <x:v>376</x:v>
      </x:c>
      <x:c r="C381" s="14" t="n">
        <x:v>476</x:v>
      </x:c>
      <x:c r="D381" s="14" t="n">
        <x:v>15171</x:v>
      </x:c>
      <x:c r="E381" s="14" t="n">
        <x:v>490</x:v>
      </x:c>
      <x:c r="F381" s="14" t="n">
        <x:v>17660</x:v>
      </x:c>
      <x:c r="G381" s="14" t="n">
        <x:v>16593</x:v>
      </x:c>
      <x:c r="H381" s="14" t="n">
        <x:f>INT((F381-D381)*(A381-C381)/(E381-C381))+D381</x:f>
        <x:v>16593</x:v>
      </x:c>
      <x:c r="I381" s="68" t="n">
        <x:f>H381-G381</x:f>
        <x:v>0</x:v>
      </x:c>
      <x:c r="J381" s="14" t="n">
        <x:v>108025</x:v>
      </x:c>
      <x:c r="K381" s="14" t="n">
        <x:f>INT(H381*'공식·설정'!$B$10/'공식·설정'!$B$15)</x:f>
        <x:v>108025</x:v>
      </x:c>
      <x:c r="L381" s="68" t="n">
        <x:f>K381-J381</x:f>
        <x:v>0</x:v>
      </x:c>
      <x:c r="M381" s="65" t="n">
        <x:f>J381/'공식·설정'!$B$7</x:f>
        <x:v>421.97265625</x:v>
      </x:c>
      <x:c r="N381" s="65" t="n">
        <x:f>K381/'공식·설정'!$B$7</x:f>
        <x:v>421.97265625</x:v>
      </x:c>
      <x:c r="O381" s="14" t="n">
        <x:v>42</x:v>
      </x:c>
      <x:c r="P381" s="14" t="n">
        <x:f>MIN(32767,MAX(0,INT((K381+INT('공식·설정'!$B$12/2))/'공식·설정'!$B$12)))</x:f>
        <x:v>42</x:v>
      </x:c>
      <x:c r="Q381" s="68" t="n">
        <x:f>P381-O381</x:f>
        <x:v>0</x:v>
      </x:c>
      <x:c r="R381" s="14" t="n">
        <x:v>115968</x:v>
      </x:c>
      <x:c r="S381" s="14" t="n">
        <x:f>P381*'공식·설정'!$B$12+'공식·설정'!$B$14</x:f>
        <x:v>115968</x:v>
      </x:c>
      <x:c r="T381" s="68" t="n">
        <x:f>S381-R381</x:f>
        <x:v>0</x:v>
      </x:c>
      <x:c r="U381" s="65" t="n">
        <x:f>R381/'공식·설정'!$B$7</x:f>
        <x:v>453</x:v>
      </x:c>
      <x:c r="V381" s="65" t="n">
        <x:f>S381/'공식·설정'!$B$7</x:f>
        <x:v>453</x:v>
      </x:c>
      <x:c r="W381" s="14" t="n">
        <x:v>702</x:v>
      </x:c>
      <x:c r="X381" s="14" t="n">
        <x:f>INT(ABS(K382-K381)*'공식·설정'!$B$8/K381)</x:f>
        <x:v>702</x:v>
      </x:c>
      <x:c r="Y381" s="68" t="n">
        <x:f>X381-W381</x:f>
        <x:v>0</x:v>
      </x:c>
      <x:c r="Z381" s="66" t="n">
        <x:f>W381/'공식·설정'!$B$8</x:f>
        <x:v>0.010711669921875</x:v>
      </x:c>
      <x:c r="AA381" s="66" t="n">
        <x:f>X381/'공식·설정'!$B$8</x:f>
        <x:v>0.010711669921875</x:v>
      </x:c>
      <x:c r="AB381" s="67" t="str">
        <x:f>IF(AND(I381=0,L381=0,Q381=0,T381=0,Y381=0),"PASS","FAIL")</x:f>
        <x:v>PASS</x:v>
      </x:c>
    </x:row>
    <x:row r="382" ht="18" customHeight="1">
      <x:c r="A382" s="14" t="n">
        <x:v>485</x:v>
      </x:c>
      <x:c r="B382" s="14" t="n">
        <x:v>377</x:v>
      </x:c>
      <x:c r="C382" s="14" t="n">
        <x:v>476</x:v>
      </x:c>
      <x:c r="D382" s="14" t="n">
        <x:v>15171</x:v>
      </x:c>
      <x:c r="E382" s="14" t="n">
        <x:v>490</x:v>
      </x:c>
      <x:c r="F382" s="14" t="n">
        <x:v>17660</x:v>
      </x:c>
      <x:c r="G382" s="14" t="n">
        <x:v>16771</x:v>
      </x:c>
      <x:c r="H382" s="14" t="n">
        <x:f>INT((F382-D382)*(A382-C382)/(E382-C382))+D382</x:f>
        <x:v>16771</x:v>
      </x:c>
      <x:c r="I382" s="68" t="n">
        <x:f>H382-G382</x:f>
        <x:v>0</x:v>
      </x:c>
      <x:c r="J382" s="14" t="n">
        <x:v>109183</x:v>
      </x:c>
      <x:c r="K382" s="14" t="n">
        <x:f>INT(H382*'공식·설정'!$B$10/'공식·설정'!$B$15)</x:f>
        <x:v>109183</x:v>
      </x:c>
      <x:c r="L382" s="68" t="n">
        <x:f>K382-J382</x:f>
        <x:v>0</x:v>
      </x:c>
      <x:c r="M382" s="65" t="n">
        <x:f>J382/'공식·설정'!$B$7</x:f>
        <x:v>426.49609375</x:v>
      </x:c>
      <x:c r="N382" s="65" t="n">
        <x:f>K382/'공식·설정'!$B$7</x:f>
        <x:v>426.49609375</x:v>
      </x:c>
      <x:c r="O382" s="14" t="n">
        <x:v>43</x:v>
      </x:c>
      <x:c r="P382" s="14" t="n">
        <x:f>MIN(32767,MAX(0,INT((K382+INT('공식·설정'!$B$12/2))/'공식·설정'!$B$12)))</x:f>
        <x:v>43</x:v>
      </x:c>
      <x:c r="Q382" s="68" t="n">
        <x:f>P382-O382</x:f>
        <x:v>0</x:v>
      </x:c>
      <x:c r="R382" s="14" t="n">
        <x:v>118528</x:v>
      </x:c>
      <x:c r="S382" s="14" t="n">
        <x:f>P382*'공식·설정'!$B$12+'공식·설정'!$B$14</x:f>
        <x:v>118528</x:v>
      </x:c>
      <x:c r="T382" s="68" t="n">
        <x:f>S382-R382</x:f>
        <x:v>0</x:v>
      </x:c>
      <x:c r="U382" s="65" t="n">
        <x:f>R382/'공식·설정'!$B$7</x:f>
        <x:v>463</x:v>
      </x:c>
      <x:c r="V382" s="65" t="n">
        <x:f>S382/'공식·설정'!$B$7</x:f>
        <x:v>463</x:v>
      </x:c>
      <x:c r="W382" s="14" t="n">
        <x:v>692</x:v>
      </x:c>
      <x:c r="X382" s="14" t="n">
        <x:f>INT(ABS(K383-K382)*'공식·설정'!$B$8/K382)</x:f>
        <x:v>692</x:v>
      </x:c>
      <x:c r="Y382" s="68" t="n">
        <x:f>X382-W382</x:f>
        <x:v>0</x:v>
      </x:c>
      <x:c r="Z382" s="66" t="n">
        <x:f>W382/'공식·설정'!$B$8</x:f>
        <x:v>0.01055908203125</x:v>
      </x:c>
      <x:c r="AA382" s="66" t="n">
        <x:f>X382/'공식·설정'!$B$8</x:f>
        <x:v>0.01055908203125</x:v>
      </x:c>
      <x:c r="AB382" s="67" t="str">
        <x:f>IF(AND(I382=0,L382=0,Q382=0,T382=0,Y382=0),"PASS","FAIL")</x:f>
        <x:v>PASS</x:v>
      </x:c>
    </x:row>
    <x:row r="383" ht="18" customHeight="1">
      <x:c r="A383" s="14" t="n">
        <x:v>486</x:v>
      </x:c>
      <x:c r="B383" s="14" t="n">
        <x:v>378</x:v>
      </x:c>
      <x:c r="C383" s="14" t="n">
        <x:v>476</x:v>
      </x:c>
      <x:c r="D383" s="14" t="n">
        <x:v>15171</x:v>
      </x:c>
      <x:c r="E383" s="14" t="n">
        <x:v>490</x:v>
      </x:c>
      <x:c r="F383" s="14" t="n">
        <x:v>17660</x:v>
      </x:c>
      <x:c r="G383" s="14" t="n">
        <x:v>16948</x:v>
      </x:c>
      <x:c r="H383" s="14" t="n">
        <x:f>INT((F383-D383)*(A383-C383)/(E383-C383))+D383</x:f>
        <x:v>16948</x:v>
      </x:c>
      <x:c r="I383" s="68" t="n">
        <x:f>H383-G383</x:f>
        <x:v>0</x:v>
      </x:c>
      <x:c r="J383" s="14" t="n">
        <x:v>110336</x:v>
      </x:c>
      <x:c r="K383" s="14" t="n">
        <x:f>INT(H383*'공식·설정'!$B$10/'공식·설정'!$B$15)</x:f>
        <x:v>110336</x:v>
      </x:c>
      <x:c r="L383" s="68" t="n">
        <x:f>K383-J383</x:f>
        <x:v>0</x:v>
      </x:c>
      <x:c r="M383" s="65" t="n">
        <x:f>J383/'공식·설정'!$B$7</x:f>
        <x:v>431</x:v>
      </x:c>
      <x:c r="N383" s="65" t="n">
        <x:f>K383/'공식·설정'!$B$7</x:f>
        <x:v>431</x:v>
      </x:c>
      <x:c r="O383" s="14" t="n">
        <x:v>43</x:v>
      </x:c>
      <x:c r="P383" s="14" t="n">
        <x:f>MIN(32767,MAX(0,INT((K383+INT('공식·설정'!$B$12/2))/'공식·설정'!$B$12)))</x:f>
        <x:v>43</x:v>
      </x:c>
      <x:c r="Q383" s="68" t="n">
        <x:f>P383-O383</x:f>
        <x:v>0</x:v>
      </x:c>
      <x:c r="R383" s="14" t="n">
        <x:v>118528</x:v>
      </x:c>
      <x:c r="S383" s="14" t="n">
        <x:f>P383*'공식·설정'!$B$12+'공식·설정'!$B$14</x:f>
        <x:v>118528</x:v>
      </x:c>
      <x:c r="T383" s="68" t="n">
        <x:f>S383-R383</x:f>
        <x:v>0</x:v>
      </x:c>
      <x:c r="U383" s="65" t="n">
        <x:f>R383/'공식·설정'!$B$7</x:f>
        <x:v>463</x:v>
      </x:c>
      <x:c r="V383" s="65" t="n">
        <x:f>S383/'공식·설정'!$B$7</x:f>
        <x:v>463</x:v>
      </x:c>
      <x:c r="W383" s="14" t="n">
        <x:v>688</x:v>
      </x:c>
      <x:c r="X383" s="14" t="n">
        <x:f>INT(ABS(K384-K383)*'공식·설정'!$B$8/K383)</x:f>
        <x:v>688</x:v>
      </x:c>
      <x:c r="Y383" s="68" t="n">
        <x:f>X383-W383</x:f>
        <x:v>0</x:v>
      </x:c>
      <x:c r="Z383" s="66" t="n">
        <x:f>W383/'공식·설정'!$B$8</x:f>
        <x:v>0.010498046875</x:v>
      </x:c>
      <x:c r="AA383" s="66" t="n">
        <x:f>X383/'공식·설정'!$B$8</x:f>
        <x:v>0.010498046875</x:v>
      </x:c>
      <x:c r="AB383" s="67" t="str">
        <x:f>IF(AND(I383=0,L383=0,Q383=0,T383=0,Y383=0),"PASS","FAIL")</x:f>
        <x:v>PASS</x:v>
      </x:c>
    </x:row>
    <x:row r="384" ht="18" customHeight="1">
      <x:c r="A384" s="14" t="n">
        <x:v>487</x:v>
      </x:c>
      <x:c r="B384" s="14" t="n">
        <x:v>379</x:v>
      </x:c>
      <x:c r="C384" s="14" t="n">
        <x:v>476</x:v>
      </x:c>
      <x:c r="D384" s="14" t="n">
        <x:v>15171</x:v>
      </x:c>
      <x:c r="E384" s="14" t="n">
        <x:v>490</x:v>
      </x:c>
      <x:c r="F384" s="14" t="n">
        <x:v>17660</x:v>
      </x:c>
      <x:c r="G384" s="14" t="n">
        <x:v>17126</x:v>
      </x:c>
      <x:c r="H384" s="14" t="n">
        <x:f>INT((F384-D384)*(A384-C384)/(E384-C384))+D384</x:f>
        <x:v>17126</x:v>
      </x:c>
      <x:c r="I384" s="68" t="n">
        <x:f>H384-G384</x:f>
        <x:v>0</x:v>
      </x:c>
      <x:c r="J384" s="14" t="n">
        <x:v>111495</x:v>
      </x:c>
      <x:c r="K384" s="14" t="n">
        <x:f>INT(H384*'공식·설정'!$B$10/'공식·설정'!$B$15)</x:f>
        <x:v>111495</x:v>
      </x:c>
      <x:c r="L384" s="68" t="n">
        <x:f>K384-J384</x:f>
        <x:v>0</x:v>
      </x:c>
      <x:c r="M384" s="65" t="n">
        <x:f>J384/'공식·설정'!$B$7</x:f>
        <x:v>435.52734375</x:v>
      </x:c>
      <x:c r="N384" s="65" t="n">
        <x:f>K384/'공식·설정'!$B$7</x:f>
        <x:v>435.52734375</x:v>
      </x:c>
      <x:c r="O384" s="14" t="n">
        <x:v>44</x:v>
      </x:c>
      <x:c r="P384" s="14" t="n">
        <x:f>MIN(32767,MAX(0,INT((K384+INT('공식·설정'!$B$12/2))/'공식·설정'!$B$12)))</x:f>
        <x:v>44</x:v>
      </x:c>
      <x:c r="Q384" s="68" t="n">
        <x:f>P384-O384</x:f>
        <x:v>0</x:v>
      </x:c>
      <x:c r="R384" s="14" t="n">
        <x:v>121088</x:v>
      </x:c>
      <x:c r="S384" s="14" t="n">
        <x:f>P384*'공식·설정'!$B$12+'공식·설정'!$B$14</x:f>
        <x:v>121088</x:v>
      </x:c>
      <x:c r="T384" s="68" t="n">
        <x:f>S384-R384</x:f>
        <x:v>0</x:v>
      </x:c>
      <x:c r="U384" s="65" t="n">
        <x:f>R384/'공식·설정'!$B$7</x:f>
        <x:v>473</x:v>
      </x:c>
      <x:c r="V384" s="65" t="n">
        <x:f>S384/'공식·설정'!$B$7</x:f>
        <x:v>473</x:v>
      </x:c>
      <x:c r="W384" s="14" t="n">
        <x:v>680</x:v>
      </x:c>
      <x:c r="X384" s="14" t="n">
        <x:f>INT(ABS(K385-K384)*'공식·설정'!$B$8/K384)</x:f>
        <x:v>680</x:v>
      </x:c>
      <x:c r="Y384" s="68" t="n">
        <x:f>X384-W384</x:f>
        <x:v>0</x:v>
      </x:c>
      <x:c r="Z384" s="66" t="n">
        <x:f>W384/'공식·설정'!$B$8</x:f>
        <x:v>0.0103759765625</x:v>
      </x:c>
      <x:c r="AA384" s="66" t="n">
        <x:f>X384/'공식·설정'!$B$8</x:f>
        <x:v>0.0103759765625</x:v>
      </x:c>
      <x:c r="AB384" s="67" t="str">
        <x:f>IF(AND(I384=0,L384=0,Q384=0,T384=0,Y384=0),"PASS","FAIL")</x:f>
        <x:v>PASS</x:v>
      </x:c>
    </x:row>
    <x:row r="385" ht="18" customHeight="1">
      <x:c r="A385" s="14" t="n">
        <x:v>488</x:v>
      </x:c>
      <x:c r="B385" s="14" t="n">
        <x:v>380</x:v>
      </x:c>
      <x:c r="C385" s="14" t="n">
        <x:v>476</x:v>
      </x:c>
      <x:c r="D385" s="14" t="n">
        <x:v>15171</x:v>
      </x:c>
      <x:c r="E385" s="14" t="n">
        <x:v>490</x:v>
      </x:c>
      <x:c r="F385" s="14" t="n">
        <x:v>17660</x:v>
      </x:c>
      <x:c r="G385" s="14" t="n">
        <x:v>17304</x:v>
      </x:c>
      <x:c r="H385" s="14" t="n">
        <x:f>INT((F385-D385)*(A385-C385)/(E385-C385))+D385</x:f>
        <x:v>17304</x:v>
      </x:c>
      <x:c r="I385" s="68" t="n">
        <x:f>H385-G385</x:f>
        <x:v>0</x:v>
      </x:c>
      <x:c r="J385" s="14" t="n">
        <x:v>112653</x:v>
      </x:c>
      <x:c r="K385" s="14" t="n">
        <x:f>INT(H385*'공식·설정'!$B$10/'공식·설정'!$B$15)</x:f>
        <x:v>112653</x:v>
      </x:c>
      <x:c r="L385" s="68" t="n">
        <x:f>K385-J385</x:f>
        <x:v>0</x:v>
      </x:c>
      <x:c r="M385" s="65" t="n">
        <x:f>J385/'공식·설정'!$B$7</x:f>
        <x:v>440.05078125</x:v>
      </x:c>
      <x:c r="N385" s="65" t="n">
        <x:f>K385/'공식·설정'!$B$7</x:f>
        <x:v>440.05078125</x:v>
      </x:c>
      <x:c r="O385" s="14" t="n">
        <x:v>44</x:v>
      </x:c>
      <x:c r="P385" s="14" t="n">
        <x:f>MIN(32767,MAX(0,INT((K385+INT('공식·설정'!$B$12/2))/'공식·설정'!$B$12)))</x:f>
        <x:v>44</x:v>
      </x:c>
      <x:c r="Q385" s="68" t="n">
        <x:f>P385-O385</x:f>
        <x:v>0</x:v>
      </x:c>
      <x:c r="R385" s="14" t="n">
        <x:v>121088</x:v>
      </x:c>
      <x:c r="S385" s="14" t="n">
        <x:f>P385*'공식·설정'!$B$12+'공식·설정'!$B$14</x:f>
        <x:v>121088</x:v>
      </x:c>
      <x:c r="T385" s="68" t="n">
        <x:f>S385-R385</x:f>
        <x:v>0</x:v>
      </x:c>
      <x:c r="U385" s="65" t="n">
        <x:f>R385/'공식·설정'!$B$7</x:f>
        <x:v>473</x:v>
      </x:c>
      <x:c r="V385" s="65" t="n">
        <x:f>S385/'공식·설정'!$B$7</x:f>
        <x:v>473</x:v>
      </x:c>
      <x:c r="W385" s="14" t="n">
        <x:v>674</x:v>
      </x:c>
      <x:c r="X385" s="14" t="n">
        <x:f>INT(ABS(K386-K385)*'공식·설정'!$B$8/K385)</x:f>
        <x:v>674</x:v>
      </x:c>
      <x:c r="Y385" s="68" t="n">
        <x:f>X385-W385</x:f>
        <x:v>0</x:v>
      </x:c>
      <x:c r="Z385" s="66" t="n">
        <x:f>W385/'공식·설정'!$B$8</x:f>
        <x:v>0.010284423828125</x:v>
      </x:c>
      <x:c r="AA385" s="66" t="n">
        <x:f>X385/'공식·설정'!$B$8</x:f>
        <x:v>0.010284423828125</x:v>
      </x:c>
      <x:c r="AB385" s="67" t="str">
        <x:f>IF(AND(I385=0,L385=0,Q385=0,T385=0,Y385=0),"PASS","FAIL")</x:f>
        <x:v>PASS</x:v>
      </x:c>
    </x:row>
    <x:row r="386" ht="18" customHeight="1">
      <x:c r="A386" s="14" t="n">
        <x:v>489</x:v>
      </x:c>
      <x:c r="B386" s="14" t="n">
        <x:v>381</x:v>
      </x:c>
      <x:c r="C386" s="14" t="n">
        <x:v>476</x:v>
      </x:c>
      <x:c r="D386" s="14" t="n">
        <x:v>15171</x:v>
      </x:c>
      <x:c r="E386" s="14" t="n">
        <x:v>490</x:v>
      </x:c>
      <x:c r="F386" s="14" t="n">
        <x:v>17660</x:v>
      </x:c>
      <x:c r="G386" s="14" t="n">
        <x:v>17482</x:v>
      </x:c>
      <x:c r="H386" s="14" t="n">
        <x:f>INT((F386-D386)*(A386-C386)/(E386-C386))+D386</x:f>
        <x:v>17482</x:v>
      </x:c>
      <x:c r="I386" s="68" t="n">
        <x:f>H386-G386</x:f>
        <x:v>0</x:v>
      </x:c>
      <x:c r="J386" s="14" t="n">
        <x:v>113812</x:v>
      </x:c>
      <x:c r="K386" s="14" t="n">
        <x:f>INT(H386*'공식·설정'!$B$10/'공식·설정'!$B$15)</x:f>
        <x:v>113812</x:v>
      </x:c>
      <x:c r="L386" s="68" t="n">
        <x:f>K386-J386</x:f>
        <x:v>0</x:v>
      </x:c>
      <x:c r="M386" s="65" t="n">
        <x:f>J386/'공식·설정'!$B$7</x:f>
        <x:v>444.578125</x:v>
      </x:c>
      <x:c r="N386" s="65" t="n">
        <x:f>K386/'공식·설정'!$B$7</x:f>
        <x:v>444.578125</x:v>
      </x:c>
      <x:c r="O386" s="14" t="n">
        <x:v>44</x:v>
      </x:c>
      <x:c r="P386" s="14" t="n">
        <x:f>MIN(32767,MAX(0,INT((K386+INT('공식·설정'!$B$12/2))/'공식·설정'!$B$12)))</x:f>
        <x:v>44</x:v>
      </x:c>
      <x:c r="Q386" s="68" t="n">
        <x:f>P386-O386</x:f>
        <x:v>0</x:v>
      </x:c>
      <x:c r="R386" s="14" t="n">
        <x:v>121088</x:v>
      </x:c>
      <x:c r="S386" s="14" t="n">
        <x:f>P386*'공식·설정'!$B$12+'공식·설정'!$B$14</x:f>
        <x:v>121088</x:v>
      </x:c>
      <x:c r="T386" s="68" t="n">
        <x:f>S386-R386</x:f>
        <x:v>0</x:v>
      </x:c>
      <x:c r="U386" s="65" t="n">
        <x:f>R386/'공식·설정'!$B$7</x:f>
        <x:v>473</x:v>
      </x:c>
      <x:c r="V386" s="65" t="n">
        <x:f>S386/'공식·설정'!$B$7</x:f>
        <x:v>473</x:v>
      </x:c>
      <x:c r="W386" s="14" t="n">
        <x:v>667</x:v>
      </x:c>
      <x:c r="X386" s="14" t="n">
        <x:f>INT(ABS(K387-K386)*'공식·설정'!$B$8/K386)</x:f>
        <x:v>667</x:v>
      </x:c>
      <x:c r="Y386" s="68" t="n">
        <x:f>X386-W386</x:f>
        <x:v>0</x:v>
      </x:c>
      <x:c r="Z386" s="66" t="n">
        <x:f>W386/'공식·설정'!$B$8</x:f>
        <x:v>0.0101776123046875</x:v>
      </x:c>
      <x:c r="AA386" s="66" t="n">
        <x:f>X386/'공식·설정'!$B$8</x:f>
        <x:v>0.0101776123046875</x:v>
      </x:c>
      <x:c r="AB386" s="67" t="str">
        <x:f>IF(AND(I386=0,L386=0,Q386=0,T386=0,Y386=0),"PASS","FAIL")</x:f>
        <x:v>PASS</x:v>
      </x:c>
    </x:row>
    <x:row r="387" ht="18" customHeight="1">
      <x:c r="A387" s="14" t="n">
        <x:v>490</x:v>
      </x:c>
      <x:c r="B387" s="14" t="n">
        <x:v>382</x:v>
      </x:c>
      <x:c r="C387" s="14" t="n">
        <x:v>490</x:v>
      </x:c>
      <x:c r="D387" s="14" t="n">
        <x:v>17660</x:v>
      </x:c>
      <x:c r="E387" s="14" t="n">
        <x:v>504</x:v>
      </x:c>
      <x:c r="F387" s="14" t="n">
        <x:v>20555</x:v>
      </x:c>
      <x:c r="G387" s="14" t="n">
        <x:v>17660</x:v>
      </x:c>
      <x:c r="H387" s="14" t="n">
        <x:f>INT((F387-D387)*(A387-C387)/(E387-C387))+D387</x:f>
        <x:v>17660</x:v>
      </x:c>
      <x:c r="I387" s="68" t="n">
        <x:f>H387-G387</x:f>
        <x:v>0</x:v>
      </x:c>
      <x:c r="J387" s="14" t="n">
        <x:v>114971</x:v>
      </x:c>
      <x:c r="K387" s="14" t="n">
        <x:f>INT(H387*'공식·설정'!$B$10/'공식·설정'!$B$15)</x:f>
        <x:v>114971</x:v>
      </x:c>
      <x:c r="L387" s="68" t="n">
        <x:f>K387-J387</x:f>
        <x:v>0</x:v>
      </x:c>
      <x:c r="M387" s="65" t="n">
        <x:f>J387/'공식·설정'!$B$7</x:f>
        <x:v>449.10546875</x:v>
      </x:c>
      <x:c r="N387" s="65" t="n">
        <x:f>K387/'공식·설정'!$B$7</x:f>
        <x:v>449.10546875</x:v>
      </x:c>
      <x:c r="O387" s="14" t="n">
        <x:v>45</x:v>
      </x:c>
      <x:c r="P387" s="14" t="n">
        <x:f>MIN(32767,MAX(0,INT((K387+INT('공식·설정'!$B$12/2))/'공식·설정'!$B$12)))</x:f>
        <x:v>45</x:v>
      </x:c>
      <x:c r="Q387" s="68" t="n">
        <x:f>P387-O387</x:f>
        <x:v>0</x:v>
      </x:c>
      <x:c r="R387" s="14" t="n">
        <x:v>123648</x:v>
      </x:c>
      <x:c r="S387" s="14" t="n">
        <x:f>P387*'공식·설정'!$B$12+'공식·설정'!$B$14</x:f>
        <x:v>123648</x:v>
      </x:c>
      <x:c r="T387" s="68" t="n">
        <x:f>S387-R387</x:f>
        <x:v>0</x:v>
      </x:c>
      <x:c r="U387" s="65" t="n">
        <x:f>R387/'공식·설정'!$B$7</x:f>
        <x:v>483</x:v>
      </x:c>
      <x:c r="V387" s="65" t="n">
        <x:f>S387/'공식·설정'!$B$7</x:f>
        <x:v>483</x:v>
      </x:c>
      <x:c r="W387" s="14" t="n">
        <x:v>764</x:v>
      </x:c>
      <x:c r="X387" s="14" t="n">
        <x:f>INT(ABS(K388-K387)*'공식·설정'!$B$8/K387)</x:f>
        <x:v>764</x:v>
      </x:c>
      <x:c r="Y387" s="68" t="n">
        <x:f>X387-W387</x:f>
        <x:v>0</x:v>
      </x:c>
      <x:c r="Z387" s="66" t="n">
        <x:f>W387/'공식·설정'!$B$8</x:f>
        <x:v>0.01165771484375</x:v>
      </x:c>
      <x:c r="AA387" s="66" t="n">
        <x:f>X387/'공식·설정'!$B$8</x:f>
        <x:v>0.01165771484375</x:v>
      </x:c>
      <x:c r="AB387" s="67" t="str">
        <x:f>IF(AND(I387=0,L387=0,Q387=0,T387=0,Y387=0),"PASS","FAIL")</x:f>
        <x:v>PASS</x:v>
      </x:c>
    </x:row>
    <x:row r="388" ht="18" customHeight="1">
      <x:c r="A388" s="14" t="n">
        <x:v>491</x:v>
      </x:c>
      <x:c r="B388" s="14" t="n">
        <x:v>383</x:v>
      </x:c>
      <x:c r="C388" s="14" t="n">
        <x:v>490</x:v>
      </x:c>
      <x:c r="D388" s="14" t="n">
        <x:v>17660</x:v>
      </x:c>
      <x:c r="E388" s="14" t="n">
        <x:v>504</x:v>
      </x:c>
      <x:c r="F388" s="14" t="n">
        <x:v>20555</x:v>
      </x:c>
      <x:c r="G388" s="14" t="n">
        <x:v>17866</x:v>
      </x:c>
      <x:c r="H388" s="14" t="n">
        <x:f>INT((F388-D388)*(A388-C388)/(E388-C388))+D388</x:f>
        <x:v>17866</x:v>
      </x:c>
      <x:c r="I388" s="68" t="n">
        <x:f>H388-G388</x:f>
        <x:v>0</x:v>
      </x:c>
      <x:c r="J388" s="14" t="n">
        <x:v>116312</x:v>
      </x:c>
      <x:c r="K388" s="14" t="n">
        <x:f>INT(H388*'공식·설정'!$B$10/'공식·설정'!$B$15)</x:f>
        <x:v>116312</x:v>
      </x:c>
      <x:c r="L388" s="68" t="n">
        <x:f>K388-J388</x:f>
        <x:v>0</x:v>
      </x:c>
      <x:c r="M388" s="65" t="n">
        <x:f>J388/'공식·설정'!$B$7</x:f>
        <x:v>454.34375</x:v>
      </x:c>
      <x:c r="N388" s="65" t="n">
        <x:f>K388/'공식·설정'!$B$7</x:f>
        <x:v>454.34375</x:v>
      </x:c>
      <x:c r="O388" s="14" t="n">
        <x:v>45</x:v>
      </x:c>
      <x:c r="P388" s="14" t="n">
        <x:f>MIN(32767,MAX(0,INT((K388+INT('공식·설정'!$B$12/2))/'공식·설정'!$B$12)))</x:f>
        <x:v>45</x:v>
      </x:c>
      <x:c r="Q388" s="68" t="n">
        <x:f>P388-O388</x:f>
        <x:v>0</x:v>
      </x:c>
      <x:c r="R388" s="14" t="n">
        <x:v>123648</x:v>
      </x:c>
      <x:c r="S388" s="14" t="n">
        <x:f>P388*'공식·설정'!$B$12+'공식·설정'!$B$14</x:f>
        <x:v>123648</x:v>
      </x:c>
      <x:c r="T388" s="68" t="n">
        <x:f>S388-R388</x:f>
        <x:v>0</x:v>
      </x:c>
      <x:c r="U388" s="65" t="n">
        <x:f>R388/'공식·설정'!$B$7</x:f>
        <x:v>483</x:v>
      </x:c>
      <x:c r="V388" s="65" t="n">
        <x:f>S388/'공식·설정'!$B$7</x:f>
        <x:v>483</x:v>
      </x:c>
      <x:c r="W388" s="14" t="n">
        <x:v>759</x:v>
      </x:c>
      <x:c r="X388" s="14" t="n">
        <x:f>INT(ABS(K389-K388)*'공식·설정'!$B$8/K388)</x:f>
        <x:v>759</x:v>
      </x:c>
      <x:c r="Y388" s="68" t="n">
        <x:f>X388-W388</x:f>
        <x:v>0</x:v>
      </x:c>
      <x:c r="Z388" s="66" t="n">
        <x:f>W388/'공식·설정'!$B$8</x:f>
        <x:v>0.0115814208984375</x:v>
      </x:c>
      <x:c r="AA388" s="66" t="n">
        <x:f>X388/'공식·설정'!$B$8</x:f>
        <x:v>0.0115814208984375</x:v>
      </x:c>
      <x:c r="AB388" s="67" t="str">
        <x:f>IF(AND(I388=0,L388=0,Q388=0,T388=0,Y388=0),"PASS","FAIL")</x:f>
        <x:v>PASS</x:v>
      </x:c>
    </x:row>
    <x:row r="389" ht="18" customHeight="1">
      <x:c r="A389" s="14" t="n">
        <x:v>492</x:v>
      </x:c>
      <x:c r="B389" s="14" t="n">
        <x:v>384</x:v>
      </x:c>
      <x:c r="C389" s="14" t="n">
        <x:v>490</x:v>
      </x:c>
      <x:c r="D389" s="14" t="n">
        <x:v>17660</x:v>
      </x:c>
      <x:c r="E389" s="14" t="n">
        <x:v>504</x:v>
      </x:c>
      <x:c r="F389" s="14" t="n">
        <x:v>20555</x:v>
      </x:c>
      <x:c r="G389" s="14" t="n">
        <x:v>18073</x:v>
      </x:c>
      <x:c r="H389" s="14" t="n">
        <x:f>INT((F389-D389)*(A389-C389)/(E389-C389))+D389</x:f>
        <x:v>18073</x:v>
      </x:c>
      <x:c r="I389" s="68" t="n">
        <x:f>H389-G389</x:f>
        <x:v>0</x:v>
      </x:c>
      <x:c r="J389" s="14" t="n">
        <x:v>117660</x:v>
      </x:c>
      <x:c r="K389" s="14" t="n">
        <x:f>INT(H389*'공식·설정'!$B$10/'공식·설정'!$B$15)</x:f>
        <x:v>117660</x:v>
      </x:c>
      <x:c r="L389" s="68" t="n">
        <x:f>K389-J389</x:f>
        <x:v>0</x:v>
      </x:c>
      <x:c r="M389" s="65" t="n">
        <x:f>J389/'공식·설정'!$B$7</x:f>
        <x:v>459.609375</x:v>
      </x:c>
      <x:c r="N389" s="65" t="n">
        <x:f>K389/'공식·설정'!$B$7</x:f>
        <x:v>459.609375</x:v>
      </x:c>
      <x:c r="O389" s="14" t="n">
        <x:v>46</x:v>
      </x:c>
      <x:c r="P389" s="14" t="n">
        <x:f>MIN(32767,MAX(0,INT((K389+INT('공식·설정'!$B$12/2))/'공식·설정'!$B$12)))</x:f>
        <x:v>46</x:v>
      </x:c>
      <x:c r="Q389" s="68" t="n">
        <x:f>P389-O389</x:f>
        <x:v>0</x:v>
      </x:c>
      <x:c r="R389" s="14" t="n">
        <x:v>126208</x:v>
      </x:c>
      <x:c r="S389" s="14" t="n">
        <x:f>P389*'공식·설정'!$B$12+'공식·설정'!$B$14</x:f>
        <x:v>126208</x:v>
      </x:c>
      <x:c r="T389" s="68" t="n">
        <x:f>S389-R389</x:f>
        <x:v>0</x:v>
      </x:c>
      <x:c r="U389" s="65" t="n">
        <x:f>R389/'공식·설정'!$B$7</x:f>
        <x:v>493</x:v>
      </x:c>
      <x:c r="V389" s="65" t="n">
        <x:f>S389/'공식·설정'!$B$7</x:f>
        <x:v>493</x:v>
      </x:c>
      <x:c r="W389" s="14" t="n">
        <x:v>750</x:v>
      </x:c>
      <x:c r="X389" s="14" t="n">
        <x:f>INT(ABS(K390-K389)*'공식·설정'!$B$8/K389)</x:f>
        <x:v>750</x:v>
      </x:c>
      <x:c r="Y389" s="68" t="n">
        <x:f>X389-W389</x:f>
        <x:v>0</x:v>
      </x:c>
      <x:c r="Z389" s="66" t="n">
        <x:f>W389/'공식·설정'!$B$8</x:f>
        <x:v>0.011444091796875</x:v>
      </x:c>
      <x:c r="AA389" s="66" t="n">
        <x:f>X389/'공식·설정'!$B$8</x:f>
        <x:v>0.011444091796875</x:v>
      </x:c>
      <x:c r="AB389" s="67" t="str">
        <x:f>IF(AND(I389=0,L389=0,Q389=0,T389=0,Y389=0),"PASS","FAIL")</x:f>
        <x:v>PASS</x:v>
      </x:c>
    </x:row>
    <x:row r="390" ht="18" customHeight="1">
      <x:c r="A390" s="14" t="n">
        <x:v>493</x:v>
      </x:c>
      <x:c r="B390" s="14" t="n">
        <x:v>385</x:v>
      </x:c>
      <x:c r="C390" s="14" t="n">
        <x:v>490</x:v>
      </x:c>
      <x:c r="D390" s="14" t="n">
        <x:v>17660</x:v>
      </x:c>
      <x:c r="E390" s="14" t="n">
        <x:v>504</x:v>
      </x:c>
      <x:c r="F390" s="14" t="n">
        <x:v>20555</x:v>
      </x:c>
      <x:c r="G390" s="14" t="n">
        <x:v>18280</x:v>
      </x:c>
      <x:c r="H390" s="14" t="n">
        <x:f>INT((F390-D390)*(A390-C390)/(E390-C390))+D390</x:f>
        <x:v>18280</x:v>
      </x:c>
      <x:c r="I390" s="68" t="n">
        <x:f>H390-G390</x:f>
        <x:v>0</x:v>
      </x:c>
      <x:c r="J390" s="14" t="n">
        <x:v>119007</x:v>
      </x:c>
      <x:c r="K390" s="14" t="n">
        <x:f>INT(H390*'공식·설정'!$B$10/'공식·설정'!$B$15)</x:f>
        <x:v>119007</x:v>
      </x:c>
      <x:c r="L390" s="68" t="n">
        <x:f>K390-J390</x:f>
        <x:v>0</x:v>
      </x:c>
      <x:c r="M390" s="65" t="n">
        <x:f>J390/'공식·설정'!$B$7</x:f>
        <x:v>464.87109375</x:v>
      </x:c>
      <x:c r="N390" s="65" t="n">
        <x:f>K390/'공식·설정'!$B$7</x:f>
        <x:v>464.87109375</x:v>
      </x:c>
      <x:c r="O390" s="14" t="n">
        <x:v>46</x:v>
      </x:c>
      <x:c r="P390" s="14" t="n">
        <x:f>MIN(32767,MAX(0,INT((K390+INT('공식·설정'!$B$12/2))/'공식·설정'!$B$12)))</x:f>
        <x:v>46</x:v>
      </x:c>
      <x:c r="Q390" s="68" t="n">
        <x:f>P390-O390</x:f>
        <x:v>0</x:v>
      </x:c>
      <x:c r="R390" s="14" t="n">
        <x:v>126208</x:v>
      </x:c>
      <x:c r="S390" s="14" t="n">
        <x:f>P390*'공식·설정'!$B$12+'공식·설정'!$B$14</x:f>
        <x:v>126208</x:v>
      </x:c>
      <x:c r="T390" s="68" t="n">
        <x:f>S390-R390</x:f>
        <x:v>0</x:v>
      </x:c>
      <x:c r="U390" s="65" t="n">
        <x:f>R390/'공식·설정'!$B$7</x:f>
        <x:v>493</x:v>
      </x:c>
      <x:c r="V390" s="65" t="n">
        <x:f>S390/'공식·설정'!$B$7</x:f>
        <x:v>493</x:v>
      </x:c>
      <x:c r="W390" s="14" t="n">
        <x:v>742</x:v>
      </x:c>
      <x:c r="X390" s="14" t="n">
        <x:f>INT(ABS(K391-K390)*'공식·설정'!$B$8/K390)</x:f>
        <x:v>742</x:v>
      </x:c>
      <x:c r="Y390" s="68" t="n">
        <x:f>X390-W390</x:f>
        <x:v>0</x:v>
      </x:c>
      <x:c r="Z390" s="66" t="n">
        <x:f>W390/'공식·설정'!$B$8</x:f>
        <x:v>0.011322021484375</x:v>
      </x:c>
      <x:c r="AA390" s="66" t="n">
        <x:f>X390/'공식·설정'!$B$8</x:f>
        <x:v>0.011322021484375</x:v>
      </x:c>
      <x:c r="AB390" s="67" t="str">
        <x:f>IF(AND(I390=0,L390=0,Q390=0,T390=0,Y390=0),"PASS","FAIL")</x:f>
        <x:v>PASS</x:v>
      </x:c>
    </x:row>
    <x:row r="391" ht="18" customHeight="1">
      <x:c r="A391" s="14" t="n">
        <x:v>494</x:v>
      </x:c>
      <x:c r="B391" s="14" t="n">
        <x:v>386</x:v>
      </x:c>
      <x:c r="C391" s="14" t="n">
        <x:v>490</x:v>
      </x:c>
      <x:c r="D391" s="14" t="n">
        <x:v>17660</x:v>
      </x:c>
      <x:c r="E391" s="14" t="n">
        <x:v>504</x:v>
      </x:c>
      <x:c r="F391" s="14" t="n">
        <x:v>20555</x:v>
      </x:c>
      <x:c r="G391" s="14" t="n">
        <x:v>18487</x:v>
      </x:c>
      <x:c r="H391" s="14" t="n">
        <x:f>INT((F391-D391)*(A391-C391)/(E391-C391))+D391</x:f>
        <x:v>18487</x:v>
      </x:c>
      <x:c r="I391" s="68" t="n">
        <x:f>H391-G391</x:f>
        <x:v>0</x:v>
      </x:c>
      <x:c r="J391" s="14" t="n">
        <x:v>120355</x:v>
      </x:c>
      <x:c r="K391" s="14" t="n">
        <x:f>INT(H391*'공식·설정'!$B$10/'공식·설정'!$B$15)</x:f>
        <x:v>120355</x:v>
      </x:c>
      <x:c r="L391" s="68" t="n">
        <x:f>K391-J391</x:f>
        <x:v>0</x:v>
      </x:c>
      <x:c r="M391" s="65" t="n">
        <x:f>J391/'공식·설정'!$B$7</x:f>
        <x:v>470.13671875</x:v>
      </x:c>
      <x:c r="N391" s="65" t="n">
        <x:f>K391/'공식·설정'!$B$7</x:f>
        <x:v>470.13671875</x:v>
      </x:c>
      <x:c r="O391" s="14" t="n">
        <x:v>47</x:v>
      </x:c>
      <x:c r="P391" s="14" t="n">
        <x:f>MIN(32767,MAX(0,INT((K391+INT('공식·설정'!$B$12/2))/'공식·설정'!$B$12)))</x:f>
        <x:v>47</x:v>
      </x:c>
      <x:c r="Q391" s="68" t="n">
        <x:f>P391-O391</x:f>
        <x:v>0</x:v>
      </x:c>
      <x:c r="R391" s="14" t="n">
        <x:v>128768</x:v>
      </x:c>
      <x:c r="S391" s="14" t="n">
        <x:f>P391*'공식·설정'!$B$12+'공식·설정'!$B$14</x:f>
        <x:v>128768</x:v>
      </x:c>
      <x:c r="T391" s="68" t="n">
        <x:f>S391-R391</x:f>
        <x:v>0</x:v>
      </x:c>
      <x:c r="U391" s="65" t="n">
        <x:f>R391/'공식·설정'!$B$7</x:f>
        <x:v>503</x:v>
      </x:c>
      <x:c r="V391" s="65" t="n">
        <x:f>S391/'공식·설정'!$B$7</x:f>
        <x:v>503</x:v>
      </x:c>
      <x:c r="W391" s="14" t="n">
        <x:v>730</x:v>
      </x:c>
      <x:c r="X391" s="14" t="n">
        <x:f>INT(ABS(K392-K391)*'공식·설정'!$B$8/K391)</x:f>
        <x:v>730</x:v>
      </x:c>
      <x:c r="Y391" s="68" t="n">
        <x:f>X391-W391</x:f>
        <x:v>0</x:v>
      </x:c>
      <x:c r="Z391" s="66" t="n">
        <x:f>W391/'공식·설정'!$B$8</x:f>
        <x:v>0.011138916015625</x:v>
      </x:c>
      <x:c r="AA391" s="66" t="n">
        <x:f>X391/'공식·설정'!$B$8</x:f>
        <x:v>0.011138916015625</x:v>
      </x:c>
      <x:c r="AB391" s="67" t="str">
        <x:f>IF(AND(I391=0,L391=0,Q391=0,T391=0,Y391=0),"PASS","FAIL")</x:f>
        <x:v>PASS</x:v>
      </x:c>
    </x:row>
    <x:row r="392" ht="18" customHeight="1">
      <x:c r="A392" s="14" t="n">
        <x:v>495</x:v>
      </x:c>
      <x:c r="B392" s="14" t="n">
        <x:v>387</x:v>
      </x:c>
      <x:c r="C392" s="14" t="n">
        <x:v>490</x:v>
      </x:c>
      <x:c r="D392" s="14" t="n">
        <x:v>17660</x:v>
      </x:c>
      <x:c r="E392" s="14" t="n">
        <x:v>504</x:v>
      </x:c>
      <x:c r="F392" s="14" t="n">
        <x:v>20555</x:v>
      </x:c>
      <x:c r="G392" s="14" t="n">
        <x:v>18693</x:v>
      </x:c>
      <x:c r="H392" s="14" t="n">
        <x:f>INT((F392-D392)*(A392-C392)/(E392-C392))+D392</x:f>
        <x:v>18693</x:v>
      </x:c>
      <x:c r="I392" s="68" t="n">
        <x:f>H392-G392</x:f>
        <x:v>0</x:v>
      </x:c>
      <x:c r="J392" s="14" t="n">
        <x:v>121696</x:v>
      </x:c>
      <x:c r="K392" s="14" t="n">
        <x:f>INT(H392*'공식·설정'!$B$10/'공식·설정'!$B$15)</x:f>
        <x:v>121696</x:v>
      </x:c>
      <x:c r="L392" s="68" t="n">
        <x:f>K392-J392</x:f>
        <x:v>0</x:v>
      </x:c>
      <x:c r="M392" s="65" t="n">
        <x:f>J392/'공식·설정'!$B$7</x:f>
        <x:v>475.375</x:v>
      </x:c>
      <x:c r="N392" s="65" t="n">
        <x:f>K392/'공식·설정'!$B$7</x:f>
        <x:v>475.375</x:v>
      </x:c>
      <x:c r="O392" s="14" t="n">
        <x:v>48</x:v>
      </x:c>
      <x:c r="P392" s="14" t="n">
        <x:f>MIN(32767,MAX(0,INT((K392+INT('공식·설정'!$B$12/2))/'공식·설정'!$B$12)))</x:f>
        <x:v>48</x:v>
      </x:c>
      <x:c r="Q392" s="68" t="n">
        <x:f>P392-O392</x:f>
        <x:v>0</x:v>
      </x:c>
      <x:c r="R392" s="14" t="n">
        <x:v>131328</x:v>
      </x:c>
      <x:c r="S392" s="14" t="n">
        <x:f>P392*'공식·설정'!$B$12+'공식·설정'!$B$14</x:f>
        <x:v>131328</x:v>
      </x:c>
      <x:c r="T392" s="68" t="n">
        <x:f>S392-R392</x:f>
        <x:v>0</x:v>
      </x:c>
      <x:c r="U392" s="65" t="n">
        <x:f>R392/'공식·설정'!$B$7</x:f>
        <x:v>513</x:v>
      </x:c>
      <x:c r="V392" s="65" t="n">
        <x:f>S392/'공식·설정'!$B$7</x:f>
        <x:v>513</x:v>
      </x:c>
      <x:c r="W392" s="14" t="n">
        <x:v>725</x:v>
      </x:c>
      <x:c r="X392" s="14" t="n">
        <x:f>INT(ABS(K393-K392)*'공식·설정'!$B$8/K392)</x:f>
        <x:v>725</x:v>
      </x:c>
      <x:c r="Y392" s="68" t="n">
        <x:f>X392-W392</x:f>
        <x:v>0</x:v>
      </x:c>
      <x:c r="Z392" s="66" t="n">
        <x:f>W392/'공식·설정'!$B$8</x:f>
        <x:v>0.0110626220703125</x:v>
      </x:c>
      <x:c r="AA392" s="66" t="n">
        <x:f>X392/'공식·설정'!$B$8</x:f>
        <x:v>0.0110626220703125</x:v>
      </x:c>
      <x:c r="AB392" s="67" t="str">
        <x:f>IF(AND(I392=0,L392=0,Q392=0,T392=0,Y392=0),"PASS","FAIL")</x:f>
        <x:v>PASS</x:v>
      </x:c>
    </x:row>
    <x:row r="393" ht="18" customHeight="1">
      <x:c r="A393" s="14" t="n">
        <x:v>496</x:v>
      </x:c>
      <x:c r="B393" s="14" t="n">
        <x:v>388</x:v>
      </x:c>
      <x:c r="C393" s="14" t="n">
        <x:v>490</x:v>
      </x:c>
      <x:c r="D393" s="14" t="n">
        <x:v>17660</x:v>
      </x:c>
      <x:c r="E393" s="14" t="n">
        <x:v>504</x:v>
      </x:c>
      <x:c r="F393" s="14" t="n">
        <x:v>20555</x:v>
      </x:c>
      <x:c r="G393" s="14" t="n">
        <x:v>18900</x:v>
      </x:c>
      <x:c r="H393" s="14" t="n">
        <x:f>INT((F393-D393)*(A393-C393)/(E393-C393))+D393</x:f>
        <x:v>18900</x:v>
      </x:c>
      <x:c r="I393" s="68" t="n">
        <x:f>H393-G393</x:f>
        <x:v>0</x:v>
      </x:c>
      <x:c r="J393" s="14" t="n">
        <x:v>123044</x:v>
      </x:c>
      <x:c r="K393" s="14" t="n">
        <x:f>INT(H393*'공식·설정'!$B$10/'공식·설정'!$B$15)</x:f>
        <x:v>123044</x:v>
      </x:c>
      <x:c r="L393" s="68" t="n">
        <x:f>K393-J393</x:f>
        <x:v>0</x:v>
      </x:c>
      <x:c r="M393" s="65" t="n">
        <x:f>J393/'공식·설정'!$B$7</x:f>
        <x:v>480.640625</x:v>
      </x:c>
      <x:c r="N393" s="65" t="n">
        <x:f>K393/'공식·설정'!$B$7</x:f>
        <x:v>480.640625</x:v>
      </x:c>
      <x:c r="O393" s="14" t="n">
        <x:v>48</x:v>
      </x:c>
      <x:c r="P393" s="14" t="n">
        <x:f>MIN(32767,MAX(0,INT((K393+INT('공식·설정'!$B$12/2))/'공식·설정'!$B$12)))</x:f>
        <x:v>48</x:v>
      </x:c>
      <x:c r="Q393" s="68" t="n">
        <x:f>P393-O393</x:f>
        <x:v>0</x:v>
      </x:c>
      <x:c r="R393" s="14" t="n">
        <x:v>131328</x:v>
      </x:c>
      <x:c r="S393" s="14" t="n">
        <x:f>P393*'공식·설정'!$B$12+'공식·설정'!$B$14</x:f>
        <x:v>131328</x:v>
      </x:c>
      <x:c r="T393" s="68" t="n">
        <x:f>S393-R393</x:f>
        <x:v>0</x:v>
      </x:c>
      <x:c r="U393" s="65" t="n">
        <x:f>R393/'공식·설정'!$B$7</x:f>
        <x:v>513</x:v>
      </x:c>
      <x:c r="V393" s="65" t="n">
        <x:f>S393/'공식·설정'!$B$7</x:f>
        <x:v>513</x:v>
      </x:c>
      <x:c r="W393" s="14" t="n">
        <x:v>717</x:v>
      </x:c>
      <x:c r="X393" s="14" t="n">
        <x:f>INT(ABS(K394-K393)*'공식·설정'!$B$8/K393)</x:f>
        <x:v>717</x:v>
      </x:c>
      <x:c r="Y393" s="68" t="n">
        <x:f>X393-W393</x:f>
        <x:v>0</x:v>
      </x:c>
      <x:c r="Z393" s="66" t="n">
        <x:f>W393/'공식·설정'!$B$8</x:f>
        <x:v>0.0109405517578125</x:v>
      </x:c>
      <x:c r="AA393" s="66" t="n">
        <x:f>X393/'공식·설정'!$B$8</x:f>
        <x:v>0.0109405517578125</x:v>
      </x:c>
      <x:c r="AB393" s="67" t="str">
        <x:f>IF(AND(I393=0,L393=0,Q393=0,T393=0,Y393=0),"PASS","FAIL")</x:f>
        <x:v>PASS</x:v>
      </x:c>
    </x:row>
    <x:row r="394" ht="18" customHeight="1">
      <x:c r="A394" s="14" t="n">
        <x:v>497</x:v>
      </x:c>
      <x:c r="B394" s="14" t="n">
        <x:v>389</x:v>
      </x:c>
      <x:c r="C394" s="14" t="n">
        <x:v>490</x:v>
      </x:c>
      <x:c r="D394" s="14" t="n">
        <x:v>17660</x:v>
      </x:c>
      <x:c r="E394" s="14" t="n">
        <x:v>504</x:v>
      </x:c>
      <x:c r="F394" s="14" t="n">
        <x:v>20555</x:v>
      </x:c>
      <x:c r="G394" s="14" t="n">
        <x:v>19107</x:v>
      </x:c>
      <x:c r="H394" s="14" t="n">
        <x:f>INT((F394-D394)*(A394-C394)/(E394-C394))+D394</x:f>
        <x:v>19107</x:v>
      </x:c>
      <x:c r="I394" s="68" t="n">
        <x:f>H394-G394</x:f>
        <x:v>0</x:v>
      </x:c>
      <x:c r="J394" s="14" t="n">
        <x:v>124391</x:v>
      </x:c>
      <x:c r="K394" s="14" t="n">
        <x:f>INT(H394*'공식·설정'!$B$10/'공식·설정'!$B$15)</x:f>
        <x:v>124391</x:v>
      </x:c>
      <x:c r="L394" s="68" t="n">
        <x:f>K394-J394</x:f>
        <x:v>0</x:v>
      </x:c>
      <x:c r="M394" s="65" t="n">
        <x:f>J394/'공식·설정'!$B$7</x:f>
        <x:v>485.90234375</x:v>
      </x:c>
      <x:c r="N394" s="65" t="n">
        <x:f>K394/'공식·설정'!$B$7</x:f>
        <x:v>485.90234375</x:v>
      </x:c>
      <x:c r="O394" s="14" t="n">
        <x:v>49</x:v>
      </x:c>
      <x:c r="P394" s="14" t="n">
        <x:f>MIN(32767,MAX(0,INT((K394+INT('공식·설정'!$B$12/2))/'공식·설정'!$B$12)))</x:f>
        <x:v>49</x:v>
      </x:c>
      <x:c r="Q394" s="68" t="n">
        <x:f>P394-O394</x:f>
        <x:v>0</x:v>
      </x:c>
      <x:c r="R394" s="14" t="n">
        <x:v>133888</x:v>
      </x:c>
      <x:c r="S394" s="14" t="n">
        <x:f>P394*'공식·설정'!$B$12+'공식·설정'!$B$14</x:f>
        <x:v>133888</x:v>
      </x:c>
      <x:c r="T394" s="68" t="n">
        <x:f>S394-R394</x:f>
        <x:v>0</x:v>
      </x:c>
      <x:c r="U394" s="65" t="n">
        <x:f>R394/'공식·설정'!$B$7</x:f>
        <x:v>523</x:v>
      </x:c>
      <x:c r="V394" s="65" t="n">
        <x:f>S394/'공식·설정'!$B$7</x:f>
        <x:v>523</x:v>
      </x:c>
      <x:c r="W394" s="14" t="n">
        <x:v>710</x:v>
      </x:c>
      <x:c r="X394" s="14" t="n">
        <x:f>INT(ABS(K395-K394)*'공식·설정'!$B$8/K394)</x:f>
        <x:v>710</x:v>
      </x:c>
      <x:c r="Y394" s="68" t="n">
        <x:f>X394-W394</x:f>
        <x:v>0</x:v>
      </x:c>
      <x:c r="Z394" s="66" t="n">
        <x:f>W394/'공식·설정'!$B$8</x:f>
        <x:v>0.010833740234375</x:v>
      </x:c>
      <x:c r="AA394" s="66" t="n">
        <x:f>X394/'공식·설정'!$B$8</x:f>
        <x:v>0.010833740234375</x:v>
      </x:c>
      <x:c r="AB394" s="67" t="str">
        <x:f>IF(AND(I394=0,L394=0,Q394=0,T394=0,Y394=0),"PASS","FAIL")</x:f>
        <x:v>PASS</x:v>
      </x:c>
    </x:row>
    <x:row r="395" ht="18" customHeight="1">
      <x:c r="A395" s="14" t="n">
        <x:v>498</x:v>
      </x:c>
      <x:c r="B395" s="14" t="n">
        <x:v>390</x:v>
      </x:c>
      <x:c r="C395" s="14" t="n">
        <x:v>490</x:v>
      </x:c>
      <x:c r="D395" s="14" t="n">
        <x:v>17660</x:v>
      </x:c>
      <x:c r="E395" s="14" t="n">
        <x:v>504</x:v>
      </x:c>
      <x:c r="F395" s="14" t="n">
        <x:v>20555</x:v>
      </x:c>
      <x:c r="G395" s="14" t="n">
        <x:v>19314</x:v>
      </x:c>
      <x:c r="H395" s="14" t="n">
        <x:f>INT((F395-D395)*(A395-C395)/(E395-C395))+D395</x:f>
        <x:v>19314</x:v>
      </x:c>
      <x:c r="I395" s="68" t="n">
        <x:f>H395-G395</x:f>
        <x:v>0</x:v>
      </x:c>
      <x:c r="J395" s="14" t="n">
        <x:v>125739</x:v>
      </x:c>
      <x:c r="K395" s="14" t="n">
        <x:f>INT(H395*'공식·설정'!$B$10/'공식·설정'!$B$15)</x:f>
        <x:v>125739</x:v>
      </x:c>
      <x:c r="L395" s="68" t="n">
        <x:f>K395-J395</x:f>
        <x:v>0</x:v>
      </x:c>
      <x:c r="M395" s="65" t="n">
        <x:f>J395/'공식·설정'!$B$7</x:f>
        <x:v>491.16796875</x:v>
      </x:c>
      <x:c r="N395" s="65" t="n">
        <x:f>K395/'공식·설정'!$B$7</x:f>
        <x:v>491.16796875</x:v>
      </x:c>
      <x:c r="O395" s="14" t="n">
        <x:v>49</x:v>
      </x:c>
      <x:c r="P395" s="14" t="n">
        <x:f>MIN(32767,MAX(0,INT((K395+INT('공식·설정'!$B$12/2))/'공식·설정'!$B$12)))</x:f>
        <x:v>49</x:v>
      </x:c>
      <x:c r="Q395" s="68" t="n">
        <x:f>P395-O395</x:f>
        <x:v>0</x:v>
      </x:c>
      <x:c r="R395" s="14" t="n">
        <x:v>133888</x:v>
      </x:c>
      <x:c r="S395" s="14" t="n">
        <x:f>P395*'공식·설정'!$B$12+'공식·설정'!$B$14</x:f>
        <x:v>133888</x:v>
      </x:c>
      <x:c r="T395" s="68" t="n">
        <x:f>S395-R395</x:f>
        <x:v>0</x:v>
      </x:c>
      <x:c r="U395" s="65" t="n">
        <x:f>R395/'공식·설정'!$B$7</x:f>
        <x:v>523</x:v>
      </x:c>
      <x:c r="V395" s="65" t="n">
        <x:f>S395/'공식·설정'!$B$7</x:f>
        <x:v>523</x:v>
      </x:c>
      <x:c r="W395" s="14" t="n">
        <x:v>702</x:v>
      </x:c>
      <x:c r="X395" s="14" t="n">
        <x:f>INT(ABS(K396-K395)*'공식·설정'!$B$8/K395)</x:f>
        <x:v>702</x:v>
      </x:c>
      <x:c r="Y395" s="68" t="n">
        <x:f>X395-W395</x:f>
        <x:v>0</x:v>
      </x:c>
      <x:c r="Z395" s="66" t="n">
        <x:f>W395/'공식·설정'!$B$8</x:f>
        <x:v>0.010711669921875</x:v>
      </x:c>
      <x:c r="AA395" s="66" t="n">
        <x:f>X395/'공식·설정'!$B$8</x:f>
        <x:v>0.010711669921875</x:v>
      </x:c>
      <x:c r="AB395" s="67" t="str">
        <x:f>IF(AND(I395=0,L395=0,Q395=0,T395=0,Y395=0),"PASS","FAIL")</x:f>
        <x:v>PASS</x:v>
      </x:c>
    </x:row>
    <x:row r="396" ht="18" customHeight="1">
      <x:c r="A396" s="14" t="n">
        <x:v>499</x:v>
      </x:c>
      <x:c r="B396" s="14" t="n">
        <x:v>391</x:v>
      </x:c>
      <x:c r="C396" s="14" t="n">
        <x:v>490</x:v>
      </x:c>
      <x:c r="D396" s="14" t="n">
        <x:v>17660</x:v>
      </x:c>
      <x:c r="E396" s="14" t="n">
        <x:v>504</x:v>
      </x:c>
      <x:c r="F396" s="14" t="n">
        <x:v>20555</x:v>
      </x:c>
      <x:c r="G396" s="14" t="n">
        <x:v>19521</x:v>
      </x:c>
      <x:c r="H396" s="14" t="n">
        <x:f>INT((F396-D396)*(A396-C396)/(E396-C396))+D396</x:f>
        <x:v>19521</x:v>
      </x:c>
      <x:c r="I396" s="68" t="n">
        <x:f>H396-G396</x:f>
        <x:v>0</x:v>
      </x:c>
      <x:c r="J396" s="14" t="n">
        <x:v>127087</x:v>
      </x:c>
      <x:c r="K396" s="14" t="n">
        <x:f>INT(H396*'공식·설정'!$B$10/'공식·설정'!$B$15)</x:f>
        <x:v>127087</x:v>
      </x:c>
      <x:c r="L396" s="68" t="n">
        <x:f>K396-J396</x:f>
        <x:v>0</x:v>
      </x:c>
      <x:c r="M396" s="65" t="n">
        <x:f>J396/'공식·설정'!$B$7</x:f>
        <x:v>496.43359375</x:v>
      </x:c>
      <x:c r="N396" s="65" t="n">
        <x:f>K396/'공식·설정'!$B$7</x:f>
        <x:v>496.43359375</x:v>
      </x:c>
      <x:c r="O396" s="14" t="n">
        <x:v>50</x:v>
      </x:c>
      <x:c r="P396" s="14" t="n">
        <x:f>MIN(32767,MAX(0,INT((K396+INT('공식·설정'!$B$12/2))/'공식·설정'!$B$12)))</x:f>
        <x:v>50</x:v>
      </x:c>
      <x:c r="Q396" s="68" t="n">
        <x:f>P396-O396</x:f>
        <x:v>0</x:v>
      </x:c>
      <x:c r="R396" s="14" t="n">
        <x:v>136448</x:v>
      </x:c>
      <x:c r="S396" s="14" t="n">
        <x:f>P396*'공식·설정'!$B$12+'공식·설정'!$B$14</x:f>
        <x:v>136448</x:v>
      </x:c>
      <x:c r="T396" s="68" t="n">
        <x:f>S396-R396</x:f>
        <x:v>0</x:v>
      </x:c>
      <x:c r="U396" s="65" t="n">
        <x:f>R396/'공식·설정'!$B$7</x:f>
        <x:v>533</x:v>
      </x:c>
      <x:c r="V396" s="65" t="n">
        <x:f>S396/'공식·설정'!$B$7</x:f>
        <x:v>533</x:v>
      </x:c>
      <x:c r="W396" s="14" t="n">
        <x:v>691</x:v>
      </x:c>
      <x:c r="X396" s="14" t="n">
        <x:f>INT(ABS(K397-K396)*'공식·설정'!$B$8/K396)</x:f>
        <x:v>691</x:v>
      </x:c>
      <x:c r="Y396" s="68" t="n">
        <x:f>X396-W396</x:f>
        <x:v>0</x:v>
      </x:c>
      <x:c r="Z396" s="66" t="n">
        <x:f>W396/'공식·설정'!$B$8</x:f>
        <x:v>0.0105438232421875</x:v>
      </x:c>
      <x:c r="AA396" s="66" t="n">
        <x:f>X396/'공식·설정'!$B$8</x:f>
        <x:v>0.0105438232421875</x:v>
      </x:c>
      <x:c r="AB396" s="67" t="str">
        <x:f>IF(AND(I396=0,L396=0,Q396=0,T396=0,Y396=0),"PASS","FAIL")</x:f>
        <x:v>PASS</x:v>
      </x:c>
    </x:row>
    <x:row r="397" ht="18" customHeight="1">
      <x:c r="A397" s="14" t="n">
        <x:v>500</x:v>
      </x:c>
      <x:c r="B397" s="14" t="n">
        <x:v>392</x:v>
      </x:c>
      <x:c r="C397" s="14" t="n">
        <x:v>490</x:v>
      </x:c>
      <x:c r="D397" s="14" t="n">
        <x:v>17660</x:v>
      </x:c>
      <x:c r="E397" s="14" t="n">
        <x:v>504</x:v>
      </x:c>
      <x:c r="F397" s="14" t="n">
        <x:v>20555</x:v>
      </x:c>
      <x:c r="G397" s="14" t="n">
        <x:v>19727</x:v>
      </x:c>
      <x:c r="H397" s="14" t="n">
        <x:f>INT((F397-D397)*(A397-C397)/(E397-C397))+D397</x:f>
        <x:v>19727</x:v>
      </x:c>
      <x:c r="I397" s="68" t="n">
        <x:f>H397-G397</x:f>
        <x:v>0</x:v>
      </x:c>
      <x:c r="J397" s="14" t="n">
        <x:v>128428</x:v>
      </x:c>
      <x:c r="K397" s="14" t="n">
        <x:f>INT(H397*'공식·설정'!$B$10/'공식·설정'!$B$15)</x:f>
        <x:v>128428</x:v>
      </x:c>
      <x:c r="L397" s="68" t="n">
        <x:f>K397-J397</x:f>
        <x:v>0</x:v>
      </x:c>
      <x:c r="M397" s="65" t="n">
        <x:f>J397/'공식·설정'!$B$7</x:f>
        <x:v>501.671875</x:v>
      </x:c>
      <x:c r="N397" s="65" t="n">
        <x:f>K397/'공식·설정'!$B$7</x:f>
        <x:v>501.671875</x:v>
      </x:c>
      <x:c r="O397" s="14" t="n">
        <x:v>50</x:v>
      </x:c>
      <x:c r="P397" s="14" t="n">
        <x:f>MIN(32767,MAX(0,INT((K397+INT('공식·설정'!$B$12/2))/'공식·설정'!$B$12)))</x:f>
        <x:v>50</x:v>
      </x:c>
      <x:c r="Q397" s="68" t="n">
        <x:f>P397-O397</x:f>
        <x:v>0</x:v>
      </x:c>
      <x:c r="R397" s="14" t="n">
        <x:v>136448</x:v>
      </x:c>
      <x:c r="S397" s="14" t="n">
        <x:f>P397*'공식·설정'!$B$12+'공식·설정'!$B$14</x:f>
        <x:v>136448</x:v>
      </x:c>
      <x:c r="T397" s="68" t="n">
        <x:f>S397-R397</x:f>
        <x:v>0</x:v>
      </x:c>
      <x:c r="U397" s="65" t="n">
        <x:f>R397/'공식·설정'!$B$7</x:f>
        <x:v>533</x:v>
      </x:c>
      <x:c r="V397" s="65" t="n">
        <x:f>S397/'공식·설정'!$B$7</x:f>
        <x:v>533</x:v>
      </x:c>
      <x:c r="W397" s="14" t="n">
        <x:v>687</x:v>
      </x:c>
      <x:c r="X397" s="14" t="n">
        <x:f>INT(ABS(K398-K397)*'공식·설정'!$B$8/K397)</x:f>
        <x:v>687</x:v>
      </x:c>
      <x:c r="Y397" s="68" t="n">
        <x:f>X397-W397</x:f>
        <x:v>0</x:v>
      </x:c>
      <x:c r="Z397" s="66" t="n">
        <x:f>W397/'공식·설정'!$B$8</x:f>
        <x:v>0.0104827880859375</x:v>
      </x:c>
      <x:c r="AA397" s="66" t="n">
        <x:f>X397/'공식·설정'!$B$8</x:f>
        <x:v>0.0104827880859375</x:v>
      </x:c>
      <x:c r="AB397" s="67" t="str">
        <x:f>IF(AND(I397=0,L397=0,Q397=0,T397=0,Y397=0),"PASS","FAIL")</x:f>
        <x:v>PASS</x:v>
      </x:c>
    </x:row>
    <x:row r="398" ht="18" customHeight="1">
      <x:c r="A398" s="14" t="n">
        <x:v>501</x:v>
      </x:c>
      <x:c r="B398" s="14" t="n">
        <x:v>393</x:v>
      </x:c>
      <x:c r="C398" s="14" t="n">
        <x:v>490</x:v>
      </x:c>
      <x:c r="D398" s="14" t="n">
        <x:v>17660</x:v>
      </x:c>
      <x:c r="E398" s="14" t="n">
        <x:v>504</x:v>
      </x:c>
      <x:c r="F398" s="14" t="n">
        <x:v>20555</x:v>
      </x:c>
      <x:c r="G398" s="14" t="n">
        <x:v>19934</x:v>
      </x:c>
      <x:c r="H398" s="14" t="n">
        <x:f>INT((F398-D398)*(A398-C398)/(E398-C398))+D398</x:f>
        <x:v>19934</x:v>
      </x:c>
      <x:c r="I398" s="68" t="n">
        <x:f>H398-G398</x:f>
        <x:v>0</x:v>
      </x:c>
      <x:c r="J398" s="14" t="n">
        <x:v>129775</x:v>
      </x:c>
      <x:c r="K398" s="14" t="n">
        <x:f>INT(H398*'공식·설정'!$B$10/'공식·설정'!$B$15)</x:f>
        <x:v>129775</x:v>
      </x:c>
      <x:c r="L398" s="68" t="n">
        <x:f>K398-J398</x:f>
        <x:v>0</x:v>
      </x:c>
      <x:c r="M398" s="65" t="n">
        <x:f>J398/'공식·설정'!$B$7</x:f>
        <x:v>506.93359375</x:v>
      </x:c>
      <x:c r="N398" s="65" t="n">
        <x:f>K398/'공식·설정'!$B$7</x:f>
        <x:v>506.93359375</x:v>
      </x:c>
      <x:c r="O398" s="14" t="n">
        <x:v>51</x:v>
      </x:c>
      <x:c r="P398" s="14" t="n">
        <x:f>MIN(32767,MAX(0,INT((K398+INT('공식·설정'!$B$12/2))/'공식·설정'!$B$12)))</x:f>
        <x:v>51</x:v>
      </x:c>
      <x:c r="Q398" s="68" t="n">
        <x:f>P398-O398</x:f>
        <x:v>0</x:v>
      </x:c>
      <x:c r="R398" s="14" t="n">
        <x:v>139008</x:v>
      </x:c>
      <x:c r="S398" s="14" t="n">
        <x:f>P398*'공식·설정'!$B$12+'공식·설정'!$B$14</x:f>
        <x:v>139008</x:v>
      </x:c>
      <x:c r="T398" s="68" t="n">
        <x:f>S398-R398</x:f>
        <x:v>0</x:v>
      </x:c>
      <x:c r="U398" s="65" t="n">
        <x:f>R398/'공식·설정'!$B$7</x:f>
        <x:v>543</x:v>
      </x:c>
      <x:c r="V398" s="65" t="n">
        <x:f>S398/'공식·설정'!$B$7</x:f>
        <x:v>543</x:v>
      </x:c>
      <x:c r="W398" s="14" t="n">
        <x:v>680</x:v>
      </x:c>
      <x:c r="X398" s="14" t="n">
        <x:f>INT(ABS(K399-K398)*'공식·설정'!$B$8/K398)</x:f>
        <x:v>680</x:v>
      </x:c>
      <x:c r="Y398" s="68" t="n">
        <x:f>X398-W398</x:f>
        <x:v>0</x:v>
      </x:c>
      <x:c r="Z398" s="66" t="n">
        <x:f>W398/'공식·설정'!$B$8</x:f>
        <x:v>0.0103759765625</x:v>
      </x:c>
      <x:c r="AA398" s="66" t="n">
        <x:f>X398/'공식·설정'!$B$8</x:f>
        <x:v>0.0103759765625</x:v>
      </x:c>
      <x:c r="AB398" s="67" t="str">
        <x:f>IF(AND(I398=0,L398=0,Q398=0,T398=0,Y398=0),"PASS","FAIL")</x:f>
        <x:v>PASS</x:v>
      </x:c>
    </x:row>
    <x:row r="399" ht="18" customHeight="1">
      <x:c r="A399" s="14" t="n">
        <x:v>502</x:v>
      </x:c>
      <x:c r="B399" s="14" t="n">
        <x:v>394</x:v>
      </x:c>
      <x:c r="C399" s="14" t="n">
        <x:v>490</x:v>
      </x:c>
      <x:c r="D399" s="14" t="n">
        <x:v>17660</x:v>
      </x:c>
      <x:c r="E399" s="14" t="n">
        <x:v>504</x:v>
      </x:c>
      <x:c r="F399" s="14" t="n">
        <x:v>20555</x:v>
      </x:c>
      <x:c r="G399" s="14" t="n">
        <x:v>20141</x:v>
      </x:c>
      <x:c r="H399" s="14" t="n">
        <x:f>INT((F399-D399)*(A399-C399)/(E399-C399))+D399</x:f>
        <x:v>20141</x:v>
      </x:c>
      <x:c r="I399" s="68" t="n">
        <x:f>H399-G399</x:f>
        <x:v>0</x:v>
      </x:c>
      <x:c r="J399" s="14" t="n">
        <x:v>131123</x:v>
      </x:c>
      <x:c r="K399" s="14" t="n">
        <x:f>INT(H399*'공식·설정'!$B$10/'공식·설정'!$B$15)</x:f>
        <x:v>131123</x:v>
      </x:c>
      <x:c r="L399" s="68" t="n">
        <x:f>K399-J399</x:f>
        <x:v>0</x:v>
      </x:c>
      <x:c r="M399" s="65" t="n">
        <x:f>J399/'공식·설정'!$B$7</x:f>
        <x:v>512.19921875</x:v>
      </x:c>
      <x:c r="N399" s="65" t="n">
        <x:f>K399/'공식·설정'!$B$7</x:f>
        <x:v>512.19921875</x:v>
      </x:c>
      <x:c r="O399" s="14" t="n">
        <x:v>51</x:v>
      </x:c>
      <x:c r="P399" s="14" t="n">
        <x:f>MIN(32767,MAX(0,INT((K399+INT('공식·설정'!$B$12/2))/'공식·설정'!$B$12)))</x:f>
        <x:v>51</x:v>
      </x:c>
      <x:c r="Q399" s="68" t="n">
        <x:f>P399-O399</x:f>
        <x:v>0</x:v>
      </x:c>
      <x:c r="R399" s="14" t="n">
        <x:v>139008</x:v>
      </x:c>
      <x:c r="S399" s="14" t="n">
        <x:f>P399*'공식·설정'!$B$12+'공식·설정'!$B$14</x:f>
        <x:v>139008</x:v>
      </x:c>
      <x:c r="T399" s="68" t="n">
        <x:f>S399-R399</x:f>
        <x:v>0</x:v>
      </x:c>
      <x:c r="U399" s="65" t="n">
        <x:f>R399/'공식·설정'!$B$7</x:f>
        <x:v>543</x:v>
      </x:c>
      <x:c r="V399" s="65" t="n">
        <x:f>S399/'공식·설정'!$B$7</x:f>
        <x:v>543</x:v>
      </x:c>
      <x:c r="W399" s="14" t="n">
        <x:v>673</x:v>
      </x:c>
      <x:c r="X399" s="14" t="n">
        <x:f>INT(ABS(K400-K399)*'공식·설정'!$B$8/K399)</x:f>
        <x:v>673</x:v>
      </x:c>
      <x:c r="Y399" s="68" t="n">
        <x:f>X399-W399</x:f>
        <x:v>0</x:v>
      </x:c>
      <x:c r="Z399" s="66" t="n">
        <x:f>W399/'공식·설정'!$B$8</x:f>
        <x:v>0.0102691650390625</x:v>
      </x:c>
      <x:c r="AA399" s="66" t="n">
        <x:f>X399/'공식·설정'!$B$8</x:f>
        <x:v>0.0102691650390625</x:v>
      </x:c>
      <x:c r="AB399" s="67" t="str">
        <x:f>IF(AND(I399=0,L399=0,Q399=0,T399=0,Y399=0),"PASS","FAIL")</x:f>
        <x:v>PASS</x:v>
      </x:c>
    </x:row>
    <x:row r="400" ht="18" customHeight="1">
      <x:c r="A400" s="14" t="n">
        <x:v>503</x:v>
      </x:c>
      <x:c r="B400" s="14" t="n">
        <x:v>395</x:v>
      </x:c>
      <x:c r="C400" s="14" t="n">
        <x:v>490</x:v>
      </x:c>
      <x:c r="D400" s="14" t="n">
        <x:v>17660</x:v>
      </x:c>
      <x:c r="E400" s="14" t="n">
        <x:v>504</x:v>
      </x:c>
      <x:c r="F400" s="14" t="n">
        <x:v>20555</x:v>
      </x:c>
      <x:c r="G400" s="14" t="n">
        <x:v>20348</x:v>
      </x:c>
      <x:c r="H400" s="14" t="n">
        <x:f>INT((F400-D400)*(A400-C400)/(E400-C400))+D400</x:f>
        <x:v>20348</x:v>
      </x:c>
      <x:c r="I400" s="68" t="n">
        <x:f>H400-G400</x:f>
        <x:v>0</x:v>
      </x:c>
      <x:c r="J400" s="14" t="n">
        <x:v>132471</x:v>
      </x:c>
      <x:c r="K400" s="14" t="n">
        <x:f>INT(H400*'공식·설정'!$B$10/'공식·설정'!$B$15)</x:f>
        <x:v>132471</x:v>
      </x:c>
      <x:c r="L400" s="68" t="n">
        <x:f>K400-J400</x:f>
        <x:v>0</x:v>
      </x:c>
      <x:c r="M400" s="65" t="n">
        <x:f>J400/'공식·설정'!$B$7</x:f>
        <x:v>517.46484375</x:v>
      </x:c>
      <x:c r="N400" s="65" t="n">
        <x:f>K400/'공식·설정'!$B$7</x:f>
        <x:v>517.46484375</x:v>
      </x:c>
      <x:c r="O400" s="14" t="n">
        <x:v>52</x:v>
      </x:c>
      <x:c r="P400" s="14" t="n">
        <x:f>MIN(32767,MAX(0,INT((K400+INT('공식·설정'!$B$12/2))/'공식·설정'!$B$12)))</x:f>
        <x:v>52</x:v>
      </x:c>
      <x:c r="Q400" s="68" t="n">
        <x:f>P400-O400</x:f>
        <x:v>0</x:v>
      </x:c>
      <x:c r="R400" s="14" t="n">
        <x:v>141568</x:v>
      </x:c>
      <x:c r="S400" s="14" t="n">
        <x:f>P400*'공식·설정'!$B$12+'공식·설정'!$B$14</x:f>
        <x:v>141568</x:v>
      </x:c>
      <x:c r="T400" s="68" t="n">
        <x:f>S400-R400</x:f>
        <x:v>0</x:v>
      </x:c>
      <x:c r="U400" s="65" t="n">
        <x:f>R400/'공식·설정'!$B$7</x:f>
        <x:v>553</x:v>
      </x:c>
      <x:c r="V400" s="65" t="n">
        <x:f>S400/'공식·설정'!$B$7</x:f>
        <x:v>553</x:v>
      </x:c>
      <x:c r="W400" s="14" t="n">
        <x:v>666</x:v>
      </x:c>
      <x:c r="X400" s="14" t="n">
        <x:f>INT(ABS(K401-K400)*'공식·설정'!$B$8/K400)</x:f>
        <x:v>666</x:v>
      </x:c>
      <x:c r="Y400" s="68" t="n">
        <x:f>X400-W400</x:f>
        <x:v>0</x:v>
      </x:c>
      <x:c r="Z400" s="66" t="n">
        <x:f>W400/'공식·설정'!$B$8</x:f>
        <x:v>0.010162353515625</x:v>
      </x:c>
      <x:c r="AA400" s="66" t="n">
        <x:f>X400/'공식·설정'!$B$8</x:f>
        <x:v>0.010162353515625</x:v>
      </x:c>
      <x:c r="AB400" s="67" t="str">
        <x:f>IF(AND(I400=0,L400=0,Q400=0,T400=0,Y400=0),"PASS","FAIL")</x:f>
        <x:v>PASS</x:v>
      </x:c>
    </x:row>
    <x:row r="401" ht="18" customHeight="1">
      <x:c r="A401" s="14" t="n">
        <x:v>504</x:v>
      </x:c>
      <x:c r="B401" s="14" t="n">
        <x:v>396</x:v>
      </x:c>
      <x:c r="C401" s="14" t="n">
        <x:v>504</x:v>
      </x:c>
      <x:c r="D401" s="14" t="n">
        <x:v>20555</x:v>
      </x:c>
      <x:c r="E401" s="14" t="n">
        <x:v>518</x:v>
      </x:c>
      <x:c r="F401" s="14" t="n">
        <x:v>23923</x:v>
      </x:c>
      <x:c r="G401" s="14" t="n">
        <x:v>20555</x:v>
      </x:c>
      <x:c r="H401" s="14" t="n">
        <x:f>INT((F401-D401)*(A401-C401)/(E401-C401))+D401</x:f>
        <x:v>20555</x:v>
      </x:c>
      <x:c r="I401" s="68" t="n">
        <x:f>H401-G401</x:f>
        <x:v>0</x:v>
      </x:c>
      <x:c r="J401" s="14" t="n">
        <x:v>133818</x:v>
      </x:c>
      <x:c r="K401" s="14" t="n">
        <x:f>INT(H401*'공식·설정'!$B$10/'공식·설정'!$B$15)</x:f>
        <x:v>133818</x:v>
      </x:c>
      <x:c r="L401" s="68" t="n">
        <x:f>K401-J401</x:f>
        <x:v>0</x:v>
      </x:c>
      <x:c r="M401" s="65" t="n">
        <x:f>J401/'공식·설정'!$B$7</x:f>
        <x:v>522.7265625</x:v>
      </x:c>
      <x:c r="N401" s="65" t="n">
        <x:f>K401/'공식·설정'!$B$7</x:f>
        <x:v>522.7265625</x:v>
      </x:c>
      <x:c r="O401" s="14" t="n">
        <x:v>52</x:v>
      </x:c>
      <x:c r="P401" s="14" t="n">
        <x:f>MIN(32767,MAX(0,INT((K401+INT('공식·설정'!$B$12/2))/'공식·설정'!$B$12)))</x:f>
        <x:v>52</x:v>
      </x:c>
      <x:c r="Q401" s="68" t="n">
        <x:f>P401-O401</x:f>
        <x:v>0</x:v>
      </x:c>
      <x:c r="R401" s="14" t="n">
        <x:v>141568</x:v>
      </x:c>
      <x:c r="S401" s="14" t="n">
        <x:f>P401*'공식·설정'!$B$12+'공식·설정'!$B$14</x:f>
        <x:v>141568</x:v>
      </x:c>
      <x:c r="T401" s="68" t="n">
        <x:f>S401-R401</x:f>
        <x:v>0</x:v>
      </x:c>
      <x:c r="U401" s="65" t="n">
        <x:f>R401/'공식·설정'!$B$7</x:f>
        <x:v>553</x:v>
      </x:c>
      <x:c r="V401" s="65" t="n">
        <x:f>S401/'공식·설정'!$B$7</x:f>
        <x:v>553</x:v>
      </x:c>
      <x:c r="W401" s="14" t="n">
        <x:v>765</x:v>
      </x:c>
      <x:c r="X401" s="14" t="n">
        <x:f>INT(ABS(K402-K401)*'공식·설정'!$B$8/K401)</x:f>
        <x:v>765</x:v>
      </x:c>
      <x:c r="Y401" s="68" t="n">
        <x:f>X401-W401</x:f>
        <x:v>0</x:v>
      </x:c>
      <x:c r="Z401" s="66" t="n">
        <x:f>W401/'공식·설정'!$B$8</x:f>
        <x:v>0.0116729736328125</x:v>
      </x:c>
      <x:c r="AA401" s="66" t="n">
        <x:f>X401/'공식·설정'!$B$8</x:f>
        <x:v>0.0116729736328125</x:v>
      </x:c>
      <x:c r="AB401" s="67" t="str">
        <x:f>IF(AND(I401=0,L401=0,Q401=0,T401=0,Y401=0),"PASS","FAIL")</x:f>
        <x:v>PASS</x:v>
      </x:c>
    </x:row>
    <x:row r="402" ht="18" customHeight="1">
      <x:c r="A402" s="14" t="n">
        <x:v>505</x:v>
      </x:c>
      <x:c r="B402" s="14" t="n">
        <x:v>397</x:v>
      </x:c>
      <x:c r="C402" s="14" t="n">
        <x:v>504</x:v>
      </x:c>
      <x:c r="D402" s="14" t="n">
        <x:v>20555</x:v>
      </x:c>
      <x:c r="E402" s="14" t="n">
        <x:v>518</x:v>
      </x:c>
      <x:c r="F402" s="14" t="n">
        <x:v>23923</x:v>
      </x:c>
      <x:c r="G402" s="14" t="n">
        <x:v>20795</x:v>
      </x:c>
      <x:c r="H402" s="14" t="n">
        <x:f>INT((F402-D402)*(A402-C402)/(E402-C402))+D402</x:f>
        <x:v>20795</x:v>
      </x:c>
      <x:c r="I402" s="68" t="n">
        <x:f>H402-G402</x:f>
        <x:v>0</x:v>
      </x:c>
      <x:c r="J402" s="14" t="n">
        <x:v>135381</x:v>
      </x:c>
      <x:c r="K402" s="14" t="n">
        <x:f>INT(H402*'공식·설정'!$B$10/'공식·설정'!$B$15)</x:f>
        <x:v>135381</x:v>
      </x:c>
      <x:c r="L402" s="68" t="n">
        <x:f>K402-J402</x:f>
        <x:v>0</x:v>
      </x:c>
      <x:c r="M402" s="65" t="n">
        <x:f>J402/'공식·설정'!$B$7</x:f>
        <x:v>528.83203125</x:v>
      </x:c>
      <x:c r="N402" s="65" t="n">
        <x:f>K402/'공식·설정'!$B$7</x:f>
        <x:v>528.83203125</x:v>
      </x:c>
      <x:c r="O402" s="14" t="n">
        <x:v>53</x:v>
      </x:c>
      <x:c r="P402" s="14" t="n">
        <x:f>MIN(32767,MAX(0,INT((K402+INT('공식·설정'!$B$12/2))/'공식·설정'!$B$12)))</x:f>
        <x:v>53</x:v>
      </x:c>
      <x:c r="Q402" s="68" t="n">
        <x:f>P402-O402</x:f>
        <x:v>0</x:v>
      </x:c>
      <x:c r="R402" s="14" t="n">
        <x:v>144128</x:v>
      </x:c>
      <x:c r="S402" s="14" t="n">
        <x:f>P402*'공식·설정'!$B$12+'공식·설정'!$B$14</x:f>
        <x:v>144128</x:v>
      </x:c>
      <x:c r="T402" s="68" t="n">
        <x:f>S402-R402</x:f>
        <x:v>0</x:v>
      </x:c>
      <x:c r="U402" s="65" t="n">
        <x:f>R402/'공식·설정'!$B$7</x:f>
        <x:v>563</x:v>
      </x:c>
      <x:c r="V402" s="65" t="n">
        <x:f>S402/'공식·설정'!$B$7</x:f>
        <x:v>563</x:v>
      </x:c>
      <x:c r="W402" s="14" t="n">
        <x:v>759</x:v>
      </x:c>
      <x:c r="X402" s="14" t="n">
        <x:f>INT(ABS(K403-K402)*'공식·설정'!$B$8/K402)</x:f>
        <x:v>759</x:v>
      </x:c>
      <x:c r="Y402" s="68" t="n">
        <x:f>X402-W402</x:f>
        <x:v>0</x:v>
      </x:c>
      <x:c r="Z402" s="66" t="n">
        <x:f>W402/'공식·설정'!$B$8</x:f>
        <x:v>0.0115814208984375</x:v>
      </x:c>
      <x:c r="AA402" s="66" t="n">
        <x:f>X402/'공식·설정'!$B$8</x:f>
        <x:v>0.0115814208984375</x:v>
      </x:c>
      <x:c r="AB402" s="67" t="str">
        <x:f>IF(AND(I402=0,L402=0,Q402=0,T402=0,Y402=0),"PASS","FAIL")</x:f>
        <x:v>PASS</x:v>
      </x:c>
    </x:row>
    <x:row r="403" ht="18" customHeight="1">
      <x:c r="A403" s="14" t="n">
        <x:v>506</x:v>
      </x:c>
      <x:c r="B403" s="14" t="n">
        <x:v>398</x:v>
      </x:c>
      <x:c r="C403" s="14" t="n">
        <x:v>504</x:v>
      </x:c>
      <x:c r="D403" s="14" t="n">
        <x:v>20555</x:v>
      </x:c>
      <x:c r="E403" s="14" t="n">
        <x:v>518</x:v>
      </x:c>
      <x:c r="F403" s="14" t="n">
        <x:v>23923</x:v>
      </x:c>
      <x:c r="G403" s="14" t="n">
        <x:v>21036</x:v>
      </x:c>
      <x:c r="H403" s="14" t="n">
        <x:f>INT((F403-D403)*(A403-C403)/(E403-C403))+D403</x:f>
        <x:v>21036</x:v>
      </x:c>
      <x:c r="I403" s="68" t="n">
        <x:f>H403-G403</x:f>
        <x:v>0</x:v>
      </x:c>
      <x:c r="J403" s="14" t="n">
        <x:v>136950</x:v>
      </x:c>
      <x:c r="K403" s="14" t="n">
        <x:f>INT(H403*'공식·설정'!$B$10/'공식·설정'!$B$15)</x:f>
        <x:v>136950</x:v>
      </x:c>
      <x:c r="L403" s="68" t="n">
        <x:f>K403-J403</x:f>
        <x:v>0</x:v>
      </x:c>
      <x:c r="M403" s="65" t="n">
        <x:f>J403/'공식·설정'!$B$7</x:f>
        <x:v>534.9609375</x:v>
      </x:c>
      <x:c r="N403" s="65" t="n">
        <x:f>K403/'공식·설정'!$B$7</x:f>
        <x:v>534.9609375</x:v>
      </x:c>
      <x:c r="O403" s="14" t="n">
        <x:v>53</x:v>
      </x:c>
      <x:c r="P403" s="14" t="n">
        <x:f>MIN(32767,MAX(0,INT((K403+INT('공식·설정'!$B$12/2))/'공식·설정'!$B$12)))</x:f>
        <x:v>53</x:v>
      </x:c>
      <x:c r="Q403" s="68" t="n">
        <x:f>P403-O403</x:f>
        <x:v>0</x:v>
      </x:c>
      <x:c r="R403" s="14" t="n">
        <x:v>144128</x:v>
      </x:c>
      <x:c r="S403" s="14" t="n">
        <x:f>P403*'공식·설정'!$B$12+'공식·설정'!$B$14</x:f>
        <x:v>144128</x:v>
      </x:c>
      <x:c r="T403" s="68" t="n">
        <x:f>S403-R403</x:f>
        <x:v>0</x:v>
      </x:c>
      <x:c r="U403" s="65" t="n">
        <x:f>R403/'공식·설정'!$B$7</x:f>
        <x:v>563</x:v>
      </x:c>
      <x:c r="V403" s="65" t="n">
        <x:f>S403/'공식·설정'!$B$7</x:f>
        <x:v>563</x:v>
      </x:c>
      <x:c r="W403" s="14" t="n">
        <x:v>747</x:v>
      </x:c>
      <x:c r="X403" s="14" t="n">
        <x:f>INT(ABS(K404-K403)*'공식·설정'!$B$8/K403)</x:f>
        <x:v>747</x:v>
      </x:c>
      <x:c r="Y403" s="68" t="n">
        <x:f>X403-W403</x:f>
        <x:v>0</x:v>
      </x:c>
      <x:c r="Z403" s="66" t="n">
        <x:f>W403/'공식·설정'!$B$8</x:f>
        <x:v>0.0113983154296875</x:v>
      </x:c>
      <x:c r="AA403" s="66" t="n">
        <x:f>X403/'공식·설정'!$B$8</x:f>
        <x:v>0.0113983154296875</x:v>
      </x:c>
      <x:c r="AB403" s="67" t="str">
        <x:f>IF(AND(I403=0,L403=0,Q403=0,T403=0,Y403=0),"PASS","FAIL")</x:f>
        <x:v>PASS</x:v>
      </x:c>
    </x:row>
    <x:row r="404" ht="18" customHeight="1">
      <x:c r="A404" s="14" t="n">
        <x:v>507</x:v>
      </x:c>
      <x:c r="B404" s="14" t="n">
        <x:v>399</x:v>
      </x:c>
      <x:c r="C404" s="14" t="n">
        <x:v>504</x:v>
      </x:c>
      <x:c r="D404" s="14" t="n">
        <x:v>20555</x:v>
      </x:c>
      <x:c r="E404" s="14" t="n">
        <x:v>518</x:v>
      </x:c>
      <x:c r="F404" s="14" t="n">
        <x:v>23923</x:v>
      </x:c>
      <x:c r="G404" s="14" t="n">
        <x:v>21276</x:v>
      </x:c>
      <x:c r="H404" s="14" t="n">
        <x:f>INT((F404-D404)*(A404-C404)/(E404-C404))+D404</x:f>
        <x:v>21276</x:v>
      </x:c>
      <x:c r="I404" s="68" t="n">
        <x:f>H404-G404</x:f>
        <x:v>0</x:v>
      </x:c>
      <x:c r="J404" s="14" t="n">
        <x:v>138512</x:v>
      </x:c>
      <x:c r="K404" s="14" t="n">
        <x:f>INT(H404*'공식·설정'!$B$10/'공식·설정'!$B$15)</x:f>
        <x:v>138512</x:v>
      </x:c>
      <x:c r="L404" s="68" t="n">
        <x:f>K404-J404</x:f>
        <x:v>0</x:v>
      </x:c>
      <x:c r="M404" s="65" t="n">
        <x:f>J404/'공식·설정'!$B$7</x:f>
        <x:v>541.0625</x:v>
      </x:c>
      <x:c r="N404" s="65" t="n">
        <x:f>K404/'공식·설정'!$B$7</x:f>
        <x:v>541.0625</x:v>
      </x:c>
      <x:c r="O404" s="14" t="n">
        <x:v>54</x:v>
      </x:c>
      <x:c r="P404" s="14" t="n">
        <x:f>MIN(32767,MAX(0,INT((K404+INT('공식·설정'!$B$12/2))/'공식·설정'!$B$12)))</x:f>
        <x:v>54</x:v>
      </x:c>
      <x:c r="Q404" s="68" t="n">
        <x:f>P404-O404</x:f>
        <x:v>0</x:v>
      </x:c>
      <x:c r="R404" s="14" t="n">
        <x:v>146688</x:v>
      </x:c>
      <x:c r="S404" s="14" t="n">
        <x:f>P404*'공식·설정'!$B$12+'공식·설정'!$B$14</x:f>
        <x:v>146688</x:v>
      </x:c>
      <x:c r="T404" s="68" t="n">
        <x:f>S404-R404</x:f>
        <x:v>0</x:v>
      </x:c>
      <x:c r="U404" s="65" t="n">
        <x:f>R404/'공식·설정'!$B$7</x:f>
        <x:v>573</x:v>
      </x:c>
      <x:c r="V404" s="65" t="n">
        <x:f>S404/'공식·설정'!$B$7</x:f>
        <x:v>573</x:v>
      </x:c>
      <x:c r="W404" s="14" t="n">
        <x:v>742</x:v>
      </x:c>
      <x:c r="X404" s="14" t="n">
        <x:f>INT(ABS(K405-K404)*'공식·설정'!$B$8/K404)</x:f>
        <x:v>742</x:v>
      </x:c>
      <x:c r="Y404" s="68" t="n">
        <x:f>X404-W404</x:f>
        <x:v>0</x:v>
      </x:c>
      <x:c r="Z404" s="66" t="n">
        <x:f>W404/'공식·설정'!$B$8</x:f>
        <x:v>0.011322021484375</x:v>
      </x:c>
      <x:c r="AA404" s="66" t="n">
        <x:f>X404/'공식·설정'!$B$8</x:f>
        <x:v>0.011322021484375</x:v>
      </x:c>
      <x:c r="AB404" s="67" t="str">
        <x:f>IF(AND(I404=0,L404=0,Q404=0,T404=0,Y404=0),"PASS","FAIL")</x:f>
        <x:v>PASS</x:v>
      </x:c>
    </x:row>
    <x:row r="405" ht="18" customHeight="1">
      <x:c r="A405" s="14" t="n">
        <x:v>508</x:v>
      </x:c>
      <x:c r="B405" s="14" t="n">
        <x:v>400</x:v>
      </x:c>
      <x:c r="C405" s="14" t="n">
        <x:v>504</x:v>
      </x:c>
      <x:c r="D405" s="14" t="n">
        <x:v>20555</x:v>
      </x:c>
      <x:c r="E405" s="14" t="n">
        <x:v>518</x:v>
      </x:c>
      <x:c r="F405" s="14" t="n">
        <x:v>23923</x:v>
      </x:c>
      <x:c r="G405" s="14" t="n">
        <x:v>21517</x:v>
      </x:c>
      <x:c r="H405" s="14" t="n">
        <x:f>INT((F405-D405)*(A405-C405)/(E405-C405))+D405</x:f>
        <x:v>21517</x:v>
      </x:c>
      <x:c r="I405" s="68" t="n">
        <x:f>H405-G405</x:f>
        <x:v>0</x:v>
      </x:c>
      <x:c r="J405" s="14" t="n">
        <x:v>140081</x:v>
      </x:c>
      <x:c r="K405" s="14" t="n">
        <x:f>INT(H405*'공식·설정'!$B$10/'공식·설정'!$B$15)</x:f>
        <x:v>140081</x:v>
      </x:c>
      <x:c r="L405" s="68" t="n">
        <x:f>K405-J405</x:f>
        <x:v>0</x:v>
      </x:c>
      <x:c r="M405" s="65" t="n">
        <x:f>J405/'공식·설정'!$B$7</x:f>
        <x:v>547.19140625</x:v>
      </x:c>
      <x:c r="N405" s="65" t="n">
        <x:f>K405/'공식·설정'!$B$7</x:f>
        <x:v>547.19140625</x:v>
      </x:c>
      <x:c r="O405" s="14" t="n">
        <x:v>55</x:v>
      </x:c>
      <x:c r="P405" s="14" t="n">
        <x:f>MIN(32767,MAX(0,INT((K405+INT('공식·설정'!$B$12/2))/'공식·설정'!$B$12)))</x:f>
        <x:v>55</x:v>
      </x:c>
      <x:c r="Q405" s="68" t="n">
        <x:f>P405-O405</x:f>
        <x:v>0</x:v>
      </x:c>
      <x:c r="R405" s="14" t="n">
        <x:v>149248</x:v>
      </x:c>
      <x:c r="S405" s="14" t="n">
        <x:f>P405*'공식·설정'!$B$12+'공식·설정'!$B$14</x:f>
        <x:v>149248</x:v>
      </x:c>
      <x:c r="T405" s="68" t="n">
        <x:f>S405-R405</x:f>
        <x:v>0</x:v>
      </x:c>
      <x:c r="U405" s="65" t="n">
        <x:f>R405/'공식·설정'!$B$7</x:f>
        <x:v>583</x:v>
      </x:c>
      <x:c r="V405" s="65" t="n">
        <x:f>S405/'공식·설정'!$B$7</x:f>
        <x:v>583</x:v>
      </x:c>
      <x:c r="W405" s="14" t="n">
        <x:v>731</x:v>
      </x:c>
      <x:c r="X405" s="14" t="n">
        <x:f>INT(ABS(K406-K405)*'공식·설정'!$B$8/K405)</x:f>
        <x:v>731</x:v>
      </x:c>
      <x:c r="Y405" s="68" t="n">
        <x:f>X405-W405</x:f>
        <x:v>0</x:v>
      </x:c>
      <x:c r="Z405" s="66" t="n">
        <x:f>W405/'공식·설정'!$B$8</x:f>
        <x:v>0.0111541748046875</x:v>
      </x:c>
      <x:c r="AA405" s="66" t="n">
        <x:f>X405/'공식·설정'!$B$8</x:f>
        <x:v>0.0111541748046875</x:v>
      </x:c>
      <x:c r="AB405" s="67" t="str">
        <x:f>IF(AND(I405=0,L405=0,Q405=0,T405=0,Y405=0),"PASS","FAIL")</x:f>
        <x:v>PASS</x:v>
      </x:c>
    </x:row>
    <x:row r="406" ht="18" customHeight="1">
      <x:c r="A406" s="14" t="n">
        <x:v>509</x:v>
      </x:c>
      <x:c r="B406" s="14" t="n">
        <x:v>401</x:v>
      </x:c>
      <x:c r="C406" s="14" t="n">
        <x:v>504</x:v>
      </x:c>
      <x:c r="D406" s="14" t="n">
        <x:v>20555</x:v>
      </x:c>
      <x:c r="E406" s="14" t="n">
        <x:v>518</x:v>
      </x:c>
      <x:c r="F406" s="14" t="n">
        <x:v>23923</x:v>
      </x:c>
      <x:c r="G406" s="14" t="n">
        <x:v>21757</x:v>
      </x:c>
      <x:c r="H406" s="14" t="n">
        <x:f>INT((F406-D406)*(A406-C406)/(E406-C406))+D406</x:f>
        <x:v>21757</x:v>
      </x:c>
      <x:c r="I406" s="68" t="n">
        <x:f>H406-G406</x:f>
        <x:v>0</x:v>
      </x:c>
      <x:c r="J406" s="14" t="n">
        <x:v>141644</x:v>
      </x:c>
      <x:c r="K406" s="14" t="n">
        <x:f>INT(H406*'공식·설정'!$B$10/'공식·설정'!$B$15)</x:f>
        <x:v>141644</x:v>
      </x:c>
      <x:c r="L406" s="68" t="n">
        <x:f>K406-J406</x:f>
        <x:v>0</x:v>
      </x:c>
      <x:c r="M406" s="65" t="n">
        <x:f>J406/'공식·설정'!$B$7</x:f>
        <x:v>553.296875</x:v>
      </x:c>
      <x:c r="N406" s="65" t="n">
        <x:f>K406/'공식·설정'!$B$7</x:f>
        <x:v>553.296875</x:v>
      </x:c>
      <x:c r="O406" s="14" t="n">
        <x:v>55</x:v>
      </x:c>
      <x:c r="P406" s="14" t="n">
        <x:f>MIN(32767,MAX(0,INT((K406+INT('공식·설정'!$B$12/2))/'공식·설정'!$B$12)))</x:f>
        <x:v>55</x:v>
      </x:c>
      <x:c r="Q406" s="68" t="n">
        <x:f>P406-O406</x:f>
        <x:v>0</x:v>
      </x:c>
      <x:c r="R406" s="14" t="n">
        <x:v>149248</x:v>
      </x:c>
      <x:c r="S406" s="14" t="n">
        <x:f>P406*'공식·설정'!$B$12+'공식·설정'!$B$14</x:f>
        <x:v>149248</x:v>
      </x:c>
      <x:c r="T406" s="68" t="n">
        <x:f>S406-R406</x:f>
        <x:v>0</x:v>
      </x:c>
      <x:c r="U406" s="65" t="n">
        <x:f>R406/'공식·설정'!$B$7</x:f>
        <x:v>583</x:v>
      </x:c>
      <x:c r="V406" s="65" t="n">
        <x:f>S406/'공식·설정'!$B$7</x:f>
        <x:v>583</x:v>
      </x:c>
      <x:c r="W406" s="14" t="n">
        <x:v>725</x:v>
      </x:c>
      <x:c r="X406" s="14" t="n">
        <x:f>INT(ABS(K407-K406)*'공식·설정'!$B$8/K406)</x:f>
        <x:v>725</x:v>
      </x:c>
      <x:c r="Y406" s="68" t="n">
        <x:f>X406-W406</x:f>
        <x:v>0</x:v>
      </x:c>
      <x:c r="Z406" s="66" t="n">
        <x:f>W406/'공식·설정'!$B$8</x:f>
        <x:v>0.0110626220703125</x:v>
      </x:c>
      <x:c r="AA406" s="66" t="n">
        <x:f>X406/'공식·설정'!$B$8</x:f>
        <x:v>0.0110626220703125</x:v>
      </x:c>
      <x:c r="AB406" s="67" t="str">
        <x:f>IF(AND(I406=0,L406=0,Q406=0,T406=0,Y406=0),"PASS","FAIL")</x:f>
        <x:v>PASS</x:v>
      </x:c>
    </x:row>
    <x:row r="407" ht="18" customHeight="1">
      <x:c r="A407" s="14" t="n">
        <x:v>510</x:v>
      </x:c>
      <x:c r="B407" s="14" t="n">
        <x:v>402</x:v>
      </x:c>
      <x:c r="C407" s="14" t="n">
        <x:v>504</x:v>
      </x:c>
      <x:c r="D407" s="14" t="n">
        <x:v>20555</x:v>
      </x:c>
      <x:c r="E407" s="14" t="n">
        <x:v>518</x:v>
      </x:c>
      <x:c r="F407" s="14" t="n">
        <x:v>23923</x:v>
      </x:c>
      <x:c r="G407" s="14" t="n">
        <x:v>21998</x:v>
      </x:c>
      <x:c r="H407" s="14" t="n">
        <x:f>INT((F407-D407)*(A407-C407)/(E407-C407))+D407</x:f>
        <x:v>21998</x:v>
      </x:c>
      <x:c r="I407" s="68" t="n">
        <x:f>H407-G407</x:f>
        <x:v>0</x:v>
      </x:c>
      <x:c r="J407" s="14" t="n">
        <x:v>143213</x:v>
      </x:c>
      <x:c r="K407" s="14" t="n">
        <x:f>INT(H407*'공식·설정'!$B$10/'공식·설정'!$B$15)</x:f>
        <x:v>143213</x:v>
      </x:c>
      <x:c r="L407" s="68" t="n">
        <x:f>K407-J407</x:f>
        <x:v>0</x:v>
      </x:c>
      <x:c r="M407" s="65" t="n">
        <x:f>J407/'공식·설정'!$B$7</x:f>
        <x:v>559.42578125</x:v>
      </x:c>
      <x:c r="N407" s="65" t="n">
        <x:f>K407/'공식·설정'!$B$7</x:f>
        <x:v>559.42578125</x:v>
      </x:c>
      <x:c r="O407" s="14" t="n">
        <x:v>56</x:v>
      </x:c>
      <x:c r="P407" s="14" t="n">
        <x:f>MIN(32767,MAX(0,INT((K407+INT('공식·설정'!$B$12/2))/'공식·설정'!$B$12)))</x:f>
        <x:v>56</x:v>
      </x:c>
      <x:c r="Q407" s="68" t="n">
        <x:f>P407-O407</x:f>
        <x:v>0</x:v>
      </x:c>
      <x:c r="R407" s="14" t="n">
        <x:v>151808</x:v>
      </x:c>
      <x:c r="S407" s="14" t="n">
        <x:f>P407*'공식·설정'!$B$12+'공식·설정'!$B$14</x:f>
        <x:v>151808</x:v>
      </x:c>
      <x:c r="T407" s="68" t="n">
        <x:f>S407-R407</x:f>
        <x:v>0</x:v>
      </x:c>
      <x:c r="U407" s="65" t="n">
        <x:f>R407/'공식·설정'!$B$7</x:f>
        <x:v>593</x:v>
      </x:c>
      <x:c r="V407" s="65" t="n">
        <x:f>S407/'공식·설정'!$B$7</x:f>
        <x:v>593</x:v>
      </x:c>
      <x:c r="W407" s="14" t="n">
        <x:v>717</x:v>
      </x:c>
      <x:c r="X407" s="14" t="n">
        <x:f>INT(ABS(K408-K407)*'공식·설정'!$B$8/K407)</x:f>
        <x:v>717</x:v>
      </x:c>
      <x:c r="Y407" s="68" t="n">
        <x:f>X407-W407</x:f>
        <x:v>0</x:v>
      </x:c>
      <x:c r="Z407" s="66" t="n">
        <x:f>W407/'공식·설정'!$B$8</x:f>
        <x:v>0.0109405517578125</x:v>
      </x:c>
      <x:c r="AA407" s="66" t="n">
        <x:f>X407/'공식·설정'!$B$8</x:f>
        <x:v>0.0109405517578125</x:v>
      </x:c>
      <x:c r="AB407" s="67" t="str">
        <x:f>IF(AND(I407=0,L407=0,Q407=0,T407=0,Y407=0),"PASS","FAIL")</x:f>
        <x:v>PASS</x:v>
      </x:c>
    </x:row>
    <x:row r="408" ht="18" customHeight="1">
      <x:c r="A408" s="14" t="n">
        <x:v>511</x:v>
      </x:c>
      <x:c r="B408" s="14" t="n">
        <x:v>403</x:v>
      </x:c>
      <x:c r="C408" s="14" t="n">
        <x:v>504</x:v>
      </x:c>
      <x:c r="D408" s="14" t="n">
        <x:v>20555</x:v>
      </x:c>
      <x:c r="E408" s="14" t="n">
        <x:v>518</x:v>
      </x:c>
      <x:c r="F408" s="14" t="n">
        <x:v>23923</x:v>
      </x:c>
      <x:c r="G408" s="14" t="n">
        <x:v>22239</x:v>
      </x:c>
      <x:c r="H408" s="14" t="n">
        <x:f>INT((F408-D408)*(A408-C408)/(E408-C408))+D408</x:f>
        <x:v>22239</x:v>
      </x:c>
      <x:c r="I408" s="68" t="n">
        <x:f>H408-G408</x:f>
        <x:v>0</x:v>
      </x:c>
      <x:c r="J408" s="14" t="n">
        <x:v>144782</x:v>
      </x:c>
      <x:c r="K408" s="14" t="n">
        <x:f>INT(H408*'공식·설정'!$B$10/'공식·설정'!$B$15)</x:f>
        <x:v>144782</x:v>
      </x:c>
      <x:c r="L408" s="68" t="n">
        <x:f>K408-J408</x:f>
        <x:v>0</x:v>
      </x:c>
      <x:c r="M408" s="65" t="n">
        <x:f>J408/'공식·설정'!$B$7</x:f>
        <x:v>565.5546875</x:v>
      </x:c>
      <x:c r="N408" s="65" t="n">
        <x:f>K408/'공식·설정'!$B$7</x:f>
        <x:v>565.5546875</x:v>
      </x:c>
      <x:c r="O408" s="14" t="n">
        <x:v>57</x:v>
      </x:c>
      <x:c r="P408" s="14" t="n">
        <x:f>MIN(32767,MAX(0,INT((K408+INT('공식·설정'!$B$12/2))/'공식·설정'!$B$12)))</x:f>
        <x:v>57</x:v>
      </x:c>
      <x:c r="Q408" s="68" t="n">
        <x:f>P408-O408</x:f>
        <x:v>0</x:v>
      </x:c>
      <x:c r="R408" s="14" t="n">
        <x:v>154368</x:v>
      </x:c>
      <x:c r="S408" s="14" t="n">
        <x:f>P408*'공식·설정'!$B$12+'공식·설정'!$B$14</x:f>
        <x:v>154368</x:v>
      </x:c>
      <x:c r="T408" s="68" t="n">
        <x:f>S408-R408</x:f>
        <x:v>0</x:v>
      </x:c>
      <x:c r="U408" s="65" t="n">
        <x:f>R408/'공식·설정'!$B$7</x:f>
        <x:v>603</x:v>
      </x:c>
      <x:c r="V408" s="65" t="n">
        <x:f>S408/'공식·설정'!$B$7</x:f>
        <x:v>603</x:v>
      </x:c>
      <x:c r="W408" s="14" t="n">
        <x:v>707</x:v>
      </x:c>
      <x:c r="X408" s="14" t="n">
        <x:f>INT(ABS(K409-K408)*'공식·설정'!$B$8/K408)</x:f>
        <x:v>707</x:v>
      </x:c>
      <x:c r="Y408" s="68" t="n">
        <x:f>X408-W408</x:f>
        <x:v>0</x:v>
      </x:c>
      <x:c r="Z408" s="66" t="n">
        <x:f>W408/'공식·설정'!$B$8</x:f>
        <x:v>0.0107879638671875</x:v>
      </x:c>
      <x:c r="AA408" s="66" t="n">
        <x:f>X408/'공식·설정'!$B$8</x:f>
        <x:v>0.0107879638671875</x:v>
      </x:c>
      <x:c r="AB408" s="67" t="str">
        <x:f>IF(AND(I408=0,L408=0,Q408=0,T408=0,Y408=0),"PASS","FAIL")</x:f>
        <x:v>PASS</x:v>
      </x:c>
    </x:row>
    <x:row r="409" ht="18" customHeight="1">
      <x:c r="A409" s="14" t="n">
        <x:v>512</x:v>
      </x:c>
      <x:c r="B409" s="14" t="n">
        <x:v>404</x:v>
      </x:c>
      <x:c r="C409" s="14" t="n">
        <x:v>504</x:v>
      </x:c>
      <x:c r="D409" s="14" t="n">
        <x:v>20555</x:v>
      </x:c>
      <x:c r="E409" s="14" t="n">
        <x:v>518</x:v>
      </x:c>
      <x:c r="F409" s="14" t="n">
        <x:v>23923</x:v>
      </x:c>
      <x:c r="G409" s="14" t="n">
        <x:v>22479</x:v>
      </x:c>
      <x:c r="H409" s="14" t="n">
        <x:f>INT((F409-D409)*(A409-C409)/(E409-C409))+D409</x:f>
        <x:v>22479</x:v>
      </x:c>
      <x:c r="I409" s="68" t="n">
        <x:f>H409-G409</x:f>
        <x:v>0</x:v>
      </x:c>
      <x:c r="J409" s="14" t="n">
        <x:v>146344</x:v>
      </x:c>
      <x:c r="K409" s="14" t="n">
        <x:f>INT(H409*'공식·설정'!$B$10/'공식·설정'!$B$15)</x:f>
        <x:v>146344</x:v>
      </x:c>
      <x:c r="L409" s="68" t="n">
        <x:f>K409-J409</x:f>
        <x:v>0</x:v>
      </x:c>
      <x:c r="M409" s="65" t="n">
        <x:f>J409/'공식·설정'!$B$7</x:f>
        <x:v>571.65625</x:v>
      </x:c>
      <x:c r="N409" s="65" t="n">
        <x:f>K409/'공식·설정'!$B$7</x:f>
        <x:v>571.65625</x:v>
      </x:c>
      <x:c r="O409" s="14" t="n">
        <x:v>57</x:v>
      </x:c>
      <x:c r="P409" s="14" t="n">
        <x:f>MIN(32767,MAX(0,INT((K409+INT('공식·설정'!$B$12/2))/'공식·설정'!$B$12)))</x:f>
        <x:v>57</x:v>
      </x:c>
      <x:c r="Q409" s="68" t="n">
        <x:f>P409-O409</x:f>
        <x:v>0</x:v>
      </x:c>
      <x:c r="R409" s="14" t="n">
        <x:v>154368</x:v>
      </x:c>
      <x:c r="S409" s="14" t="n">
        <x:f>P409*'공식·설정'!$B$12+'공식·설정'!$B$14</x:f>
        <x:v>154368</x:v>
      </x:c>
      <x:c r="T409" s="68" t="n">
        <x:f>S409-R409</x:f>
        <x:v>0</x:v>
      </x:c>
      <x:c r="U409" s="65" t="n">
        <x:f>R409/'공식·설정'!$B$7</x:f>
        <x:v>603</x:v>
      </x:c>
      <x:c r="V409" s="65" t="n">
        <x:f>S409/'공식·설정'!$B$7</x:f>
        <x:v>603</x:v>
      </x:c>
      <x:c r="W409" s="14" t="n">
        <x:v>702</x:v>
      </x:c>
      <x:c r="X409" s="14" t="n">
        <x:f>INT(ABS(K410-K409)*'공식·설정'!$B$8/K409)</x:f>
        <x:v>702</x:v>
      </x:c>
      <x:c r="Y409" s="68" t="n">
        <x:f>X409-W409</x:f>
        <x:v>0</x:v>
      </x:c>
      <x:c r="Z409" s="66" t="n">
        <x:f>W409/'공식·설정'!$B$8</x:f>
        <x:v>0.010711669921875</x:v>
      </x:c>
      <x:c r="AA409" s="66" t="n">
        <x:f>X409/'공식·설정'!$B$8</x:f>
        <x:v>0.010711669921875</x:v>
      </x:c>
      <x:c r="AB409" s="67" t="str">
        <x:f>IF(AND(I409=0,L409=0,Q409=0,T409=0,Y409=0),"PASS","FAIL")</x:f>
        <x:v>PASS</x:v>
      </x:c>
    </x:row>
    <x:row r="410" ht="18" customHeight="1">
      <x:c r="A410" s="14" t="n">
        <x:v>513</x:v>
      </x:c>
      <x:c r="B410" s="14" t="n">
        <x:v>405</x:v>
      </x:c>
      <x:c r="C410" s="14" t="n">
        <x:v>504</x:v>
      </x:c>
      <x:c r="D410" s="14" t="n">
        <x:v>20555</x:v>
      </x:c>
      <x:c r="E410" s="14" t="n">
        <x:v>518</x:v>
      </x:c>
      <x:c r="F410" s="14" t="n">
        <x:v>23923</x:v>
      </x:c>
      <x:c r="G410" s="14" t="n">
        <x:v>22720</x:v>
      </x:c>
      <x:c r="H410" s="14" t="n">
        <x:f>INT((F410-D410)*(A410-C410)/(E410-C410))+D410</x:f>
        <x:v>22720</x:v>
      </x:c>
      <x:c r="I410" s="68" t="n">
        <x:f>H410-G410</x:f>
        <x:v>0</x:v>
      </x:c>
      <x:c r="J410" s="14" t="n">
        <x:v>147913</x:v>
      </x:c>
      <x:c r="K410" s="14" t="n">
        <x:f>INT(H410*'공식·설정'!$B$10/'공식·설정'!$B$15)</x:f>
        <x:v>147913</x:v>
      </x:c>
      <x:c r="L410" s="68" t="n">
        <x:f>K410-J410</x:f>
        <x:v>0</x:v>
      </x:c>
      <x:c r="M410" s="65" t="n">
        <x:f>J410/'공식·설정'!$B$7</x:f>
        <x:v>577.78515625</x:v>
      </x:c>
      <x:c r="N410" s="65" t="n">
        <x:f>K410/'공식·설정'!$B$7</x:f>
        <x:v>577.78515625</x:v>
      </x:c>
      <x:c r="O410" s="14" t="n">
        <x:v>58</x:v>
      </x:c>
      <x:c r="P410" s="14" t="n">
        <x:f>MIN(32767,MAX(0,INT((K410+INT('공식·설정'!$B$12/2))/'공식·설정'!$B$12)))</x:f>
        <x:v>58</x:v>
      </x:c>
      <x:c r="Q410" s="68" t="n">
        <x:f>P410-O410</x:f>
        <x:v>0</x:v>
      </x:c>
      <x:c r="R410" s="14" t="n">
        <x:v>156928</x:v>
      </x:c>
      <x:c r="S410" s="14" t="n">
        <x:f>P410*'공식·설정'!$B$12+'공식·설정'!$B$14</x:f>
        <x:v>156928</x:v>
      </x:c>
      <x:c r="T410" s="68" t="n">
        <x:f>S410-R410</x:f>
        <x:v>0</x:v>
      </x:c>
      <x:c r="U410" s="65" t="n">
        <x:f>R410/'공식·설정'!$B$7</x:f>
        <x:v>613</x:v>
      </x:c>
      <x:c r="V410" s="65" t="n">
        <x:f>S410/'공식·설정'!$B$7</x:f>
        <x:v>613</x:v>
      </x:c>
      <x:c r="W410" s="14" t="n">
        <x:v>692</x:v>
      </x:c>
      <x:c r="X410" s="14" t="n">
        <x:f>INT(ABS(K411-K410)*'공식·설정'!$B$8/K410)</x:f>
        <x:v>692</x:v>
      </x:c>
      <x:c r="Y410" s="68" t="n">
        <x:f>X410-W410</x:f>
        <x:v>0</x:v>
      </x:c>
      <x:c r="Z410" s="66" t="n">
        <x:f>W410/'공식·설정'!$B$8</x:f>
        <x:v>0.01055908203125</x:v>
      </x:c>
      <x:c r="AA410" s="66" t="n">
        <x:f>X410/'공식·설정'!$B$8</x:f>
        <x:v>0.01055908203125</x:v>
      </x:c>
      <x:c r="AB410" s="67" t="str">
        <x:f>IF(AND(I410=0,L410=0,Q410=0,T410=0,Y410=0),"PASS","FAIL")</x:f>
        <x:v>PASS</x:v>
      </x:c>
    </x:row>
    <x:row r="411" ht="18" customHeight="1">
      <x:c r="A411" s="14" t="n">
        <x:v>514</x:v>
      </x:c>
      <x:c r="B411" s="14" t="n">
        <x:v>406</x:v>
      </x:c>
      <x:c r="C411" s="14" t="n">
        <x:v>504</x:v>
      </x:c>
      <x:c r="D411" s="14" t="n">
        <x:v>20555</x:v>
      </x:c>
      <x:c r="E411" s="14" t="n">
        <x:v>518</x:v>
      </x:c>
      <x:c r="F411" s="14" t="n">
        <x:v>23923</x:v>
      </x:c>
      <x:c r="G411" s="14" t="n">
        <x:v>22960</x:v>
      </x:c>
      <x:c r="H411" s="14" t="n">
        <x:f>INT((F411-D411)*(A411-C411)/(E411-C411))+D411</x:f>
        <x:v>22960</x:v>
      </x:c>
      <x:c r="I411" s="68" t="n">
        <x:f>H411-G411</x:f>
        <x:v>0</x:v>
      </x:c>
      <x:c r="J411" s="14" t="n">
        <x:v>149476</x:v>
      </x:c>
      <x:c r="K411" s="14" t="n">
        <x:f>INT(H411*'공식·설정'!$B$10/'공식·설정'!$B$15)</x:f>
        <x:v>149476</x:v>
      </x:c>
      <x:c r="L411" s="68" t="n">
        <x:f>K411-J411</x:f>
        <x:v>0</x:v>
      </x:c>
      <x:c r="M411" s="65" t="n">
        <x:f>J411/'공식·설정'!$B$7</x:f>
        <x:v>583.890625</x:v>
      </x:c>
      <x:c r="N411" s="65" t="n">
        <x:f>K411/'공식·설정'!$B$7</x:f>
        <x:v>583.890625</x:v>
      </x:c>
      <x:c r="O411" s="14" t="n">
        <x:v>58</x:v>
      </x:c>
      <x:c r="P411" s="14" t="n">
        <x:f>MIN(32767,MAX(0,INT((K411+INT('공식·설정'!$B$12/2))/'공식·설정'!$B$12)))</x:f>
        <x:v>58</x:v>
      </x:c>
      <x:c r="Q411" s="68" t="n">
        <x:f>P411-O411</x:f>
        <x:v>0</x:v>
      </x:c>
      <x:c r="R411" s="14" t="n">
        <x:v>156928</x:v>
      </x:c>
      <x:c r="S411" s="14" t="n">
        <x:f>P411*'공식·설정'!$B$12+'공식·설정'!$B$14</x:f>
        <x:v>156928</x:v>
      </x:c>
      <x:c r="T411" s="68" t="n">
        <x:f>S411-R411</x:f>
        <x:v>0</x:v>
      </x:c>
      <x:c r="U411" s="65" t="n">
        <x:f>R411/'공식·설정'!$B$7</x:f>
        <x:v>613</x:v>
      </x:c>
      <x:c r="V411" s="65" t="n">
        <x:f>S411/'공식·설정'!$B$7</x:f>
        <x:v>613</x:v>
      </x:c>
      <x:c r="W411" s="14" t="n">
        <x:v>687</x:v>
      </x:c>
      <x:c r="X411" s="14" t="n">
        <x:f>INT(ABS(K412-K411)*'공식·설정'!$B$8/K411)</x:f>
        <x:v>687</x:v>
      </x:c>
      <x:c r="Y411" s="68" t="n">
        <x:f>X411-W411</x:f>
        <x:v>0</x:v>
      </x:c>
      <x:c r="Z411" s="66" t="n">
        <x:f>W411/'공식·설정'!$B$8</x:f>
        <x:v>0.0104827880859375</x:v>
      </x:c>
      <x:c r="AA411" s="66" t="n">
        <x:f>X411/'공식·설정'!$B$8</x:f>
        <x:v>0.0104827880859375</x:v>
      </x:c>
      <x:c r="AB411" s="67" t="str">
        <x:f>IF(AND(I411=0,L411=0,Q411=0,T411=0,Y411=0),"PASS","FAIL")</x:f>
        <x:v>PASS</x:v>
      </x:c>
    </x:row>
    <x:row r="412" ht="18" customHeight="1">
      <x:c r="A412" s="14" t="n">
        <x:v>515</x:v>
      </x:c>
      <x:c r="B412" s="14" t="n">
        <x:v>407</x:v>
      </x:c>
      <x:c r="C412" s="14" t="n">
        <x:v>504</x:v>
      </x:c>
      <x:c r="D412" s="14" t="n">
        <x:v>20555</x:v>
      </x:c>
      <x:c r="E412" s="14" t="n">
        <x:v>518</x:v>
      </x:c>
      <x:c r="F412" s="14" t="n">
        <x:v>23923</x:v>
      </x:c>
      <x:c r="G412" s="14" t="n">
        <x:v>23201</x:v>
      </x:c>
      <x:c r="H412" s="14" t="n">
        <x:f>INT((F412-D412)*(A412-C412)/(E412-C412))+D412</x:f>
        <x:v>23201</x:v>
      </x:c>
      <x:c r="I412" s="68" t="n">
        <x:f>H412-G412</x:f>
        <x:v>0</x:v>
      </x:c>
      <x:c r="J412" s="14" t="n">
        <x:v>151045</x:v>
      </x:c>
      <x:c r="K412" s="14" t="n">
        <x:f>INT(H412*'공식·설정'!$B$10/'공식·설정'!$B$15)</x:f>
        <x:v>151045</x:v>
      </x:c>
      <x:c r="L412" s="68" t="n">
        <x:f>K412-J412</x:f>
        <x:v>0</x:v>
      </x:c>
      <x:c r="M412" s="65" t="n">
        <x:f>J412/'공식·설정'!$B$7</x:f>
        <x:v>590.01953125</x:v>
      </x:c>
      <x:c r="N412" s="65" t="n">
        <x:f>K412/'공식·설정'!$B$7</x:f>
        <x:v>590.01953125</x:v>
      </x:c>
      <x:c r="O412" s="14" t="n">
        <x:v>59</x:v>
      </x:c>
      <x:c r="P412" s="14" t="n">
        <x:f>MIN(32767,MAX(0,INT((K412+INT('공식·설정'!$B$12/2))/'공식·설정'!$B$12)))</x:f>
        <x:v>59</x:v>
      </x:c>
      <x:c r="Q412" s="68" t="n">
        <x:f>P412-O412</x:f>
        <x:v>0</x:v>
      </x:c>
      <x:c r="R412" s="14" t="n">
        <x:v>159488</x:v>
      </x:c>
      <x:c r="S412" s="14" t="n">
        <x:f>P412*'공식·설정'!$B$12+'공식·설정'!$B$14</x:f>
        <x:v>159488</x:v>
      </x:c>
      <x:c r="T412" s="68" t="n">
        <x:f>S412-R412</x:f>
        <x:v>0</x:v>
      </x:c>
      <x:c r="U412" s="65" t="n">
        <x:f>R412/'공식·설정'!$B$7</x:f>
        <x:v>623</x:v>
      </x:c>
      <x:c r="V412" s="65" t="n">
        <x:f>S412/'공식·설정'!$B$7</x:f>
        <x:v>623</x:v>
      </x:c>
      <x:c r="W412" s="14" t="n">
        <x:v>677</x:v>
      </x:c>
      <x:c r="X412" s="14" t="n">
        <x:f>INT(ABS(K413-K412)*'공식·설정'!$B$8/K412)</x:f>
        <x:v>677</x:v>
      </x:c>
      <x:c r="Y412" s="68" t="n">
        <x:f>X412-W412</x:f>
        <x:v>0</x:v>
      </x:c>
      <x:c r="Z412" s="66" t="n">
        <x:f>W412/'공식·설정'!$B$8</x:f>
        <x:v>0.0103302001953125</x:v>
      </x:c>
      <x:c r="AA412" s="66" t="n">
        <x:f>X412/'공식·설정'!$B$8</x:f>
        <x:v>0.0103302001953125</x:v>
      </x:c>
      <x:c r="AB412" s="67" t="str">
        <x:f>IF(AND(I412=0,L412=0,Q412=0,T412=0,Y412=0),"PASS","FAIL")</x:f>
        <x:v>PASS</x:v>
      </x:c>
    </x:row>
    <x:row r="413" ht="18" customHeight="1">
      <x:c r="A413" s="14" t="n">
        <x:v>516</x:v>
      </x:c>
      <x:c r="B413" s="14" t="n">
        <x:v>408</x:v>
      </x:c>
      <x:c r="C413" s="14" t="n">
        <x:v>504</x:v>
      </x:c>
      <x:c r="D413" s="14" t="n">
        <x:v>20555</x:v>
      </x:c>
      <x:c r="E413" s="14" t="n">
        <x:v>518</x:v>
      </x:c>
      <x:c r="F413" s="14" t="n">
        <x:v>23923</x:v>
      </x:c>
      <x:c r="G413" s="14" t="n">
        <x:v>23441</x:v>
      </x:c>
      <x:c r="H413" s="14" t="n">
        <x:f>INT((F413-D413)*(A413-C413)/(E413-C413))+D413</x:f>
        <x:v>23441</x:v>
      </x:c>
      <x:c r="I413" s="68" t="n">
        <x:f>H413-G413</x:f>
        <x:v>0</x:v>
      </x:c>
      <x:c r="J413" s="14" t="n">
        <x:v>152607</x:v>
      </x:c>
      <x:c r="K413" s="14" t="n">
        <x:f>INT(H413*'공식·설정'!$B$10/'공식·설정'!$B$15)</x:f>
        <x:v>152607</x:v>
      </x:c>
      <x:c r="L413" s="68" t="n">
        <x:f>K413-J413</x:f>
        <x:v>0</x:v>
      </x:c>
      <x:c r="M413" s="65" t="n">
        <x:f>J413/'공식·설정'!$B$7</x:f>
        <x:v>596.12109375</x:v>
      </x:c>
      <x:c r="N413" s="65" t="n">
        <x:f>K413/'공식·설정'!$B$7</x:f>
        <x:v>596.12109375</x:v>
      </x:c>
      <x:c r="O413" s="14" t="n">
        <x:v>60</x:v>
      </x:c>
      <x:c r="P413" s="14" t="n">
        <x:f>MIN(32767,MAX(0,INT((K413+INT('공식·설정'!$B$12/2))/'공식·설정'!$B$12)))</x:f>
        <x:v>60</x:v>
      </x:c>
      <x:c r="Q413" s="68" t="n">
        <x:f>P413-O413</x:f>
        <x:v>0</x:v>
      </x:c>
      <x:c r="R413" s="14" t="n">
        <x:v>162048</x:v>
      </x:c>
      <x:c r="S413" s="14" t="n">
        <x:f>P413*'공식·설정'!$B$12+'공식·설정'!$B$14</x:f>
        <x:v>162048</x:v>
      </x:c>
      <x:c r="T413" s="68" t="n">
        <x:f>S413-R413</x:f>
        <x:v>0</x:v>
      </x:c>
      <x:c r="U413" s="65" t="n">
        <x:f>R413/'공식·설정'!$B$7</x:f>
        <x:v>633</x:v>
      </x:c>
      <x:c r="V413" s="65" t="n">
        <x:f>S413/'공식·설정'!$B$7</x:f>
        <x:v>633</x:v>
      </x:c>
      <x:c r="W413" s="14" t="n">
        <x:v>673</x:v>
      </x:c>
      <x:c r="X413" s="14" t="n">
        <x:f>INT(ABS(K414-K413)*'공식·설정'!$B$8/K413)</x:f>
        <x:v>673</x:v>
      </x:c>
      <x:c r="Y413" s="68" t="n">
        <x:f>X413-W413</x:f>
        <x:v>0</x:v>
      </x:c>
      <x:c r="Z413" s="66" t="n">
        <x:f>W413/'공식·설정'!$B$8</x:f>
        <x:v>0.0102691650390625</x:v>
      </x:c>
      <x:c r="AA413" s="66" t="n">
        <x:f>X413/'공식·설정'!$B$8</x:f>
        <x:v>0.0102691650390625</x:v>
      </x:c>
      <x:c r="AB413" s="67" t="str">
        <x:f>IF(AND(I413=0,L413=0,Q413=0,T413=0,Y413=0),"PASS","FAIL")</x:f>
        <x:v>PASS</x:v>
      </x:c>
    </x:row>
    <x:row r="414" ht="18" customHeight="1">
      <x:c r="A414" s="14" t="n">
        <x:v>517</x:v>
      </x:c>
      <x:c r="B414" s="14" t="n">
        <x:v>409</x:v>
      </x:c>
      <x:c r="C414" s="14" t="n">
        <x:v>504</x:v>
      </x:c>
      <x:c r="D414" s="14" t="n">
        <x:v>20555</x:v>
      </x:c>
      <x:c r="E414" s="14" t="n">
        <x:v>518</x:v>
      </x:c>
      <x:c r="F414" s="14" t="n">
        <x:v>23923</x:v>
      </x:c>
      <x:c r="G414" s="14" t="n">
        <x:v>23682</x:v>
      </x:c>
      <x:c r="H414" s="14" t="n">
        <x:f>INT((F414-D414)*(A414-C414)/(E414-C414))+D414</x:f>
        <x:v>23682</x:v>
      </x:c>
      <x:c r="I414" s="68" t="n">
        <x:f>H414-G414</x:f>
        <x:v>0</x:v>
      </x:c>
      <x:c r="J414" s="14" t="n">
        <x:v>154176</x:v>
      </x:c>
      <x:c r="K414" s="14" t="n">
        <x:f>INT(H414*'공식·설정'!$B$10/'공식·설정'!$B$15)</x:f>
        <x:v>154176</x:v>
      </x:c>
      <x:c r="L414" s="68" t="n">
        <x:f>K414-J414</x:f>
        <x:v>0</x:v>
      </x:c>
      <x:c r="M414" s="65" t="n">
        <x:f>J414/'공식·설정'!$B$7</x:f>
        <x:v>602.25</x:v>
      </x:c>
      <x:c r="N414" s="65" t="n">
        <x:f>K414/'공식·설정'!$B$7</x:f>
        <x:v>602.25</x:v>
      </x:c>
      <x:c r="O414" s="14" t="n">
        <x:v>60</x:v>
      </x:c>
      <x:c r="P414" s="14" t="n">
        <x:f>MIN(32767,MAX(0,INT((K414+INT('공식·설정'!$B$12/2))/'공식·설정'!$B$12)))</x:f>
        <x:v>60</x:v>
      </x:c>
      <x:c r="Q414" s="68" t="n">
        <x:f>P414-O414</x:f>
        <x:v>0</x:v>
      </x:c>
      <x:c r="R414" s="14" t="n">
        <x:v>162048</x:v>
      </x:c>
      <x:c r="S414" s="14" t="n">
        <x:f>P414*'공식·설정'!$B$12+'공식·설정'!$B$14</x:f>
        <x:v>162048</x:v>
      </x:c>
      <x:c r="T414" s="68" t="n">
        <x:f>S414-R414</x:f>
        <x:v>0</x:v>
      </x:c>
      <x:c r="U414" s="65" t="n">
        <x:f>R414/'공식·설정'!$B$7</x:f>
        <x:v>633</x:v>
      </x:c>
      <x:c r="V414" s="65" t="n">
        <x:f>S414/'공식·설정'!$B$7</x:f>
        <x:v>633</x:v>
      </x:c>
      <x:c r="W414" s="14" t="n">
        <x:v>666</x:v>
      </x:c>
      <x:c r="X414" s="14" t="n">
        <x:f>INT(ABS(K415-K414)*'공식·설정'!$B$8/K414)</x:f>
        <x:v>666</x:v>
      </x:c>
      <x:c r="Y414" s="68" t="n">
        <x:f>X414-W414</x:f>
        <x:v>0</x:v>
      </x:c>
      <x:c r="Z414" s="66" t="n">
        <x:f>W414/'공식·설정'!$B$8</x:f>
        <x:v>0.010162353515625</x:v>
      </x:c>
      <x:c r="AA414" s="66" t="n">
        <x:f>X414/'공식·설정'!$B$8</x:f>
        <x:v>0.010162353515625</x:v>
      </x:c>
      <x:c r="AB414" s="67" t="str">
        <x:f>IF(AND(I414=0,L414=0,Q414=0,T414=0,Y414=0),"PASS","FAIL")</x:f>
        <x:v>PASS</x:v>
      </x:c>
    </x:row>
    <x:row r="415" ht="18" customHeight="1">
      <x:c r="A415" s="14" t="n">
        <x:v>518</x:v>
      </x:c>
      <x:c r="B415" s="14" t="n">
        <x:v>410</x:v>
      </x:c>
      <x:c r="C415" s="14" t="n">
        <x:v>518</x:v>
      </x:c>
      <x:c r="D415" s="14" t="n">
        <x:v>23923</x:v>
      </x:c>
      <x:c r="E415" s="14" t="n">
        <x:v>532</x:v>
      </x:c>
      <x:c r="F415" s="14" t="n">
        <x:v>27840</x:v>
      </x:c>
      <x:c r="G415" s="14" t="n">
        <x:v>23923</x:v>
      </x:c>
      <x:c r="H415" s="14" t="n">
        <x:f>INT((F415-D415)*(A415-C415)/(E415-C415))+D415</x:f>
        <x:v>23923</x:v>
      </x:c>
      <x:c r="I415" s="68" t="n">
        <x:f>H415-G415</x:f>
        <x:v>0</x:v>
      </x:c>
      <x:c r="J415" s="14" t="n">
        <x:v>155745</x:v>
      </x:c>
      <x:c r="K415" s="14" t="n">
        <x:f>INT(H415*'공식·설정'!$B$10/'공식·설정'!$B$15)</x:f>
        <x:v>155745</x:v>
      </x:c>
      <x:c r="L415" s="68" t="n">
        <x:f>K415-J415</x:f>
        <x:v>0</x:v>
      </x:c>
      <x:c r="M415" s="65" t="n">
        <x:f>J415/'공식·설정'!$B$7</x:f>
        <x:v>608.37890625</x:v>
      </x:c>
      <x:c r="N415" s="65" t="n">
        <x:f>K415/'공식·설정'!$B$7</x:f>
        <x:v>608.37890625</x:v>
      </x:c>
      <x:c r="O415" s="14" t="n">
        <x:v>61</x:v>
      </x:c>
      <x:c r="P415" s="14" t="n">
        <x:f>MIN(32767,MAX(0,INT((K415+INT('공식·설정'!$B$12/2))/'공식·설정'!$B$12)))</x:f>
        <x:v>61</x:v>
      </x:c>
      <x:c r="Q415" s="68" t="n">
        <x:f>P415-O415</x:f>
        <x:v>0</x:v>
      </x:c>
      <x:c r="R415" s="14" t="n">
        <x:v>164608</x:v>
      </x:c>
      <x:c r="S415" s="14" t="n">
        <x:f>P415*'공식·설정'!$B$12+'공식·설정'!$B$14</x:f>
        <x:v>164608</x:v>
      </x:c>
      <x:c r="T415" s="68" t="n">
        <x:f>S415-R415</x:f>
        <x:v>0</x:v>
      </x:c>
      <x:c r="U415" s="65" t="n">
        <x:f>R415/'공식·설정'!$B$7</x:f>
        <x:v>643</x:v>
      </x:c>
      <x:c r="V415" s="65" t="n">
        <x:f>S415/'공식·설정'!$B$7</x:f>
        <x:v>643</x:v>
      </x:c>
      <x:c r="W415" s="14" t="n">
        <x:v>764</x:v>
      </x:c>
      <x:c r="X415" s="14" t="n">
        <x:f>INT(ABS(K416-K415)*'공식·설정'!$B$8/K415)</x:f>
        <x:v>764</x:v>
      </x:c>
      <x:c r="Y415" s="68" t="n">
        <x:f>X415-W415</x:f>
        <x:v>0</x:v>
      </x:c>
      <x:c r="Z415" s="66" t="n">
        <x:f>W415/'공식·설정'!$B$8</x:f>
        <x:v>0.01165771484375</x:v>
      </x:c>
      <x:c r="AA415" s="66" t="n">
        <x:f>X415/'공식·설정'!$B$8</x:f>
        <x:v>0.01165771484375</x:v>
      </x:c>
      <x:c r="AB415" s="67" t="str">
        <x:f>IF(AND(I415=0,L415=0,Q415=0,T415=0,Y415=0),"PASS","FAIL")</x:f>
        <x:v>PASS</x:v>
      </x:c>
    </x:row>
    <x:row r="416" ht="18" customHeight="1">
      <x:c r="A416" s="14" t="n">
        <x:v>519</x:v>
      </x:c>
      <x:c r="B416" s="14" t="n">
        <x:v>411</x:v>
      </x:c>
      <x:c r="C416" s="14" t="n">
        <x:v>518</x:v>
      </x:c>
      <x:c r="D416" s="14" t="n">
        <x:v>23923</x:v>
      </x:c>
      <x:c r="E416" s="14" t="n">
        <x:v>532</x:v>
      </x:c>
      <x:c r="F416" s="14" t="n">
        <x:v>27840</x:v>
      </x:c>
      <x:c r="G416" s="14" t="n">
        <x:v>24202</x:v>
      </x:c>
      <x:c r="H416" s="14" t="n">
        <x:f>INT((F416-D416)*(A416-C416)/(E416-C416))+D416</x:f>
        <x:v>24202</x:v>
      </x:c>
      <x:c r="I416" s="68" t="n">
        <x:f>H416-G416</x:f>
        <x:v>0</x:v>
      </x:c>
      <x:c r="J416" s="14" t="n">
        <x:v>157561</x:v>
      </x:c>
      <x:c r="K416" s="14" t="n">
        <x:f>INT(H416*'공식·설정'!$B$10/'공식·설정'!$B$15)</x:f>
        <x:v>157561</x:v>
      </x:c>
      <x:c r="L416" s="68" t="n">
        <x:f>K416-J416</x:f>
        <x:v>0</x:v>
      </x:c>
      <x:c r="M416" s="65" t="n">
        <x:f>J416/'공식·설정'!$B$7</x:f>
        <x:v>615.47265625</x:v>
      </x:c>
      <x:c r="N416" s="65" t="n">
        <x:f>K416/'공식·설정'!$B$7</x:f>
        <x:v>615.47265625</x:v>
      </x:c>
      <x:c r="O416" s="14" t="n">
        <x:v>62</x:v>
      </x:c>
      <x:c r="P416" s="14" t="n">
        <x:f>MIN(32767,MAX(0,INT((K416+INT('공식·설정'!$B$12/2))/'공식·설정'!$B$12)))</x:f>
        <x:v>62</x:v>
      </x:c>
      <x:c r="Q416" s="68" t="n">
        <x:f>P416-O416</x:f>
        <x:v>0</x:v>
      </x:c>
      <x:c r="R416" s="14" t="n">
        <x:v>167168</x:v>
      </x:c>
      <x:c r="S416" s="14" t="n">
        <x:f>P416*'공식·설정'!$B$12+'공식·설정'!$B$14</x:f>
        <x:v>167168</x:v>
      </x:c>
      <x:c r="T416" s="68" t="n">
        <x:f>S416-R416</x:f>
        <x:v>0</x:v>
      </x:c>
      <x:c r="U416" s="65" t="n">
        <x:f>R416/'공식·설정'!$B$7</x:f>
        <x:v>653</x:v>
      </x:c>
      <x:c r="V416" s="65" t="n">
        <x:f>S416/'공식·설정'!$B$7</x:f>
        <x:v>653</x:v>
      </x:c>
      <x:c r="W416" s="14" t="n">
        <x:v>758</x:v>
      </x:c>
      <x:c r="X416" s="14" t="n">
        <x:f>INT(ABS(K417-K416)*'공식·설정'!$B$8/K416)</x:f>
        <x:v>758</x:v>
      </x:c>
      <x:c r="Y416" s="68" t="n">
        <x:f>X416-W416</x:f>
        <x:v>0</x:v>
      </x:c>
      <x:c r="Z416" s="66" t="n">
        <x:f>W416/'공식·설정'!$B$8</x:f>
        <x:v>0.011566162109375</x:v>
      </x:c>
      <x:c r="AA416" s="66" t="n">
        <x:f>X416/'공식·설정'!$B$8</x:f>
        <x:v>0.011566162109375</x:v>
      </x:c>
      <x:c r="AB416" s="67" t="str">
        <x:f>IF(AND(I416=0,L416=0,Q416=0,T416=0,Y416=0),"PASS","FAIL")</x:f>
        <x:v>PASS</x:v>
      </x:c>
    </x:row>
    <x:row r="417" ht="18" customHeight="1">
      <x:c r="A417" s="14" t="n">
        <x:v>520</x:v>
      </x:c>
      <x:c r="B417" s="14" t="n">
        <x:v>412</x:v>
      </x:c>
      <x:c r="C417" s="14" t="n">
        <x:v>518</x:v>
      </x:c>
      <x:c r="D417" s="14" t="n">
        <x:v>23923</x:v>
      </x:c>
      <x:c r="E417" s="14" t="n">
        <x:v>532</x:v>
      </x:c>
      <x:c r="F417" s="14" t="n">
        <x:v>27840</x:v>
      </x:c>
      <x:c r="G417" s="14" t="n">
        <x:v>24482</x:v>
      </x:c>
      <x:c r="H417" s="14" t="n">
        <x:f>INT((F417-D417)*(A417-C417)/(E417-C417))+D417</x:f>
        <x:v>24482</x:v>
      </x:c>
      <x:c r="I417" s="68" t="n">
        <x:f>H417-G417</x:f>
        <x:v>0</x:v>
      </x:c>
      <x:c r="J417" s="14" t="n">
        <x:v>159384</x:v>
      </x:c>
      <x:c r="K417" s="14" t="n">
        <x:f>INT(H417*'공식·설정'!$B$10/'공식·설정'!$B$15)</x:f>
        <x:v>159384</x:v>
      </x:c>
      <x:c r="L417" s="68" t="n">
        <x:f>K417-J417</x:f>
        <x:v>0</x:v>
      </x:c>
      <x:c r="M417" s="65" t="n">
        <x:f>J417/'공식·설정'!$B$7</x:f>
        <x:v>622.59375</x:v>
      </x:c>
      <x:c r="N417" s="65" t="n">
        <x:f>K417/'공식·설정'!$B$7</x:f>
        <x:v>622.59375</x:v>
      </x:c>
      <x:c r="O417" s="14" t="n">
        <x:v>62</x:v>
      </x:c>
      <x:c r="P417" s="14" t="n">
        <x:f>MIN(32767,MAX(0,INT((K417+INT('공식·설정'!$B$12/2))/'공식·설정'!$B$12)))</x:f>
        <x:v>62</x:v>
      </x:c>
      <x:c r="Q417" s="68" t="n">
        <x:f>P417-O417</x:f>
        <x:v>0</x:v>
      </x:c>
      <x:c r="R417" s="14" t="n">
        <x:v>167168</x:v>
      </x:c>
      <x:c r="S417" s="14" t="n">
        <x:f>P417*'공식·설정'!$B$12+'공식·설정'!$B$14</x:f>
        <x:v>167168</x:v>
      </x:c>
      <x:c r="T417" s="68" t="n">
        <x:f>S417-R417</x:f>
        <x:v>0</x:v>
      </x:c>
      <x:c r="U417" s="65" t="n">
        <x:f>R417/'공식·설정'!$B$7</x:f>
        <x:v>653</x:v>
      </x:c>
      <x:c r="V417" s="65" t="n">
        <x:f>S417/'공식·설정'!$B$7</x:f>
        <x:v>653</x:v>
      </x:c>
      <x:c r="W417" s="14" t="n">
        <x:v>749</x:v>
      </x:c>
      <x:c r="X417" s="14" t="n">
        <x:f>INT(ABS(K418-K417)*'공식·설정'!$B$8/K417)</x:f>
        <x:v>749</x:v>
      </x:c>
      <x:c r="Y417" s="68" t="n">
        <x:f>X417-W417</x:f>
        <x:v>0</x:v>
      </x:c>
      <x:c r="Z417" s="66" t="n">
        <x:f>W417/'공식·설정'!$B$8</x:f>
        <x:v>0.0114288330078125</x:v>
      </x:c>
      <x:c r="AA417" s="66" t="n">
        <x:f>X417/'공식·설정'!$B$8</x:f>
        <x:v>0.0114288330078125</x:v>
      </x:c>
      <x:c r="AB417" s="67" t="str">
        <x:f>IF(AND(I417=0,L417=0,Q417=0,T417=0,Y417=0),"PASS","FAIL")</x:f>
        <x:v>PASS</x:v>
      </x:c>
    </x:row>
    <x:row r="418" ht="18" customHeight="1">
      <x:c r="A418" s="14" t="n">
        <x:v>521</x:v>
      </x:c>
      <x:c r="B418" s="14" t="n">
        <x:v>413</x:v>
      </x:c>
      <x:c r="C418" s="14" t="n">
        <x:v>518</x:v>
      </x:c>
      <x:c r="D418" s="14" t="n">
        <x:v>23923</x:v>
      </x:c>
      <x:c r="E418" s="14" t="n">
        <x:v>532</x:v>
      </x:c>
      <x:c r="F418" s="14" t="n">
        <x:v>27840</x:v>
      </x:c>
      <x:c r="G418" s="14" t="n">
        <x:v>24762</x:v>
      </x:c>
      <x:c r="H418" s="14" t="n">
        <x:f>INT((F418-D418)*(A418-C418)/(E418-C418))+D418</x:f>
        <x:v>24762</x:v>
      </x:c>
      <x:c r="I418" s="68" t="n">
        <x:f>H418-G418</x:f>
        <x:v>0</x:v>
      </x:c>
      <x:c r="J418" s="14" t="n">
        <x:v>161207</x:v>
      </x:c>
      <x:c r="K418" s="14" t="n">
        <x:f>INT(H418*'공식·설정'!$B$10/'공식·설정'!$B$15)</x:f>
        <x:v>161207</x:v>
      </x:c>
      <x:c r="L418" s="68" t="n">
        <x:f>K418-J418</x:f>
        <x:v>0</x:v>
      </x:c>
      <x:c r="M418" s="65" t="n">
        <x:f>J418/'공식·설정'!$B$7</x:f>
        <x:v>629.71484375</x:v>
      </x:c>
      <x:c r="N418" s="65" t="n">
        <x:f>K418/'공식·설정'!$B$7</x:f>
        <x:v>629.71484375</x:v>
      </x:c>
      <x:c r="O418" s="14" t="n">
        <x:v>63</x:v>
      </x:c>
      <x:c r="P418" s="14" t="n">
        <x:f>MIN(32767,MAX(0,INT((K418+INT('공식·설정'!$B$12/2))/'공식·설정'!$B$12)))</x:f>
        <x:v>63</x:v>
      </x:c>
      <x:c r="Q418" s="68" t="n">
        <x:f>P418-O418</x:f>
        <x:v>0</x:v>
      </x:c>
      <x:c r="R418" s="14" t="n">
        <x:v>169728</x:v>
      </x:c>
      <x:c r="S418" s="14" t="n">
        <x:f>P418*'공식·설정'!$B$12+'공식·설정'!$B$14</x:f>
        <x:v>169728</x:v>
      </x:c>
      <x:c r="T418" s="68" t="n">
        <x:f>S418-R418</x:f>
        <x:v>0</x:v>
      </x:c>
      <x:c r="U418" s="65" t="n">
        <x:f>R418/'공식·설정'!$B$7</x:f>
        <x:v>663</x:v>
      </x:c>
      <x:c r="V418" s="65" t="n">
        <x:f>S418/'공식·설정'!$B$7</x:f>
        <x:v>663</x:v>
      </x:c>
      <x:c r="W418" s="14" t="n">
        <x:v>741</x:v>
      </x:c>
      <x:c r="X418" s="14" t="n">
        <x:f>INT(ABS(K419-K418)*'공식·설정'!$B$8/K418)</x:f>
        <x:v>741</x:v>
      </x:c>
      <x:c r="Y418" s="68" t="n">
        <x:f>X418-W418</x:f>
        <x:v>0</x:v>
      </x:c>
      <x:c r="Z418" s="66" t="n">
        <x:f>W418/'공식·설정'!$B$8</x:f>
        <x:v>0.0113067626953125</x:v>
      </x:c>
      <x:c r="AA418" s="66" t="n">
        <x:f>X418/'공식·설정'!$B$8</x:f>
        <x:v>0.0113067626953125</x:v>
      </x:c>
      <x:c r="AB418" s="67" t="str">
        <x:f>IF(AND(I418=0,L418=0,Q418=0,T418=0,Y418=0),"PASS","FAIL")</x:f>
        <x:v>PASS</x:v>
      </x:c>
    </x:row>
    <x:row r="419" ht="18" customHeight="1">
      <x:c r="A419" s="14" t="n">
        <x:v>522</x:v>
      </x:c>
      <x:c r="B419" s="14" t="n">
        <x:v>414</x:v>
      </x:c>
      <x:c r="C419" s="14" t="n">
        <x:v>518</x:v>
      </x:c>
      <x:c r="D419" s="14" t="n">
        <x:v>23923</x:v>
      </x:c>
      <x:c r="E419" s="14" t="n">
        <x:v>532</x:v>
      </x:c>
      <x:c r="F419" s="14" t="n">
        <x:v>27840</x:v>
      </x:c>
      <x:c r="G419" s="14" t="n">
        <x:v>25042</x:v>
      </x:c>
      <x:c r="H419" s="14" t="n">
        <x:f>INT((F419-D419)*(A419-C419)/(E419-C419))+D419</x:f>
        <x:v>25042</x:v>
      </x:c>
      <x:c r="I419" s="68" t="n">
        <x:f>H419-G419</x:f>
        <x:v>0</x:v>
      </x:c>
      <x:c r="J419" s="14" t="n">
        <x:v>163030</x:v>
      </x:c>
      <x:c r="K419" s="14" t="n">
        <x:f>INT(H419*'공식·설정'!$B$10/'공식·설정'!$B$15)</x:f>
        <x:v>163030</x:v>
      </x:c>
      <x:c r="L419" s="68" t="n">
        <x:f>K419-J419</x:f>
        <x:v>0</x:v>
      </x:c>
      <x:c r="M419" s="65" t="n">
        <x:f>J419/'공식·설정'!$B$7</x:f>
        <x:v>636.8359375</x:v>
      </x:c>
      <x:c r="N419" s="65" t="n">
        <x:f>K419/'공식·설정'!$B$7</x:f>
        <x:v>636.8359375</x:v>
      </x:c>
      <x:c r="O419" s="14" t="n">
        <x:v>64</x:v>
      </x:c>
      <x:c r="P419" s="14" t="n">
        <x:f>MIN(32767,MAX(0,INT((K419+INT('공식·설정'!$B$12/2))/'공식·설정'!$B$12)))</x:f>
        <x:v>64</x:v>
      </x:c>
      <x:c r="Q419" s="68" t="n">
        <x:f>P419-O419</x:f>
        <x:v>0</x:v>
      </x:c>
      <x:c r="R419" s="14" t="n">
        <x:v>172288</x:v>
      </x:c>
      <x:c r="S419" s="14" t="n">
        <x:f>P419*'공식·설정'!$B$12+'공식·설정'!$B$14</x:f>
        <x:v>172288</x:v>
      </x:c>
      <x:c r="T419" s="68" t="n">
        <x:f>S419-R419</x:f>
        <x:v>0</x:v>
      </x:c>
      <x:c r="U419" s="65" t="n">
        <x:f>R419/'공식·설정'!$B$7</x:f>
        <x:v>673</x:v>
      </x:c>
      <x:c r="V419" s="65" t="n">
        <x:f>S419/'공식·설정'!$B$7</x:f>
        <x:v>673</x:v>
      </x:c>
      <x:c r="W419" s="14" t="n">
        <x:v>730</x:v>
      </x:c>
      <x:c r="X419" s="14" t="n">
        <x:f>INT(ABS(K420-K419)*'공식·설정'!$B$8/K419)</x:f>
        <x:v>730</x:v>
      </x:c>
      <x:c r="Y419" s="68" t="n">
        <x:f>X419-W419</x:f>
        <x:v>0</x:v>
      </x:c>
      <x:c r="Z419" s="66" t="n">
        <x:f>W419/'공식·설정'!$B$8</x:f>
        <x:v>0.011138916015625</x:v>
      </x:c>
      <x:c r="AA419" s="66" t="n">
        <x:f>X419/'공식·설정'!$B$8</x:f>
        <x:v>0.011138916015625</x:v>
      </x:c>
      <x:c r="AB419" s="67" t="str">
        <x:f>IF(AND(I419=0,L419=0,Q419=0,T419=0,Y419=0),"PASS","FAIL")</x:f>
        <x:v>PASS</x:v>
      </x:c>
    </x:row>
    <x:row r="420" ht="18" customHeight="1">
      <x:c r="A420" s="14" t="n">
        <x:v>523</x:v>
      </x:c>
      <x:c r="B420" s="14" t="n">
        <x:v>415</x:v>
      </x:c>
      <x:c r="C420" s="14" t="n">
        <x:v>518</x:v>
      </x:c>
      <x:c r="D420" s="14" t="n">
        <x:v>23923</x:v>
      </x:c>
      <x:c r="E420" s="14" t="n">
        <x:v>532</x:v>
      </x:c>
      <x:c r="F420" s="14" t="n">
        <x:v>27840</x:v>
      </x:c>
      <x:c r="G420" s="14" t="n">
        <x:v>25321</x:v>
      </x:c>
      <x:c r="H420" s="14" t="n">
        <x:f>INT((F420-D420)*(A420-C420)/(E420-C420))+D420</x:f>
        <x:v>25321</x:v>
      </x:c>
      <x:c r="I420" s="68" t="n">
        <x:f>H420-G420</x:f>
        <x:v>0</x:v>
      </x:c>
      <x:c r="J420" s="14" t="n">
        <x:v>164846</x:v>
      </x:c>
      <x:c r="K420" s="14" t="n">
        <x:f>INT(H420*'공식·설정'!$B$10/'공식·설정'!$B$15)</x:f>
        <x:v>164846</x:v>
      </x:c>
      <x:c r="L420" s="68" t="n">
        <x:f>K420-J420</x:f>
        <x:v>0</x:v>
      </x:c>
      <x:c r="M420" s="65" t="n">
        <x:f>J420/'공식·설정'!$B$7</x:f>
        <x:v>643.9296875</x:v>
      </x:c>
      <x:c r="N420" s="65" t="n">
        <x:f>K420/'공식·설정'!$B$7</x:f>
        <x:v>643.9296875</x:v>
      </x:c>
      <x:c r="O420" s="14" t="n">
        <x:v>64</x:v>
      </x:c>
      <x:c r="P420" s="14" t="n">
        <x:f>MIN(32767,MAX(0,INT((K420+INT('공식·설정'!$B$12/2))/'공식·설정'!$B$12)))</x:f>
        <x:v>64</x:v>
      </x:c>
      <x:c r="Q420" s="68" t="n">
        <x:f>P420-O420</x:f>
        <x:v>0</x:v>
      </x:c>
      <x:c r="R420" s="14" t="n">
        <x:v>172288</x:v>
      </x:c>
      <x:c r="S420" s="14" t="n">
        <x:f>P420*'공식·설정'!$B$12+'공식·설정'!$B$14</x:f>
        <x:v>172288</x:v>
      </x:c>
      <x:c r="T420" s="68" t="n">
        <x:f>S420-R420</x:f>
        <x:v>0</x:v>
      </x:c>
      <x:c r="U420" s="65" t="n">
        <x:f>R420/'공식·설정'!$B$7</x:f>
        <x:v>673</x:v>
      </x:c>
      <x:c r="V420" s="65" t="n">
        <x:f>S420/'공식·설정'!$B$7</x:f>
        <x:v>673</x:v>
      </x:c>
      <x:c r="W420" s="14" t="n">
        <x:v>724</x:v>
      </x:c>
      <x:c r="X420" s="14" t="n">
        <x:f>INT(ABS(K421-K420)*'공식·설정'!$B$8/K420)</x:f>
        <x:v>724</x:v>
      </x:c>
      <x:c r="Y420" s="68" t="n">
        <x:f>X420-W420</x:f>
        <x:v>0</x:v>
      </x:c>
      <x:c r="Z420" s="66" t="n">
        <x:f>W420/'공식·설정'!$B$8</x:f>
        <x:v>0.01104736328125</x:v>
      </x:c>
      <x:c r="AA420" s="66" t="n">
        <x:f>X420/'공식·설정'!$B$8</x:f>
        <x:v>0.01104736328125</x:v>
      </x:c>
      <x:c r="AB420" s="67" t="str">
        <x:f>IF(AND(I420=0,L420=0,Q420=0,T420=0,Y420=0),"PASS","FAIL")</x:f>
        <x:v>PASS</x:v>
      </x:c>
    </x:row>
    <x:row r="421" ht="18" customHeight="1">
      <x:c r="A421" s="14" t="n">
        <x:v>524</x:v>
      </x:c>
      <x:c r="B421" s="14" t="n">
        <x:v>416</x:v>
      </x:c>
      <x:c r="C421" s="14" t="n">
        <x:v>518</x:v>
      </x:c>
      <x:c r="D421" s="14" t="n">
        <x:v>23923</x:v>
      </x:c>
      <x:c r="E421" s="14" t="n">
        <x:v>532</x:v>
      </x:c>
      <x:c r="F421" s="14" t="n">
        <x:v>27840</x:v>
      </x:c>
      <x:c r="G421" s="14" t="n">
        <x:v>25601</x:v>
      </x:c>
      <x:c r="H421" s="14" t="n">
        <x:f>INT((F421-D421)*(A421-C421)/(E421-C421))+D421</x:f>
        <x:v>25601</x:v>
      </x:c>
      <x:c r="I421" s="68" t="n">
        <x:f>H421-G421</x:f>
        <x:v>0</x:v>
      </x:c>
      <x:c r="J421" s="14" t="n">
        <x:v>166669</x:v>
      </x:c>
      <x:c r="K421" s="14" t="n">
        <x:f>INT(H421*'공식·설정'!$B$10/'공식·설정'!$B$15)</x:f>
        <x:v>166669</x:v>
      </x:c>
      <x:c r="L421" s="68" t="n">
        <x:f>K421-J421</x:f>
        <x:v>0</x:v>
      </x:c>
      <x:c r="M421" s="65" t="n">
        <x:f>J421/'공식·설정'!$B$7</x:f>
        <x:v>651.05078125</x:v>
      </x:c>
      <x:c r="N421" s="65" t="n">
        <x:f>K421/'공식·설정'!$B$7</x:f>
        <x:v>651.05078125</x:v>
      </x:c>
      <x:c r="O421" s="14" t="n">
        <x:v>65</x:v>
      </x:c>
      <x:c r="P421" s="14" t="n">
        <x:f>MIN(32767,MAX(0,INT((K421+INT('공식·설정'!$B$12/2))/'공식·설정'!$B$12)))</x:f>
        <x:v>65</x:v>
      </x:c>
      <x:c r="Q421" s="68" t="n">
        <x:f>P421-O421</x:f>
        <x:v>0</x:v>
      </x:c>
      <x:c r="R421" s="14" t="n">
        <x:v>174848</x:v>
      </x:c>
      <x:c r="S421" s="14" t="n">
        <x:f>P421*'공식·설정'!$B$12+'공식·설정'!$B$14</x:f>
        <x:v>174848</x:v>
      </x:c>
      <x:c r="T421" s="68" t="n">
        <x:f>S421-R421</x:f>
        <x:v>0</x:v>
      </x:c>
      <x:c r="U421" s="65" t="n">
        <x:f>R421/'공식·설정'!$B$7</x:f>
        <x:v>683</x:v>
      </x:c>
      <x:c r="V421" s="65" t="n">
        <x:f>S421/'공식·설정'!$B$7</x:f>
        <x:v>683</x:v>
      </x:c>
      <x:c r="W421" s="14" t="n">
        <x:v>716</x:v>
      </x:c>
      <x:c r="X421" s="14" t="n">
        <x:f>INT(ABS(K422-K421)*'공식·설정'!$B$8/K421)</x:f>
        <x:v>716</x:v>
      </x:c>
      <x:c r="Y421" s="68" t="n">
        <x:f>X421-W421</x:f>
        <x:v>0</x:v>
      </x:c>
      <x:c r="Z421" s="66" t="n">
        <x:f>W421/'공식·설정'!$B$8</x:f>
        <x:v>0.01092529296875</x:v>
      </x:c>
      <x:c r="AA421" s="66" t="n">
        <x:f>X421/'공식·설정'!$B$8</x:f>
        <x:v>0.01092529296875</x:v>
      </x:c>
      <x:c r="AB421" s="67" t="str">
        <x:f>IF(AND(I421=0,L421=0,Q421=0,T421=0,Y421=0),"PASS","FAIL")</x:f>
        <x:v>PASS</x:v>
      </x:c>
    </x:row>
    <x:row r="422" ht="18" customHeight="1">
      <x:c r="A422" s="14" t="n">
        <x:v>525</x:v>
      </x:c>
      <x:c r="B422" s="14" t="n">
        <x:v>417</x:v>
      </x:c>
      <x:c r="C422" s="14" t="n">
        <x:v>518</x:v>
      </x:c>
      <x:c r="D422" s="14" t="n">
        <x:v>23923</x:v>
      </x:c>
      <x:c r="E422" s="14" t="n">
        <x:v>532</x:v>
      </x:c>
      <x:c r="F422" s="14" t="n">
        <x:v>27840</x:v>
      </x:c>
      <x:c r="G422" s="14" t="n">
        <x:v>25881</x:v>
      </x:c>
      <x:c r="H422" s="14" t="n">
        <x:f>INT((F422-D422)*(A422-C422)/(E422-C422))+D422</x:f>
        <x:v>25881</x:v>
      </x:c>
      <x:c r="I422" s="68" t="n">
        <x:f>H422-G422</x:f>
        <x:v>0</x:v>
      </x:c>
      <x:c r="J422" s="14" t="n">
        <x:v>168492</x:v>
      </x:c>
      <x:c r="K422" s="14" t="n">
        <x:f>INT(H422*'공식·설정'!$B$10/'공식·설정'!$B$15)</x:f>
        <x:v>168492</x:v>
      </x:c>
      <x:c r="L422" s="68" t="n">
        <x:f>K422-J422</x:f>
        <x:v>0</x:v>
      </x:c>
      <x:c r="M422" s="65" t="n">
        <x:f>J422/'공식·설정'!$B$7</x:f>
        <x:v>658.171875</x:v>
      </x:c>
      <x:c r="N422" s="65" t="n">
        <x:f>K422/'공식·설정'!$B$7</x:f>
        <x:v>658.171875</x:v>
      </x:c>
      <x:c r="O422" s="14" t="n">
        <x:v>66</x:v>
      </x:c>
      <x:c r="P422" s="14" t="n">
        <x:f>MIN(32767,MAX(0,INT((K422+INT('공식·설정'!$B$12/2))/'공식·설정'!$B$12)))</x:f>
        <x:v>66</x:v>
      </x:c>
      <x:c r="Q422" s="68" t="n">
        <x:f>P422-O422</x:f>
        <x:v>0</x:v>
      </x:c>
      <x:c r="R422" s="14" t="n">
        <x:v>177408</x:v>
      </x:c>
      <x:c r="S422" s="14" t="n">
        <x:f>P422*'공식·설정'!$B$12+'공식·설정'!$B$14</x:f>
        <x:v>177408</x:v>
      </x:c>
      <x:c r="T422" s="68" t="n">
        <x:f>S422-R422</x:f>
        <x:v>0</x:v>
      </x:c>
      <x:c r="U422" s="65" t="n">
        <x:f>R422/'공식·설정'!$B$7</x:f>
        <x:v>693</x:v>
      </x:c>
      <x:c r="V422" s="65" t="n">
        <x:f>S422/'공식·설정'!$B$7</x:f>
        <x:v>693</x:v>
      </x:c>
      <x:c r="W422" s="14" t="n">
        <x:v>709</x:v>
      </x:c>
      <x:c r="X422" s="14" t="n">
        <x:f>INT(ABS(K423-K422)*'공식·설정'!$B$8/K422)</x:f>
        <x:v>709</x:v>
      </x:c>
      <x:c r="Y422" s="68" t="n">
        <x:f>X422-W422</x:f>
        <x:v>0</x:v>
      </x:c>
      <x:c r="Z422" s="66" t="n">
        <x:f>W422/'공식·설정'!$B$8</x:f>
        <x:v>0.0108184814453125</x:v>
      </x:c>
      <x:c r="AA422" s="66" t="n">
        <x:f>X422/'공식·설정'!$B$8</x:f>
        <x:v>0.0108184814453125</x:v>
      </x:c>
      <x:c r="AB422" s="67" t="str">
        <x:f>IF(AND(I422=0,L422=0,Q422=0,T422=0,Y422=0),"PASS","FAIL")</x:f>
        <x:v>PASS</x:v>
      </x:c>
    </x:row>
    <x:row r="423" ht="18" customHeight="1">
      <x:c r="A423" s="14" t="n">
        <x:v>526</x:v>
      </x:c>
      <x:c r="B423" s="14" t="n">
        <x:v>418</x:v>
      </x:c>
      <x:c r="C423" s="14" t="n">
        <x:v>518</x:v>
      </x:c>
      <x:c r="D423" s="14" t="n">
        <x:v>23923</x:v>
      </x:c>
      <x:c r="E423" s="14" t="n">
        <x:v>532</x:v>
      </x:c>
      <x:c r="F423" s="14" t="n">
        <x:v>27840</x:v>
      </x:c>
      <x:c r="G423" s="14" t="n">
        <x:v>26161</x:v>
      </x:c>
      <x:c r="H423" s="14" t="n">
        <x:f>INT((F423-D423)*(A423-C423)/(E423-C423))+D423</x:f>
        <x:v>26161</x:v>
      </x:c>
      <x:c r="I423" s="68" t="n">
        <x:f>H423-G423</x:f>
        <x:v>0</x:v>
      </x:c>
      <x:c r="J423" s="14" t="n">
        <x:v>170315</x:v>
      </x:c>
      <x:c r="K423" s="14" t="n">
        <x:f>INT(H423*'공식·설정'!$B$10/'공식·설정'!$B$15)</x:f>
        <x:v>170315</x:v>
      </x:c>
      <x:c r="L423" s="68" t="n">
        <x:f>K423-J423</x:f>
        <x:v>0</x:v>
      </x:c>
      <x:c r="M423" s="65" t="n">
        <x:f>J423/'공식·설정'!$B$7</x:f>
        <x:v>665.29296875</x:v>
      </x:c>
      <x:c r="N423" s="65" t="n">
        <x:f>K423/'공식·설정'!$B$7</x:f>
        <x:v>665.29296875</x:v>
      </x:c>
      <x:c r="O423" s="14" t="n">
        <x:v>67</x:v>
      </x:c>
      <x:c r="P423" s="14" t="n">
        <x:f>MIN(32767,MAX(0,INT((K423+INT('공식·설정'!$B$12/2))/'공식·설정'!$B$12)))</x:f>
        <x:v>67</x:v>
      </x:c>
      <x:c r="Q423" s="68" t="n">
        <x:f>P423-O423</x:f>
        <x:v>0</x:v>
      </x:c>
      <x:c r="R423" s="14" t="n">
        <x:v>179968</x:v>
      </x:c>
      <x:c r="S423" s="14" t="n">
        <x:f>P423*'공식·설정'!$B$12+'공식·설정'!$B$14</x:f>
        <x:v>179968</x:v>
      </x:c>
      <x:c r="T423" s="68" t="n">
        <x:f>S423-R423</x:f>
        <x:v>0</x:v>
      </x:c>
      <x:c r="U423" s="65" t="n">
        <x:f>R423/'공식·설정'!$B$7</x:f>
        <x:v>703</x:v>
      </x:c>
      <x:c r="V423" s="65" t="n">
        <x:f>S423/'공식·설정'!$B$7</x:f>
        <x:v>703</x:v>
      </x:c>
      <x:c r="W423" s="14" t="n">
        <x:v>701</x:v>
      </x:c>
      <x:c r="X423" s="14" t="n">
        <x:f>INT(ABS(K424-K423)*'공식·설정'!$B$8/K423)</x:f>
        <x:v>701</x:v>
      </x:c>
      <x:c r="Y423" s="68" t="n">
        <x:f>X423-W423</x:f>
        <x:v>0</x:v>
      </x:c>
      <x:c r="Z423" s="66" t="n">
        <x:f>W423/'공식·설정'!$B$8</x:f>
        <x:v>0.0106964111328125</x:v>
      </x:c>
      <x:c r="AA423" s="66" t="n">
        <x:f>X423/'공식·설정'!$B$8</x:f>
        <x:v>0.0106964111328125</x:v>
      </x:c>
      <x:c r="AB423" s="67" t="str">
        <x:f>IF(AND(I423=0,L423=0,Q423=0,T423=0,Y423=0),"PASS","FAIL")</x:f>
        <x:v>PASS</x:v>
      </x:c>
    </x:row>
    <x:row r="424" ht="18" customHeight="1">
      <x:c r="A424" s="14" t="n">
        <x:v>527</x:v>
      </x:c>
      <x:c r="B424" s="14" t="n">
        <x:v>419</x:v>
      </x:c>
      <x:c r="C424" s="14" t="n">
        <x:v>518</x:v>
      </x:c>
      <x:c r="D424" s="14" t="n">
        <x:v>23923</x:v>
      </x:c>
      <x:c r="E424" s="14" t="n">
        <x:v>532</x:v>
      </x:c>
      <x:c r="F424" s="14" t="n">
        <x:v>27840</x:v>
      </x:c>
      <x:c r="G424" s="14" t="n">
        <x:v>26441</x:v>
      </x:c>
      <x:c r="H424" s="14" t="n">
        <x:f>INT((F424-D424)*(A424-C424)/(E424-C424))+D424</x:f>
        <x:v>26441</x:v>
      </x:c>
      <x:c r="I424" s="68" t="n">
        <x:f>H424-G424</x:f>
        <x:v>0</x:v>
      </x:c>
      <x:c r="J424" s="14" t="n">
        <x:v>172138</x:v>
      </x:c>
      <x:c r="K424" s="14" t="n">
        <x:f>INT(H424*'공식·설정'!$B$10/'공식·설정'!$B$15)</x:f>
        <x:v>172138</x:v>
      </x:c>
      <x:c r="L424" s="68" t="n">
        <x:f>K424-J424</x:f>
        <x:v>0</x:v>
      </x:c>
      <x:c r="M424" s="65" t="n">
        <x:f>J424/'공식·설정'!$B$7</x:f>
        <x:v>672.4140625</x:v>
      </x:c>
      <x:c r="N424" s="65" t="n">
        <x:f>K424/'공식·설정'!$B$7</x:f>
        <x:v>672.4140625</x:v>
      </x:c>
      <x:c r="O424" s="14" t="n">
        <x:v>67</x:v>
      </x:c>
      <x:c r="P424" s="14" t="n">
        <x:f>MIN(32767,MAX(0,INT((K424+INT('공식·설정'!$B$12/2))/'공식·설정'!$B$12)))</x:f>
        <x:v>67</x:v>
      </x:c>
      <x:c r="Q424" s="68" t="n">
        <x:f>P424-O424</x:f>
        <x:v>0</x:v>
      </x:c>
      <x:c r="R424" s="14" t="n">
        <x:v>179968</x:v>
      </x:c>
      <x:c r="S424" s="14" t="n">
        <x:f>P424*'공식·설정'!$B$12+'공식·설정'!$B$14</x:f>
        <x:v>179968</x:v>
      </x:c>
      <x:c r="T424" s="68" t="n">
        <x:f>S424-R424</x:f>
        <x:v>0</x:v>
      </x:c>
      <x:c r="U424" s="65" t="n">
        <x:f>R424/'공식·설정'!$B$7</x:f>
        <x:v>703</x:v>
      </x:c>
      <x:c r="V424" s="65" t="n">
        <x:f>S424/'공식·설정'!$B$7</x:f>
        <x:v>703</x:v>
      </x:c>
      <x:c r="W424" s="14" t="n">
        <x:v>691</x:v>
      </x:c>
      <x:c r="X424" s="14" t="n">
        <x:f>INT(ABS(K425-K424)*'공식·설정'!$B$8/K424)</x:f>
        <x:v>691</x:v>
      </x:c>
      <x:c r="Y424" s="68" t="n">
        <x:f>X424-W424</x:f>
        <x:v>0</x:v>
      </x:c>
      <x:c r="Z424" s="66" t="n">
        <x:f>W424/'공식·설정'!$B$8</x:f>
        <x:v>0.0105438232421875</x:v>
      </x:c>
      <x:c r="AA424" s="66" t="n">
        <x:f>X424/'공식·설정'!$B$8</x:f>
        <x:v>0.0105438232421875</x:v>
      </x:c>
      <x:c r="AB424" s="67" t="str">
        <x:f>IF(AND(I424=0,L424=0,Q424=0,T424=0,Y424=0),"PASS","FAIL")</x:f>
        <x:v>PASS</x:v>
      </x:c>
    </x:row>
    <x:row r="425" ht="18" customHeight="1">
      <x:c r="A425" s="14" t="n">
        <x:v>528</x:v>
      </x:c>
      <x:c r="B425" s="14" t="n">
        <x:v>420</x:v>
      </x:c>
      <x:c r="C425" s="14" t="n">
        <x:v>518</x:v>
      </x:c>
      <x:c r="D425" s="14" t="n">
        <x:v>23923</x:v>
      </x:c>
      <x:c r="E425" s="14" t="n">
        <x:v>532</x:v>
      </x:c>
      <x:c r="F425" s="14" t="n">
        <x:v>27840</x:v>
      </x:c>
      <x:c r="G425" s="14" t="n">
        <x:v>26720</x:v>
      </x:c>
      <x:c r="H425" s="14" t="n">
        <x:f>INT((F425-D425)*(A425-C425)/(E425-C425))+D425</x:f>
        <x:v>26720</x:v>
      </x:c>
      <x:c r="I425" s="68" t="n">
        <x:f>H425-G425</x:f>
        <x:v>0</x:v>
      </x:c>
      <x:c r="J425" s="14" t="n">
        <x:v>173954</x:v>
      </x:c>
      <x:c r="K425" s="14" t="n">
        <x:f>INT(H425*'공식·설정'!$B$10/'공식·설정'!$B$15)</x:f>
        <x:v>173954</x:v>
      </x:c>
      <x:c r="L425" s="68" t="n">
        <x:f>K425-J425</x:f>
        <x:v>0</x:v>
      </x:c>
      <x:c r="M425" s="65" t="n">
        <x:f>J425/'공식·설정'!$B$7</x:f>
        <x:v>679.5078125</x:v>
      </x:c>
      <x:c r="N425" s="65" t="n">
        <x:f>K425/'공식·설정'!$B$7</x:f>
        <x:v>679.5078125</x:v>
      </x:c>
      <x:c r="O425" s="14" t="n">
        <x:v>68</x:v>
      </x:c>
      <x:c r="P425" s="14" t="n">
        <x:f>MIN(32767,MAX(0,INT((K425+INT('공식·설정'!$B$12/2))/'공식·설정'!$B$12)))</x:f>
        <x:v>68</x:v>
      </x:c>
      <x:c r="Q425" s="68" t="n">
        <x:f>P425-O425</x:f>
        <x:v>0</x:v>
      </x:c>
      <x:c r="R425" s="14" t="n">
        <x:v>182528</x:v>
      </x:c>
      <x:c r="S425" s="14" t="n">
        <x:f>P425*'공식·설정'!$B$12+'공식·설정'!$B$14</x:f>
        <x:v>182528</x:v>
      </x:c>
      <x:c r="T425" s="68" t="n">
        <x:f>S425-R425</x:f>
        <x:v>0</x:v>
      </x:c>
      <x:c r="U425" s="65" t="n">
        <x:f>R425/'공식·설정'!$B$7</x:f>
        <x:v>713</x:v>
      </x:c>
      <x:c r="V425" s="65" t="n">
        <x:f>S425/'공식·설정'!$B$7</x:f>
        <x:v>713</x:v>
      </x:c>
      <x:c r="W425" s="14" t="n">
        <x:v>686</x:v>
      </x:c>
      <x:c r="X425" s="14" t="n">
        <x:f>INT(ABS(K426-K425)*'공식·설정'!$B$8/K425)</x:f>
        <x:v>686</x:v>
      </x:c>
      <x:c r="Y425" s="68" t="n">
        <x:f>X425-W425</x:f>
        <x:v>0</x:v>
      </x:c>
      <x:c r="Z425" s="66" t="n">
        <x:f>W425/'공식·설정'!$B$8</x:f>
        <x:v>0.010467529296875</x:v>
      </x:c>
      <x:c r="AA425" s="66" t="n">
        <x:f>X425/'공식·설정'!$B$8</x:f>
        <x:v>0.010467529296875</x:v>
      </x:c>
      <x:c r="AB425" s="67" t="str">
        <x:f>IF(AND(I425=0,L425=0,Q425=0,T425=0,Y425=0),"PASS","FAIL")</x:f>
        <x:v>PASS</x:v>
      </x:c>
    </x:row>
    <x:row r="426" ht="18" customHeight="1">
      <x:c r="A426" s="14" t="n">
        <x:v>529</x:v>
      </x:c>
      <x:c r="B426" s="14" t="n">
        <x:v>421</x:v>
      </x:c>
      <x:c r="C426" s="14" t="n">
        <x:v>518</x:v>
      </x:c>
      <x:c r="D426" s="14" t="n">
        <x:v>23923</x:v>
      </x:c>
      <x:c r="E426" s="14" t="n">
        <x:v>532</x:v>
      </x:c>
      <x:c r="F426" s="14" t="n">
        <x:v>27840</x:v>
      </x:c>
      <x:c r="G426" s="14" t="n">
        <x:v>27000</x:v>
      </x:c>
      <x:c r="H426" s="14" t="n">
        <x:f>INT((F426-D426)*(A426-C426)/(E426-C426))+D426</x:f>
        <x:v>27000</x:v>
      </x:c>
      <x:c r="I426" s="68" t="n">
        <x:f>H426-G426</x:f>
        <x:v>0</x:v>
      </x:c>
      <x:c r="J426" s="14" t="n">
        <x:v>175777</x:v>
      </x:c>
      <x:c r="K426" s="14" t="n">
        <x:f>INT(H426*'공식·설정'!$B$10/'공식·설정'!$B$15)</x:f>
        <x:v>175777</x:v>
      </x:c>
      <x:c r="L426" s="68" t="n">
        <x:f>K426-J426</x:f>
        <x:v>0</x:v>
      </x:c>
      <x:c r="M426" s="65" t="n">
        <x:f>J426/'공식·설정'!$B$7</x:f>
        <x:v>686.62890625</x:v>
      </x:c>
      <x:c r="N426" s="65" t="n">
        <x:f>K426/'공식·설정'!$B$7</x:f>
        <x:v>686.62890625</x:v>
      </x:c>
      <x:c r="O426" s="14" t="n">
        <x:v>69</x:v>
      </x:c>
      <x:c r="P426" s="14" t="n">
        <x:f>MIN(32767,MAX(0,INT((K426+INT('공식·설정'!$B$12/2))/'공식·설정'!$B$12)))</x:f>
        <x:v>69</x:v>
      </x:c>
      <x:c r="Q426" s="68" t="n">
        <x:f>P426-O426</x:f>
        <x:v>0</x:v>
      </x:c>
      <x:c r="R426" s="14" t="n">
        <x:v>185088</x:v>
      </x:c>
      <x:c r="S426" s="14" t="n">
        <x:f>P426*'공식·설정'!$B$12+'공식·설정'!$B$14</x:f>
        <x:v>185088</x:v>
      </x:c>
      <x:c r="T426" s="68" t="n">
        <x:f>S426-R426</x:f>
        <x:v>0</x:v>
      </x:c>
      <x:c r="U426" s="65" t="n">
        <x:f>R426/'공식·설정'!$B$7</x:f>
        <x:v>723</x:v>
      </x:c>
      <x:c r="V426" s="65" t="n">
        <x:f>S426/'공식·설정'!$B$7</x:f>
        <x:v>723</x:v>
      </x:c>
      <x:c r="W426" s="14" t="n">
        <x:v>679</x:v>
      </x:c>
      <x:c r="X426" s="14" t="n">
        <x:f>INT(ABS(K427-K426)*'공식·설정'!$B$8/K426)</x:f>
        <x:v>679</x:v>
      </x:c>
      <x:c r="Y426" s="68" t="n">
        <x:f>X426-W426</x:f>
        <x:v>0</x:v>
      </x:c>
      <x:c r="Z426" s="66" t="n">
        <x:f>W426/'공식·설정'!$B$8</x:f>
        <x:v>0.0103607177734375</x:v>
      </x:c>
      <x:c r="AA426" s="66" t="n">
        <x:f>X426/'공식·설정'!$B$8</x:f>
        <x:v>0.0103607177734375</x:v>
      </x:c>
      <x:c r="AB426" s="67" t="str">
        <x:f>IF(AND(I426=0,L426=0,Q426=0,T426=0,Y426=0),"PASS","FAIL")</x:f>
        <x:v>PASS</x:v>
      </x:c>
    </x:row>
    <x:row r="427" ht="18" customHeight="1">
      <x:c r="A427" s="14" t="n">
        <x:v>530</x:v>
      </x:c>
      <x:c r="B427" s="14" t="n">
        <x:v>422</x:v>
      </x:c>
      <x:c r="C427" s="14" t="n">
        <x:v>518</x:v>
      </x:c>
      <x:c r="D427" s="14" t="n">
        <x:v>23923</x:v>
      </x:c>
      <x:c r="E427" s="14" t="n">
        <x:v>532</x:v>
      </x:c>
      <x:c r="F427" s="14" t="n">
        <x:v>27840</x:v>
      </x:c>
      <x:c r="G427" s="14" t="n">
        <x:v>27280</x:v>
      </x:c>
      <x:c r="H427" s="14" t="n">
        <x:f>INT((F427-D427)*(A427-C427)/(E427-C427))+D427</x:f>
        <x:v>27280</x:v>
      </x:c>
      <x:c r="I427" s="68" t="n">
        <x:f>H427-G427</x:f>
        <x:v>0</x:v>
      </x:c>
      <x:c r="J427" s="14" t="n">
        <x:v>177600</x:v>
      </x:c>
      <x:c r="K427" s="14" t="n">
        <x:f>INT(H427*'공식·설정'!$B$10/'공식·설정'!$B$15)</x:f>
        <x:v>177600</x:v>
      </x:c>
      <x:c r="L427" s="68" t="n">
        <x:f>K427-J427</x:f>
        <x:v>0</x:v>
      </x:c>
      <x:c r="M427" s="65" t="n">
        <x:f>J427/'공식·설정'!$B$7</x:f>
        <x:v>693.75</x:v>
      </x:c>
      <x:c r="N427" s="65" t="n">
        <x:f>K427/'공식·설정'!$B$7</x:f>
        <x:v>693.75</x:v>
      </x:c>
      <x:c r="O427" s="14" t="n">
        <x:v>69</x:v>
      </x:c>
      <x:c r="P427" s="14" t="n">
        <x:f>MIN(32767,MAX(0,INT((K427+INT('공식·설정'!$B$12/2))/'공식·설정'!$B$12)))</x:f>
        <x:v>69</x:v>
      </x:c>
      <x:c r="Q427" s="68" t="n">
        <x:f>P427-O427</x:f>
        <x:v>0</x:v>
      </x:c>
      <x:c r="R427" s="14" t="n">
        <x:v>185088</x:v>
      </x:c>
      <x:c r="S427" s="14" t="n">
        <x:f>P427*'공식·설정'!$B$12+'공식·설정'!$B$14</x:f>
        <x:v>185088</x:v>
      </x:c>
      <x:c r="T427" s="68" t="n">
        <x:f>S427-R427</x:f>
        <x:v>0</x:v>
      </x:c>
      <x:c r="U427" s="65" t="n">
        <x:f>R427/'공식·설정'!$B$7</x:f>
        <x:v>723</x:v>
      </x:c>
      <x:c r="V427" s="65" t="n">
        <x:f>S427/'공식·설정'!$B$7</x:f>
        <x:v>723</x:v>
      </x:c>
      <x:c r="W427" s="14" t="n">
        <x:v>672</x:v>
      </x:c>
      <x:c r="X427" s="14" t="n">
        <x:f>INT(ABS(K428-K427)*'공식·설정'!$B$8/K427)</x:f>
        <x:v>672</x:v>
      </x:c>
      <x:c r="Y427" s="68" t="n">
        <x:f>X427-W427</x:f>
        <x:v>0</x:v>
      </x:c>
      <x:c r="Z427" s="66" t="n">
        <x:f>W427/'공식·설정'!$B$8</x:f>
        <x:v>0.01025390625</x:v>
      </x:c>
      <x:c r="AA427" s="66" t="n">
        <x:f>X427/'공식·설정'!$B$8</x:f>
        <x:v>0.01025390625</x:v>
      </x:c>
      <x:c r="AB427" s="67" t="str">
        <x:f>IF(AND(I427=0,L427=0,Q427=0,T427=0,Y427=0),"PASS","FAIL")</x:f>
        <x:v>PASS</x:v>
      </x:c>
    </x:row>
    <x:row r="428" ht="18" customHeight="1">
      <x:c r="A428" s="14" t="n">
        <x:v>531</x:v>
      </x:c>
      <x:c r="B428" s="14" t="n">
        <x:v>423</x:v>
      </x:c>
      <x:c r="C428" s="14" t="n">
        <x:v>518</x:v>
      </x:c>
      <x:c r="D428" s="14" t="n">
        <x:v>23923</x:v>
      </x:c>
      <x:c r="E428" s="14" t="n">
        <x:v>532</x:v>
      </x:c>
      <x:c r="F428" s="14" t="n">
        <x:v>27840</x:v>
      </x:c>
      <x:c r="G428" s="14" t="n">
        <x:v>27560</x:v>
      </x:c>
      <x:c r="H428" s="14" t="n">
        <x:f>INT((F428-D428)*(A428-C428)/(E428-C428))+D428</x:f>
        <x:v>27560</x:v>
      </x:c>
      <x:c r="I428" s="68" t="n">
        <x:f>H428-G428</x:f>
        <x:v>0</x:v>
      </x:c>
      <x:c r="J428" s="14" t="n">
        <x:v>179423</x:v>
      </x:c>
      <x:c r="K428" s="14" t="n">
        <x:f>INT(H428*'공식·설정'!$B$10/'공식·설정'!$B$15)</x:f>
        <x:v>179423</x:v>
      </x:c>
      <x:c r="L428" s="68" t="n">
        <x:f>K428-J428</x:f>
        <x:v>0</x:v>
      </x:c>
      <x:c r="M428" s="65" t="n">
        <x:f>J428/'공식·설정'!$B$7</x:f>
        <x:v>700.87109375</x:v>
      </x:c>
      <x:c r="N428" s="65" t="n">
        <x:f>K428/'공식·설정'!$B$7</x:f>
        <x:v>700.87109375</x:v>
      </x:c>
      <x:c r="O428" s="14" t="n">
        <x:v>70</x:v>
      </x:c>
      <x:c r="P428" s="14" t="n">
        <x:f>MIN(32767,MAX(0,INT((K428+INT('공식·설정'!$B$12/2))/'공식·설정'!$B$12)))</x:f>
        <x:v>70</x:v>
      </x:c>
      <x:c r="Q428" s="68" t="n">
        <x:f>P428-O428</x:f>
        <x:v>0</x:v>
      </x:c>
      <x:c r="R428" s="14" t="n">
        <x:v>187648</x:v>
      </x:c>
      <x:c r="S428" s="14" t="n">
        <x:f>P428*'공식·설정'!$B$12+'공식·설정'!$B$14</x:f>
        <x:v>187648</x:v>
      </x:c>
      <x:c r="T428" s="68" t="n">
        <x:f>S428-R428</x:f>
        <x:v>0</x:v>
      </x:c>
      <x:c r="U428" s="65" t="n">
        <x:f>R428/'공식·설정'!$B$7</x:f>
        <x:v>733</x:v>
      </x:c>
      <x:c r="V428" s="65" t="n">
        <x:f>S428/'공식·설정'!$B$7</x:f>
        <x:v>733</x:v>
      </x:c>
      <x:c r="W428" s="14" t="n">
        <x:v>665</x:v>
      </x:c>
      <x:c r="X428" s="14" t="n">
        <x:f>INT(ABS(K429-K428)*'공식·설정'!$B$8/K428)</x:f>
        <x:v>665</x:v>
      </x:c>
      <x:c r="Y428" s="68" t="n">
        <x:f>X428-W428</x:f>
        <x:v>0</x:v>
      </x:c>
      <x:c r="Z428" s="66" t="n">
        <x:f>W428/'공식·설정'!$B$8</x:f>
        <x:v>0.0101470947265625</x:v>
      </x:c>
      <x:c r="AA428" s="66" t="n">
        <x:f>X428/'공식·설정'!$B$8</x:f>
        <x:v>0.0101470947265625</x:v>
      </x:c>
      <x:c r="AB428" s="67" t="str">
        <x:f>IF(AND(I428=0,L428=0,Q428=0,T428=0,Y428=0),"PASS","FAIL")</x:f>
        <x:v>PASS</x:v>
      </x:c>
    </x:row>
    <x:row r="429" ht="18" customHeight="1">
      <x:c r="A429" s="14" t="n">
        <x:v>532</x:v>
      </x:c>
      <x:c r="B429" s="14" t="n">
        <x:v>424</x:v>
      </x:c>
      <x:c r="C429" s="14" t="n">
        <x:v>532</x:v>
      </x:c>
      <x:c r="D429" s="14" t="n">
        <x:v>27840</x:v>
      </x:c>
      <x:c r="E429" s="14" t="n">
        <x:v>546</x:v>
      </x:c>
      <x:c r="F429" s="14" t="n">
        <x:v>32395</x:v>
      </x:c>
      <x:c r="G429" s="14" t="n">
        <x:v>27840</x:v>
      </x:c>
      <x:c r="H429" s="14" t="n">
        <x:f>INT((F429-D429)*(A429-C429)/(E429-C429))+D429</x:f>
        <x:v>27840</x:v>
      </x:c>
      <x:c r="I429" s="68" t="n">
        <x:f>H429-G429</x:f>
        <x:v>0</x:v>
      </x:c>
      <x:c r="J429" s="14" t="n">
        <x:v>181246</x:v>
      </x:c>
      <x:c r="K429" s="14" t="n">
        <x:f>INT(H429*'공식·설정'!$B$10/'공식·설정'!$B$15)</x:f>
        <x:v>181246</x:v>
      </x:c>
      <x:c r="L429" s="68" t="n">
        <x:f>K429-J429</x:f>
        <x:v>0</x:v>
      </x:c>
      <x:c r="M429" s="65" t="n">
        <x:f>J429/'공식·설정'!$B$7</x:f>
        <x:v>707.9921875</x:v>
      </x:c>
      <x:c r="N429" s="65" t="n">
        <x:f>K429/'공식·설정'!$B$7</x:f>
        <x:v>707.9921875</x:v>
      </x:c>
      <x:c r="O429" s="14" t="n">
        <x:v>71</x:v>
      </x:c>
      <x:c r="P429" s="14" t="n">
        <x:f>MIN(32767,MAX(0,INT((K429+INT('공식·설정'!$B$12/2))/'공식·설정'!$B$12)))</x:f>
        <x:v>71</x:v>
      </x:c>
      <x:c r="Q429" s="68" t="n">
        <x:f>P429-O429</x:f>
        <x:v>0</x:v>
      </x:c>
      <x:c r="R429" s="14" t="n">
        <x:v>190208</x:v>
      </x:c>
      <x:c r="S429" s="14" t="n">
        <x:f>P429*'공식·설정'!$B$12+'공식·설정'!$B$14</x:f>
        <x:v>190208</x:v>
      </x:c>
      <x:c r="T429" s="68" t="n">
        <x:f>S429-R429</x:f>
        <x:v>0</x:v>
      </x:c>
      <x:c r="U429" s="65" t="n">
        <x:f>R429/'공식·설정'!$B$7</x:f>
        <x:v>743</x:v>
      </x:c>
      <x:c r="V429" s="65" t="n">
        <x:f>S429/'공식·설정'!$B$7</x:f>
        <x:v>743</x:v>
      </x:c>
      <x:c r="W429" s="14" t="n">
        <x:v>765</x:v>
      </x:c>
      <x:c r="X429" s="14" t="n">
        <x:f>INT(ABS(K430-K429)*'공식·설정'!$B$8/K429)</x:f>
        <x:v>765</x:v>
      </x:c>
      <x:c r="Y429" s="68" t="n">
        <x:f>X429-W429</x:f>
        <x:v>0</x:v>
      </x:c>
      <x:c r="Z429" s="66" t="n">
        <x:f>W429/'공식·설정'!$B$8</x:f>
        <x:v>0.0116729736328125</x:v>
      </x:c>
      <x:c r="AA429" s="66" t="n">
        <x:f>X429/'공식·설정'!$B$8</x:f>
        <x:v>0.0116729736328125</x:v>
      </x:c>
      <x:c r="AB429" s="67" t="str">
        <x:f>IF(AND(I429=0,L429=0,Q429=0,T429=0,Y429=0),"PASS","FAIL")</x:f>
        <x:v>PASS</x:v>
      </x:c>
    </x:row>
    <x:row r="430" ht="18" customHeight="1">
      <x:c r="A430" s="14" t="n">
        <x:v>533</x:v>
      </x:c>
      <x:c r="B430" s="14" t="n">
        <x:v>425</x:v>
      </x:c>
      <x:c r="C430" s="14" t="n">
        <x:v>532</x:v>
      </x:c>
      <x:c r="D430" s="14" t="n">
        <x:v>27840</x:v>
      </x:c>
      <x:c r="E430" s="14" t="n">
        <x:v>546</x:v>
      </x:c>
      <x:c r="F430" s="14" t="n">
        <x:v>32395</x:v>
      </x:c>
      <x:c r="G430" s="14" t="n">
        <x:v>28165</x:v>
      </x:c>
      <x:c r="H430" s="14" t="n">
        <x:f>INT((F430-D430)*(A430-C430)/(E430-C430))+D430</x:f>
        <x:v>28165</x:v>
      </x:c>
      <x:c r="I430" s="68" t="n">
        <x:f>H430-G430</x:f>
        <x:v>0</x:v>
      </x:c>
      <x:c r="J430" s="14" t="n">
        <x:v>183362</x:v>
      </x:c>
      <x:c r="K430" s="14" t="n">
        <x:f>INT(H430*'공식·설정'!$B$10/'공식·설정'!$B$15)</x:f>
        <x:v>183362</x:v>
      </x:c>
      <x:c r="L430" s="68" t="n">
        <x:f>K430-J430</x:f>
        <x:v>0</x:v>
      </x:c>
      <x:c r="M430" s="65" t="n">
        <x:f>J430/'공식·설정'!$B$7</x:f>
        <x:v>716.2578125</x:v>
      </x:c>
      <x:c r="N430" s="65" t="n">
        <x:f>K430/'공식·설정'!$B$7</x:f>
        <x:v>716.2578125</x:v>
      </x:c>
      <x:c r="O430" s="14" t="n">
        <x:v>72</x:v>
      </x:c>
      <x:c r="P430" s="14" t="n">
        <x:f>MIN(32767,MAX(0,INT((K430+INT('공식·설정'!$B$12/2))/'공식·설정'!$B$12)))</x:f>
        <x:v>72</x:v>
      </x:c>
      <x:c r="Q430" s="68" t="n">
        <x:f>P430-O430</x:f>
        <x:v>0</x:v>
      </x:c>
      <x:c r="R430" s="14" t="n">
        <x:v>192768</x:v>
      </x:c>
      <x:c r="S430" s="14" t="n">
        <x:f>P430*'공식·설정'!$B$12+'공식·설정'!$B$14</x:f>
        <x:v>192768</x:v>
      </x:c>
      <x:c r="T430" s="68" t="n">
        <x:f>S430-R430</x:f>
        <x:v>0</x:v>
      </x:c>
      <x:c r="U430" s="65" t="n">
        <x:f>R430/'공식·설정'!$B$7</x:f>
        <x:v>753</x:v>
      </x:c>
      <x:c r="V430" s="65" t="n">
        <x:f>S430/'공식·설정'!$B$7</x:f>
        <x:v>753</x:v>
      </x:c>
      <x:c r="W430" s="14" t="n">
        <x:v>755</x:v>
      </x:c>
      <x:c r="X430" s="14" t="n">
        <x:f>INT(ABS(K431-K430)*'공식·설정'!$B$8/K430)</x:f>
        <x:v>755</x:v>
      </x:c>
      <x:c r="Y430" s="68" t="n">
        <x:f>X430-W430</x:f>
        <x:v>0</x:v>
      </x:c>
      <x:c r="Z430" s="66" t="n">
        <x:f>W430/'공식·설정'!$B$8</x:f>
        <x:v>0.0115203857421875</x:v>
      </x:c>
      <x:c r="AA430" s="66" t="n">
        <x:f>X430/'공식·설정'!$B$8</x:f>
        <x:v>0.0115203857421875</x:v>
      </x:c>
      <x:c r="AB430" s="67" t="str">
        <x:f>IF(AND(I430=0,L430=0,Q430=0,T430=0,Y430=0),"PASS","FAIL")</x:f>
        <x:v>PASS</x:v>
      </x:c>
    </x:row>
    <x:row r="431" ht="18" customHeight="1">
      <x:c r="A431" s="14" t="n">
        <x:v>534</x:v>
      </x:c>
      <x:c r="B431" s="14" t="n">
        <x:v>426</x:v>
      </x:c>
      <x:c r="C431" s="14" t="n">
        <x:v>532</x:v>
      </x:c>
      <x:c r="D431" s="14" t="n">
        <x:v>27840</x:v>
      </x:c>
      <x:c r="E431" s="14" t="n">
        <x:v>546</x:v>
      </x:c>
      <x:c r="F431" s="14" t="n">
        <x:v>32395</x:v>
      </x:c>
      <x:c r="G431" s="14" t="n">
        <x:v>28490</x:v>
      </x:c>
      <x:c r="H431" s="14" t="n">
        <x:f>INT((F431-D431)*(A431-C431)/(E431-C431))+D431</x:f>
        <x:v>28490</x:v>
      </x:c>
      <x:c r="I431" s="68" t="n">
        <x:f>H431-G431</x:f>
        <x:v>0</x:v>
      </x:c>
      <x:c r="J431" s="14" t="n">
        <x:v>185477</x:v>
      </x:c>
      <x:c r="K431" s="14" t="n">
        <x:f>INT(H431*'공식·설정'!$B$10/'공식·설정'!$B$15)</x:f>
        <x:v>185477</x:v>
      </x:c>
      <x:c r="L431" s="68" t="n">
        <x:f>K431-J431</x:f>
        <x:v>0</x:v>
      </x:c>
      <x:c r="M431" s="65" t="n">
        <x:f>J431/'공식·설정'!$B$7</x:f>
        <x:v>724.51953125</x:v>
      </x:c>
      <x:c r="N431" s="65" t="n">
        <x:f>K431/'공식·설정'!$B$7</x:f>
        <x:v>724.51953125</x:v>
      </x:c>
      <x:c r="O431" s="14" t="n">
        <x:v>72</x:v>
      </x:c>
      <x:c r="P431" s="14" t="n">
        <x:f>MIN(32767,MAX(0,INT((K431+INT('공식·설정'!$B$12/2))/'공식·설정'!$B$12)))</x:f>
        <x:v>72</x:v>
      </x:c>
      <x:c r="Q431" s="68" t="n">
        <x:f>P431-O431</x:f>
        <x:v>0</x:v>
      </x:c>
      <x:c r="R431" s="14" t="n">
        <x:v>192768</x:v>
      </x:c>
      <x:c r="S431" s="14" t="n">
        <x:f>P431*'공식·설정'!$B$12+'공식·설정'!$B$14</x:f>
        <x:v>192768</x:v>
      </x:c>
      <x:c r="T431" s="68" t="n">
        <x:f>S431-R431</x:f>
        <x:v>0</x:v>
      </x:c>
      <x:c r="U431" s="65" t="n">
        <x:f>R431/'공식·설정'!$B$7</x:f>
        <x:v>753</x:v>
      </x:c>
      <x:c r="V431" s="65" t="n">
        <x:f>S431/'공식·설정'!$B$7</x:f>
        <x:v>753</x:v>
      </x:c>
      <x:c r="W431" s="14" t="n">
        <x:v>750</x:v>
      </x:c>
      <x:c r="X431" s="14" t="n">
        <x:f>INT(ABS(K432-K431)*'공식·설정'!$B$8/K431)</x:f>
        <x:v>750</x:v>
      </x:c>
      <x:c r="Y431" s="68" t="n">
        <x:f>X431-W431</x:f>
        <x:v>0</x:v>
      </x:c>
      <x:c r="Z431" s="66" t="n">
        <x:f>W431/'공식·설정'!$B$8</x:f>
        <x:v>0.011444091796875</x:v>
      </x:c>
      <x:c r="AA431" s="66" t="n">
        <x:f>X431/'공식·설정'!$B$8</x:f>
        <x:v>0.011444091796875</x:v>
      </x:c>
      <x:c r="AB431" s="67" t="str">
        <x:f>IF(AND(I431=0,L431=0,Q431=0,T431=0,Y431=0),"PASS","FAIL")</x:f>
        <x:v>PASS</x:v>
      </x:c>
    </x:row>
    <x:row r="432" ht="18" customHeight="1">
      <x:c r="A432" s="14" t="n">
        <x:v>535</x:v>
      </x:c>
      <x:c r="B432" s="14" t="n">
        <x:v>427</x:v>
      </x:c>
      <x:c r="C432" s="14" t="n">
        <x:v>532</x:v>
      </x:c>
      <x:c r="D432" s="14" t="n">
        <x:v>27840</x:v>
      </x:c>
      <x:c r="E432" s="14" t="n">
        <x:v>546</x:v>
      </x:c>
      <x:c r="F432" s="14" t="n">
        <x:v>32395</x:v>
      </x:c>
      <x:c r="G432" s="14" t="n">
        <x:v>28816</x:v>
      </x:c>
      <x:c r="H432" s="14" t="n">
        <x:f>INT((F432-D432)*(A432-C432)/(E432-C432))+D432</x:f>
        <x:v>28816</x:v>
      </x:c>
      <x:c r="I432" s="68" t="n">
        <x:f>H432-G432</x:f>
        <x:v>0</x:v>
      </x:c>
      <x:c r="J432" s="14" t="n">
        <x:v>187600</x:v>
      </x:c>
      <x:c r="K432" s="14" t="n">
        <x:f>INT(H432*'공식·설정'!$B$10/'공식·설정'!$B$15)</x:f>
        <x:v>187600</x:v>
      </x:c>
      <x:c r="L432" s="68" t="n">
        <x:f>K432-J432</x:f>
        <x:v>0</x:v>
      </x:c>
      <x:c r="M432" s="65" t="n">
        <x:f>J432/'공식·설정'!$B$7</x:f>
        <x:v>732.8125</x:v>
      </x:c>
      <x:c r="N432" s="65" t="n">
        <x:f>K432/'공식·설정'!$B$7</x:f>
        <x:v>732.8125</x:v>
      </x:c>
      <x:c r="O432" s="14" t="n">
        <x:v>73</x:v>
      </x:c>
      <x:c r="P432" s="14" t="n">
        <x:f>MIN(32767,MAX(0,INT((K432+INT('공식·설정'!$B$12/2))/'공식·설정'!$B$12)))</x:f>
        <x:v>73</x:v>
      </x:c>
      <x:c r="Q432" s="68" t="n">
        <x:f>P432-O432</x:f>
        <x:v>0</x:v>
      </x:c>
      <x:c r="R432" s="14" t="n">
        <x:v>195328</x:v>
      </x:c>
      <x:c r="S432" s="14" t="n">
        <x:f>P432*'공식·설정'!$B$12+'공식·설정'!$B$14</x:f>
        <x:v>195328</x:v>
      </x:c>
      <x:c r="T432" s="68" t="n">
        <x:f>S432-R432</x:f>
        <x:v>0</x:v>
      </x:c>
      <x:c r="U432" s="65" t="n">
        <x:f>R432/'공식·설정'!$B$7</x:f>
        <x:v>763</x:v>
      </x:c>
      <x:c r="V432" s="65" t="n">
        <x:f>S432/'공식·설정'!$B$7</x:f>
        <x:v>763</x:v>
      </x:c>
      <x:c r="W432" s="14" t="n">
        <x:v>739</x:v>
      </x:c>
      <x:c r="X432" s="14" t="n">
        <x:f>INT(ABS(K433-K432)*'공식·설정'!$B$8/K432)</x:f>
        <x:v>739</x:v>
      </x:c>
      <x:c r="Y432" s="68" t="n">
        <x:f>X432-W432</x:f>
        <x:v>0</x:v>
      </x:c>
      <x:c r="Z432" s="66" t="n">
        <x:f>W432/'공식·설정'!$B$8</x:f>
        <x:v>0.0112762451171875</x:v>
      </x:c>
      <x:c r="AA432" s="66" t="n">
        <x:f>X432/'공식·설정'!$B$8</x:f>
        <x:v>0.0112762451171875</x:v>
      </x:c>
      <x:c r="AB432" s="67" t="str">
        <x:f>IF(AND(I432=0,L432=0,Q432=0,T432=0,Y432=0),"PASS","FAIL")</x:f>
        <x:v>PASS</x:v>
      </x:c>
    </x:row>
    <x:row r="433" ht="18" customHeight="1">
      <x:c r="A433" s="14" t="n">
        <x:v>536</x:v>
      </x:c>
      <x:c r="B433" s="14" t="n">
        <x:v>428</x:v>
      </x:c>
      <x:c r="C433" s="14" t="n">
        <x:v>532</x:v>
      </x:c>
      <x:c r="D433" s="14" t="n">
        <x:v>27840</x:v>
      </x:c>
      <x:c r="E433" s="14" t="n">
        <x:v>546</x:v>
      </x:c>
      <x:c r="F433" s="14" t="n">
        <x:v>32395</x:v>
      </x:c>
      <x:c r="G433" s="14" t="n">
        <x:v>29141</x:v>
      </x:c>
      <x:c r="H433" s="14" t="n">
        <x:f>INT((F433-D433)*(A433-C433)/(E433-C433))+D433</x:f>
        <x:v>29141</x:v>
      </x:c>
      <x:c r="I433" s="68" t="n">
        <x:f>H433-G433</x:f>
        <x:v>0</x:v>
      </x:c>
      <x:c r="J433" s="14" t="n">
        <x:v>189716</x:v>
      </x:c>
      <x:c r="K433" s="14" t="n">
        <x:f>INT(H433*'공식·설정'!$B$10/'공식·설정'!$B$15)</x:f>
        <x:v>189716</x:v>
      </x:c>
      <x:c r="L433" s="68" t="n">
        <x:f>K433-J433</x:f>
        <x:v>0</x:v>
      </x:c>
      <x:c r="M433" s="65" t="n">
        <x:f>J433/'공식·설정'!$B$7</x:f>
        <x:v>741.078125</x:v>
      </x:c>
      <x:c r="N433" s="65" t="n">
        <x:f>K433/'공식·설정'!$B$7</x:f>
        <x:v>741.078125</x:v>
      </x:c>
      <x:c r="O433" s="14" t="n">
        <x:v>74</x:v>
      </x:c>
      <x:c r="P433" s="14" t="n">
        <x:f>MIN(32767,MAX(0,INT((K433+INT('공식·설정'!$B$12/2))/'공식·설정'!$B$12)))</x:f>
        <x:v>74</x:v>
      </x:c>
      <x:c r="Q433" s="68" t="n">
        <x:f>P433-O433</x:f>
        <x:v>0</x:v>
      </x:c>
      <x:c r="R433" s="14" t="n">
        <x:v>197888</x:v>
      </x:c>
      <x:c r="S433" s="14" t="n">
        <x:f>P433*'공식·설정'!$B$12+'공식·설정'!$B$14</x:f>
        <x:v>197888</x:v>
      </x:c>
      <x:c r="T433" s="68" t="n">
        <x:f>S433-R433</x:f>
        <x:v>0</x:v>
      </x:c>
      <x:c r="U433" s="65" t="n">
        <x:f>R433/'공식·설정'!$B$7</x:f>
        <x:v>773</x:v>
      </x:c>
      <x:c r="V433" s="65" t="n">
        <x:f>S433/'공식·설정'!$B$7</x:f>
        <x:v>773</x:v>
      </x:c>
      <x:c r="W433" s="14" t="n">
        <x:v>730</x:v>
      </x:c>
      <x:c r="X433" s="14" t="n">
        <x:f>INT(ABS(K434-K433)*'공식·설정'!$B$8/K433)</x:f>
        <x:v>730</x:v>
      </x:c>
      <x:c r="Y433" s="68" t="n">
        <x:f>X433-W433</x:f>
        <x:v>0</x:v>
      </x:c>
      <x:c r="Z433" s="66" t="n">
        <x:f>W433/'공식·설정'!$B$8</x:f>
        <x:v>0.011138916015625</x:v>
      </x:c>
      <x:c r="AA433" s="66" t="n">
        <x:f>X433/'공식·설정'!$B$8</x:f>
        <x:v>0.011138916015625</x:v>
      </x:c>
      <x:c r="AB433" s="67" t="str">
        <x:f>IF(AND(I433=0,L433=0,Q433=0,T433=0,Y433=0),"PASS","FAIL")</x:f>
        <x:v>PASS</x:v>
      </x:c>
    </x:row>
    <x:row r="434" ht="18" customHeight="1">
      <x:c r="A434" s="14" t="n">
        <x:v>537</x:v>
      </x:c>
      <x:c r="B434" s="14" t="n">
        <x:v>429</x:v>
      </x:c>
      <x:c r="C434" s="14" t="n">
        <x:v>532</x:v>
      </x:c>
      <x:c r="D434" s="14" t="n">
        <x:v>27840</x:v>
      </x:c>
      <x:c r="E434" s="14" t="n">
        <x:v>546</x:v>
      </x:c>
      <x:c r="F434" s="14" t="n">
        <x:v>32395</x:v>
      </x:c>
      <x:c r="G434" s="14" t="n">
        <x:v>29466</x:v>
      </x:c>
      <x:c r="H434" s="14" t="n">
        <x:f>INT((F434-D434)*(A434-C434)/(E434-C434))+D434</x:f>
        <x:v>29466</x:v>
      </x:c>
      <x:c r="I434" s="68" t="n">
        <x:f>H434-G434</x:f>
        <x:v>0</x:v>
      </x:c>
      <x:c r="J434" s="14" t="n">
        <x:v>191831</x:v>
      </x:c>
      <x:c r="K434" s="14" t="n">
        <x:f>INT(H434*'공식·설정'!$B$10/'공식·설정'!$B$15)</x:f>
        <x:v>191831</x:v>
      </x:c>
      <x:c r="L434" s="68" t="n">
        <x:f>K434-J434</x:f>
        <x:v>0</x:v>
      </x:c>
      <x:c r="M434" s="65" t="n">
        <x:f>J434/'공식·설정'!$B$7</x:f>
        <x:v>749.33984375</x:v>
      </x:c>
      <x:c r="N434" s="65" t="n">
        <x:f>K434/'공식·설정'!$B$7</x:f>
        <x:v>749.33984375</x:v>
      </x:c>
      <x:c r="O434" s="14" t="n">
        <x:v>75</x:v>
      </x:c>
      <x:c r="P434" s="14" t="n">
        <x:f>MIN(32767,MAX(0,INT((K434+INT('공식·설정'!$B$12/2))/'공식·설정'!$B$12)))</x:f>
        <x:v>75</x:v>
      </x:c>
      <x:c r="Q434" s="68" t="n">
        <x:f>P434-O434</x:f>
        <x:v>0</x:v>
      </x:c>
      <x:c r="R434" s="14" t="n">
        <x:v>200448</x:v>
      </x:c>
      <x:c r="S434" s="14" t="n">
        <x:f>P434*'공식·설정'!$B$12+'공식·설정'!$B$14</x:f>
        <x:v>200448</x:v>
      </x:c>
      <x:c r="T434" s="68" t="n">
        <x:f>S434-R434</x:f>
        <x:v>0</x:v>
      </x:c>
      <x:c r="U434" s="65" t="n">
        <x:f>R434/'공식·설정'!$B$7</x:f>
        <x:v>783</x:v>
      </x:c>
      <x:c r="V434" s="65" t="n">
        <x:f>S434/'공식·설정'!$B$7</x:f>
        <x:v>783</x:v>
      </x:c>
      <x:c r="W434" s="14" t="n">
        <x:v>725</x:v>
      </x:c>
      <x:c r="X434" s="14" t="n">
        <x:f>INT(ABS(K435-K434)*'공식·설정'!$B$8/K434)</x:f>
        <x:v>725</x:v>
      </x:c>
      <x:c r="Y434" s="68" t="n">
        <x:f>X434-W434</x:f>
        <x:v>0</x:v>
      </x:c>
      <x:c r="Z434" s="66" t="n">
        <x:f>W434/'공식·설정'!$B$8</x:f>
        <x:v>0.0110626220703125</x:v>
      </x:c>
      <x:c r="AA434" s="66" t="n">
        <x:f>X434/'공식·설정'!$B$8</x:f>
        <x:v>0.0110626220703125</x:v>
      </x:c>
      <x:c r="AB434" s="67" t="str">
        <x:f>IF(AND(I434=0,L434=0,Q434=0,T434=0,Y434=0),"PASS","FAIL")</x:f>
        <x:v>PASS</x:v>
      </x:c>
    </x:row>
    <x:row r="435" ht="18" customHeight="1">
      <x:c r="A435" s="14" t="n">
        <x:v>538</x:v>
      </x:c>
      <x:c r="B435" s="14" t="n">
        <x:v>430</x:v>
      </x:c>
      <x:c r="C435" s="14" t="n">
        <x:v>532</x:v>
      </x:c>
      <x:c r="D435" s="14" t="n">
        <x:v>27840</x:v>
      </x:c>
      <x:c r="E435" s="14" t="n">
        <x:v>546</x:v>
      </x:c>
      <x:c r="F435" s="14" t="n">
        <x:v>32395</x:v>
      </x:c>
      <x:c r="G435" s="14" t="n">
        <x:v>29792</x:v>
      </x:c>
      <x:c r="H435" s="14" t="n">
        <x:f>INT((F435-D435)*(A435-C435)/(E435-C435))+D435</x:f>
        <x:v>29792</x:v>
      </x:c>
      <x:c r="I435" s="68" t="n">
        <x:f>H435-G435</x:f>
        <x:v>0</x:v>
      </x:c>
      <x:c r="J435" s="14" t="n">
        <x:v>193954</x:v>
      </x:c>
      <x:c r="K435" s="14" t="n">
        <x:f>INT(H435*'공식·설정'!$B$10/'공식·설정'!$B$15)</x:f>
        <x:v>193954</x:v>
      </x:c>
      <x:c r="L435" s="68" t="n">
        <x:f>K435-J435</x:f>
        <x:v>0</x:v>
      </x:c>
      <x:c r="M435" s="65" t="n">
        <x:f>J435/'공식·설정'!$B$7</x:f>
        <x:v>757.6328125</x:v>
      </x:c>
      <x:c r="N435" s="65" t="n">
        <x:f>K435/'공식·설정'!$B$7</x:f>
        <x:v>757.6328125</x:v>
      </x:c>
      <x:c r="O435" s="14" t="n">
        <x:v>76</x:v>
      </x:c>
      <x:c r="P435" s="14" t="n">
        <x:f>MIN(32767,MAX(0,INT((K435+INT('공식·설정'!$B$12/2))/'공식·설정'!$B$12)))</x:f>
        <x:v>76</x:v>
      </x:c>
      <x:c r="Q435" s="68" t="n">
        <x:f>P435-O435</x:f>
        <x:v>0</x:v>
      </x:c>
      <x:c r="R435" s="14" t="n">
        <x:v>203008</x:v>
      </x:c>
      <x:c r="S435" s="14" t="n">
        <x:f>P435*'공식·설정'!$B$12+'공식·설정'!$B$14</x:f>
        <x:v>203008</x:v>
      </x:c>
      <x:c r="T435" s="68" t="n">
        <x:f>S435-R435</x:f>
        <x:v>0</x:v>
      </x:c>
      <x:c r="U435" s="65" t="n">
        <x:f>R435/'공식·설정'!$B$7</x:f>
        <x:v>793</x:v>
      </x:c>
      <x:c r="V435" s="65" t="n">
        <x:f>S435/'공식·설정'!$B$7</x:f>
        <x:v>793</x:v>
      </x:c>
      <x:c r="W435" s="14" t="n">
        <x:v>714</x:v>
      </x:c>
      <x:c r="X435" s="14" t="n">
        <x:f>INT(ABS(K436-K435)*'공식·설정'!$B$8/K435)</x:f>
        <x:v>714</x:v>
      </x:c>
      <x:c r="Y435" s="68" t="n">
        <x:f>X435-W435</x:f>
        <x:v>0</x:v>
      </x:c>
      <x:c r="Z435" s="66" t="n">
        <x:f>W435/'공식·설정'!$B$8</x:f>
        <x:v>0.010894775390625</x:v>
      </x:c>
      <x:c r="AA435" s="66" t="n">
        <x:f>X435/'공식·설정'!$B$8</x:f>
        <x:v>0.010894775390625</x:v>
      </x:c>
      <x:c r="AB435" s="67" t="str">
        <x:f>IF(AND(I435=0,L435=0,Q435=0,T435=0,Y435=0),"PASS","FAIL")</x:f>
        <x:v>PASS</x:v>
      </x:c>
    </x:row>
    <x:row r="436" ht="18" customHeight="1">
      <x:c r="A436" s="14" t="n">
        <x:v>539</x:v>
      </x:c>
      <x:c r="B436" s="14" t="n">
        <x:v>431</x:v>
      </x:c>
      <x:c r="C436" s="14" t="n">
        <x:v>532</x:v>
      </x:c>
      <x:c r="D436" s="14" t="n">
        <x:v>27840</x:v>
      </x:c>
      <x:c r="E436" s="14" t="n">
        <x:v>546</x:v>
      </x:c>
      <x:c r="F436" s="14" t="n">
        <x:v>32395</x:v>
      </x:c>
      <x:c r="G436" s="14" t="n">
        <x:v>30117</x:v>
      </x:c>
      <x:c r="H436" s="14" t="n">
        <x:f>INT((F436-D436)*(A436-C436)/(E436-C436))+D436</x:f>
        <x:v>30117</x:v>
      </x:c>
      <x:c r="I436" s="68" t="n">
        <x:f>H436-G436</x:f>
        <x:v>0</x:v>
      </x:c>
      <x:c r="J436" s="14" t="n">
        <x:v>196070</x:v>
      </x:c>
      <x:c r="K436" s="14" t="n">
        <x:f>INT(H436*'공식·설정'!$B$10/'공식·설정'!$B$15)</x:f>
        <x:v>196070</x:v>
      </x:c>
      <x:c r="L436" s="68" t="n">
        <x:f>K436-J436</x:f>
        <x:v>0</x:v>
      </x:c>
      <x:c r="M436" s="65" t="n">
        <x:f>J436/'공식·설정'!$B$7</x:f>
        <x:v>765.8984375</x:v>
      </x:c>
      <x:c r="N436" s="65" t="n">
        <x:f>K436/'공식·설정'!$B$7</x:f>
        <x:v>765.8984375</x:v>
      </x:c>
      <x:c r="O436" s="14" t="n">
        <x:v>77</x:v>
      </x:c>
      <x:c r="P436" s="14" t="n">
        <x:f>MIN(32767,MAX(0,INT((K436+INT('공식·설정'!$B$12/2))/'공식·설정'!$B$12)))</x:f>
        <x:v>77</x:v>
      </x:c>
      <x:c r="Q436" s="68" t="n">
        <x:f>P436-O436</x:f>
        <x:v>0</x:v>
      </x:c>
      <x:c r="R436" s="14" t="n">
        <x:v>205568</x:v>
      </x:c>
      <x:c r="S436" s="14" t="n">
        <x:f>P436*'공식·설정'!$B$12+'공식·설정'!$B$14</x:f>
        <x:v>205568</x:v>
      </x:c>
      <x:c r="T436" s="68" t="n">
        <x:f>S436-R436</x:f>
        <x:v>0</x:v>
      </x:c>
      <x:c r="U436" s="65" t="n">
        <x:f>R436/'공식·설정'!$B$7</x:f>
        <x:v>803</x:v>
      </x:c>
      <x:c r="V436" s="65" t="n">
        <x:f>S436/'공식·설정'!$B$7</x:f>
        <x:v>803</x:v>
      </x:c>
      <x:c r="W436" s="14" t="n">
        <x:v>707</x:v>
      </x:c>
      <x:c r="X436" s="14" t="n">
        <x:f>INT(ABS(K437-K436)*'공식·설정'!$B$8/K436)</x:f>
        <x:v>707</x:v>
      </x:c>
      <x:c r="Y436" s="68" t="n">
        <x:f>X436-W436</x:f>
        <x:v>0</x:v>
      </x:c>
      <x:c r="Z436" s="66" t="n">
        <x:f>W436/'공식·설정'!$B$8</x:f>
        <x:v>0.0107879638671875</x:v>
      </x:c>
      <x:c r="AA436" s="66" t="n">
        <x:f>X436/'공식·설정'!$B$8</x:f>
        <x:v>0.0107879638671875</x:v>
      </x:c>
      <x:c r="AB436" s="67" t="str">
        <x:f>IF(AND(I436=0,L436=0,Q436=0,T436=0,Y436=0),"PASS","FAIL")</x:f>
        <x:v>PASS</x:v>
      </x:c>
    </x:row>
    <x:row r="437" ht="18" customHeight="1">
      <x:c r="A437" s="14" t="n">
        <x:v>540</x:v>
      </x:c>
      <x:c r="B437" s="14" t="n">
        <x:v>432</x:v>
      </x:c>
      <x:c r="C437" s="14" t="n">
        <x:v>532</x:v>
      </x:c>
      <x:c r="D437" s="14" t="n">
        <x:v>27840</x:v>
      </x:c>
      <x:c r="E437" s="14" t="n">
        <x:v>546</x:v>
      </x:c>
      <x:c r="F437" s="14" t="n">
        <x:v>32395</x:v>
      </x:c>
      <x:c r="G437" s="14" t="n">
        <x:v>30442</x:v>
      </x:c>
      <x:c r="H437" s="14" t="n">
        <x:f>INT((F437-D437)*(A437-C437)/(E437-C437))+D437</x:f>
        <x:v>30442</x:v>
      </x:c>
      <x:c r="I437" s="68" t="n">
        <x:f>H437-G437</x:f>
        <x:v>0</x:v>
      </x:c>
      <x:c r="J437" s="14" t="n">
        <x:v>198186</x:v>
      </x:c>
      <x:c r="K437" s="14" t="n">
        <x:f>INT(H437*'공식·설정'!$B$10/'공식·설정'!$B$15)</x:f>
        <x:v>198186</x:v>
      </x:c>
      <x:c r="L437" s="68" t="n">
        <x:f>K437-J437</x:f>
        <x:v>0</x:v>
      </x:c>
      <x:c r="M437" s="65" t="n">
        <x:f>J437/'공식·설정'!$B$7</x:f>
        <x:v>774.1640625</x:v>
      </x:c>
      <x:c r="N437" s="65" t="n">
        <x:f>K437/'공식·설정'!$B$7</x:f>
        <x:v>774.1640625</x:v>
      </x:c>
      <x:c r="O437" s="14" t="n">
        <x:v>77</x:v>
      </x:c>
      <x:c r="P437" s="14" t="n">
        <x:f>MIN(32767,MAX(0,INT((K437+INT('공식·설정'!$B$12/2))/'공식·설정'!$B$12)))</x:f>
        <x:v>77</x:v>
      </x:c>
      <x:c r="Q437" s="68" t="n">
        <x:f>P437-O437</x:f>
        <x:v>0</x:v>
      </x:c>
      <x:c r="R437" s="14" t="n">
        <x:v>205568</x:v>
      </x:c>
      <x:c r="S437" s="14" t="n">
        <x:f>P437*'공식·설정'!$B$12+'공식·설정'!$B$14</x:f>
        <x:v>205568</x:v>
      </x:c>
      <x:c r="T437" s="68" t="n">
        <x:f>S437-R437</x:f>
        <x:v>0</x:v>
      </x:c>
      <x:c r="U437" s="65" t="n">
        <x:f>R437/'공식·설정'!$B$7</x:f>
        <x:v>803</x:v>
      </x:c>
      <x:c r="V437" s="65" t="n">
        <x:f>S437/'공식·설정'!$B$7</x:f>
        <x:v>803</x:v>
      </x:c>
      <x:c r="W437" s="14" t="n">
        <x:v>701</x:v>
      </x:c>
      <x:c r="X437" s="14" t="n">
        <x:f>INT(ABS(K438-K437)*'공식·설정'!$B$8/K437)</x:f>
        <x:v>701</x:v>
      </x:c>
      <x:c r="Y437" s="68" t="n">
        <x:f>X437-W437</x:f>
        <x:v>0</x:v>
      </x:c>
      <x:c r="Z437" s="66" t="n">
        <x:f>W437/'공식·설정'!$B$8</x:f>
        <x:v>0.0106964111328125</x:v>
      </x:c>
      <x:c r="AA437" s="66" t="n">
        <x:f>X437/'공식·설정'!$B$8</x:f>
        <x:v>0.0106964111328125</x:v>
      </x:c>
      <x:c r="AB437" s="67" t="str">
        <x:f>IF(AND(I437=0,L437=0,Q437=0,T437=0,Y437=0),"PASS","FAIL")</x:f>
        <x:v>PASS</x:v>
      </x:c>
    </x:row>
    <x:row r="438" ht="18" customHeight="1">
      <x:c r="A438" s="14" t="n">
        <x:v>541</x:v>
      </x:c>
      <x:c r="B438" s="14" t="n">
        <x:v>433</x:v>
      </x:c>
      <x:c r="C438" s="14" t="n">
        <x:v>532</x:v>
      </x:c>
      <x:c r="D438" s="14" t="n">
        <x:v>27840</x:v>
      </x:c>
      <x:c r="E438" s="14" t="n">
        <x:v>546</x:v>
      </x:c>
      <x:c r="F438" s="14" t="n">
        <x:v>32395</x:v>
      </x:c>
      <x:c r="G438" s="14" t="n">
        <x:v>30768</x:v>
      </x:c>
      <x:c r="H438" s="14" t="n">
        <x:f>INT((F438-D438)*(A438-C438)/(E438-C438))+D438</x:f>
        <x:v>30768</x:v>
      </x:c>
      <x:c r="I438" s="68" t="n">
        <x:f>H438-G438</x:f>
        <x:v>0</x:v>
      </x:c>
      <x:c r="J438" s="14" t="n">
        <x:v>200308</x:v>
      </x:c>
      <x:c r="K438" s="14" t="n">
        <x:f>INT(H438*'공식·설정'!$B$10/'공식·설정'!$B$15)</x:f>
        <x:v>200308</x:v>
      </x:c>
      <x:c r="L438" s="68" t="n">
        <x:f>K438-J438</x:f>
        <x:v>0</x:v>
      </x:c>
      <x:c r="M438" s="65" t="n">
        <x:f>J438/'공식·설정'!$B$7</x:f>
        <x:v>782.453125</x:v>
      </x:c>
      <x:c r="N438" s="65" t="n">
        <x:f>K438/'공식·설정'!$B$7</x:f>
        <x:v>782.453125</x:v>
      </x:c>
      <x:c r="O438" s="14" t="n">
        <x:v>78</x:v>
      </x:c>
      <x:c r="P438" s="14" t="n">
        <x:f>MIN(32767,MAX(0,INT((K438+INT('공식·설정'!$B$12/2))/'공식·설정'!$B$12)))</x:f>
        <x:v>78</x:v>
      </x:c>
      <x:c r="Q438" s="68" t="n">
        <x:f>P438-O438</x:f>
        <x:v>0</x:v>
      </x:c>
      <x:c r="R438" s="14" t="n">
        <x:v>208128</x:v>
      </x:c>
      <x:c r="S438" s="14" t="n">
        <x:f>P438*'공식·설정'!$B$12+'공식·설정'!$B$14</x:f>
        <x:v>208128</x:v>
      </x:c>
      <x:c r="T438" s="68" t="n">
        <x:f>S438-R438</x:f>
        <x:v>0</x:v>
      </x:c>
      <x:c r="U438" s="65" t="n">
        <x:f>R438/'공식·설정'!$B$7</x:f>
        <x:v>813</x:v>
      </x:c>
      <x:c r="V438" s="65" t="n">
        <x:f>S438/'공식·설정'!$B$7</x:f>
        <x:v>813</x:v>
      </x:c>
      <x:c r="W438" s="14" t="n">
        <x:v>692</x:v>
      </x:c>
      <x:c r="X438" s="14" t="n">
        <x:f>INT(ABS(K439-K438)*'공식·설정'!$B$8/K438)</x:f>
        <x:v>692</x:v>
      </x:c>
      <x:c r="Y438" s="68" t="n">
        <x:f>X438-W438</x:f>
        <x:v>0</x:v>
      </x:c>
      <x:c r="Z438" s="66" t="n">
        <x:f>W438/'공식·설정'!$B$8</x:f>
        <x:v>0.01055908203125</x:v>
      </x:c>
      <x:c r="AA438" s="66" t="n">
        <x:f>X438/'공식·설정'!$B$8</x:f>
        <x:v>0.01055908203125</x:v>
      </x:c>
      <x:c r="AB438" s="67" t="str">
        <x:f>IF(AND(I438=0,L438=0,Q438=0,T438=0,Y438=0),"PASS","FAIL")</x:f>
        <x:v>PASS</x:v>
      </x:c>
    </x:row>
    <x:row r="439" ht="18" customHeight="1">
      <x:c r="A439" s="14" t="n">
        <x:v>542</x:v>
      </x:c>
      <x:c r="B439" s="14" t="n">
        <x:v>434</x:v>
      </x:c>
      <x:c r="C439" s="14" t="n">
        <x:v>532</x:v>
      </x:c>
      <x:c r="D439" s="14" t="n">
        <x:v>27840</x:v>
      </x:c>
      <x:c r="E439" s="14" t="n">
        <x:v>546</x:v>
      </x:c>
      <x:c r="F439" s="14" t="n">
        <x:v>32395</x:v>
      </x:c>
      <x:c r="G439" s="14" t="n">
        <x:v>31093</x:v>
      </x:c>
      <x:c r="H439" s="14" t="n">
        <x:f>INT((F439-D439)*(A439-C439)/(E439-C439))+D439</x:f>
        <x:v>31093</x:v>
      </x:c>
      <x:c r="I439" s="68" t="n">
        <x:f>H439-G439</x:f>
        <x:v>0</x:v>
      </x:c>
      <x:c r="J439" s="14" t="n">
        <x:v>202424</x:v>
      </x:c>
      <x:c r="K439" s="14" t="n">
        <x:f>INT(H439*'공식·설정'!$B$10/'공식·설정'!$B$15)</x:f>
        <x:v>202424</x:v>
      </x:c>
      <x:c r="L439" s="68" t="n">
        <x:f>K439-J439</x:f>
        <x:v>0</x:v>
      </x:c>
      <x:c r="M439" s="65" t="n">
        <x:f>J439/'공식·설정'!$B$7</x:f>
        <x:v>790.71875</x:v>
      </x:c>
      <x:c r="N439" s="65" t="n">
        <x:f>K439/'공식·설정'!$B$7</x:f>
        <x:v>790.71875</x:v>
      </x:c>
      <x:c r="O439" s="14" t="n">
        <x:v>79</x:v>
      </x:c>
      <x:c r="P439" s="14" t="n">
        <x:f>MIN(32767,MAX(0,INT((K439+INT('공식·설정'!$B$12/2))/'공식·설정'!$B$12)))</x:f>
        <x:v>79</x:v>
      </x:c>
      <x:c r="Q439" s="68" t="n">
        <x:f>P439-O439</x:f>
        <x:v>0</x:v>
      </x:c>
      <x:c r="R439" s="14" t="n">
        <x:v>210688</x:v>
      </x:c>
      <x:c r="S439" s="14" t="n">
        <x:f>P439*'공식·설정'!$B$12+'공식·설정'!$B$14</x:f>
        <x:v>210688</x:v>
      </x:c>
      <x:c r="T439" s="68" t="n">
        <x:f>S439-R439</x:f>
        <x:v>0</x:v>
      </x:c>
      <x:c r="U439" s="65" t="n">
        <x:f>R439/'공식·설정'!$B$7</x:f>
        <x:v>823</x:v>
      </x:c>
      <x:c r="V439" s="65" t="n">
        <x:f>S439/'공식·설정'!$B$7</x:f>
        <x:v>823</x:v>
      </x:c>
      <x:c r="W439" s="14" t="n">
        <x:v>685</x:v>
      </x:c>
      <x:c r="X439" s="14" t="n">
        <x:f>INT(ABS(K440-K439)*'공식·설정'!$B$8/K439)</x:f>
        <x:v>685</x:v>
      </x:c>
      <x:c r="Y439" s="68" t="n">
        <x:f>X439-W439</x:f>
        <x:v>0</x:v>
      </x:c>
      <x:c r="Z439" s="66" t="n">
        <x:f>W439/'공식·설정'!$B$8</x:f>
        <x:v>0.0104522705078125</x:v>
      </x:c>
      <x:c r="AA439" s="66" t="n">
        <x:f>X439/'공식·설정'!$B$8</x:f>
        <x:v>0.0104522705078125</x:v>
      </x:c>
      <x:c r="AB439" s="67" t="str">
        <x:f>IF(AND(I439=0,L439=0,Q439=0,T439=0,Y439=0),"PASS","FAIL")</x:f>
        <x:v>PASS</x:v>
      </x:c>
    </x:row>
    <x:row r="440" ht="18" customHeight="1">
      <x:c r="A440" s="14" t="n">
        <x:v>543</x:v>
      </x:c>
      <x:c r="B440" s="14" t="n">
        <x:v>435</x:v>
      </x:c>
      <x:c r="C440" s="14" t="n">
        <x:v>532</x:v>
      </x:c>
      <x:c r="D440" s="14" t="n">
        <x:v>27840</x:v>
      </x:c>
      <x:c r="E440" s="14" t="n">
        <x:v>546</x:v>
      </x:c>
      <x:c r="F440" s="14" t="n">
        <x:v>32395</x:v>
      </x:c>
      <x:c r="G440" s="14" t="n">
        <x:v>31418</x:v>
      </x:c>
      <x:c r="H440" s="14" t="n">
        <x:f>INT((F440-D440)*(A440-C440)/(E440-C440))+D440</x:f>
        <x:v>31418</x:v>
      </x:c>
      <x:c r="I440" s="68" t="n">
        <x:f>H440-G440</x:f>
        <x:v>0</x:v>
      </x:c>
      <x:c r="J440" s="14" t="n">
        <x:v>204540</x:v>
      </x:c>
      <x:c r="K440" s="14" t="n">
        <x:f>INT(H440*'공식·설정'!$B$10/'공식·설정'!$B$15)</x:f>
        <x:v>204540</x:v>
      </x:c>
      <x:c r="L440" s="68" t="n">
        <x:f>K440-J440</x:f>
        <x:v>0</x:v>
      </x:c>
      <x:c r="M440" s="65" t="n">
        <x:f>J440/'공식·설정'!$B$7</x:f>
        <x:v>798.984375</x:v>
      </x:c>
      <x:c r="N440" s="65" t="n">
        <x:f>K440/'공식·설정'!$B$7</x:f>
        <x:v>798.984375</x:v>
      </x:c>
      <x:c r="O440" s="14" t="n">
        <x:v>80</x:v>
      </x:c>
      <x:c r="P440" s="14" t="n">
        <x:f>MIN(32767,MAX(0,INT((K440+INT('공식·설정'!$B$12/2))/'공식·설정'!$B$12)))</x:f>
        <x:v>80</x:v>
      </x:c>
      <x:c r="Q440" s="68" t="n">
        <x:f>P440-O440</x:f>
        <x:v>0</x:v>
      </x:c>
      <x:c r="R440" s="14" t="n">
        <x:v>213248</x:v>
      </x:c>
      <x:c r="S440" s="14" t="n">
        <x:f>P440*'공식·설정'!$B$12+'공식·설정'!$B$14</x:f>
        <x:v>213248</x:v>
      </x:c>
      <x:c r="T440" s="68" t="n">
        <x:f>S440-R440</x:f>
        <x:v>0</x:v>
      </x:c>
      <x:c r="U440" s="65" t="n">
        <x:f>R440/'공식·설정'!$B$7</x:f>
        <x:v>833</x:v>
      </x:c>
      <x:c r="V440" s="65" t="n">
        <x:f>S440/'공식·설정'!$B$7</x:f>
        <x:v>833</x:v>
      </x:c>
      <x:c r="W440" s="14" t="n">
        <x:v>679</x:v>
      </x:c>
      <x:c r="X440" s="14" t="n">
        <x:f>INT(ABS(K441-K440)*'공식·설정'!$B$8/K440)</x:f>
        <x:v>679</x:v>
      </x:c>
      <x:c r="Y440" s="68" t="n">
        <x:f>X440-W440</x:f>
        <x:v>0</x:v>
      </x:c>
      <x:c r="Z440" s="66" t="n">
        <x:f>W440/'공식·설정'!$B$8</x:f>
        <x:v>0.0103607177734375</x:v>
      </x:c>
      <x:c r="AA440" s="66" t="n">
        <x:f>X440/'공식·설정'!$B$8</x:f>
        <x:v>0.0103607177734375</x:v>
      </x:c>
      <x:c r="AB440" s="67" t="str">
        <x:f>IF(AND(I440=0,L440=0,Q440=0,T440=0,Y440=0),"PASS","FAIL")</x:f>
        <x:v>PASS</x:v>
      </x:c>
    </x:row>
    <x:row r="441" ht="18" customHeight="1">
      <x:c r="A441" s="14" t="n">
        <x:v>544</x:v>
      </x:c>
      <x:c r="B441" s="14" t="n">
        <x:v>436</x:v>
      </x:c>
      <x:c r="C441" s="14" t="n">
        <x:v>532</x:v>
      </x:c>
      <x:c r="D441" s="14" t="n">
        <x:v>27840</x:v>
      </x:c>
      <x:c r="E441" s="14" t="n">
        <x:v>546</x:v>
      </x:c>
      <x:c r="F441" s="14" t="n">
        <x:v>32395</x:v>
      </x:c>
      <x:c r="G441" s="14" t="n">
        <x:v>31744</x:v>
      </x:c>
      <x:c r="H441" s="14" t="n">
        <x:f>INT((F441-D441)*(A441-C441)/(E441-C441))+D441</x:f>
        <x:v>31744</x:v>
      </x:c>
      <x:c r="I441" s="68" t="n">
        <x:f>H441-G441</x:f>
        <x:v>0</x:v>
      </x:c>
      <x:c r="J441" s="14" t="n">
        <x:v>206662</x:v>
      </x:c>
      <x:c r="K441" s="14" t="n">
        <x:f>INT(H441*'공식·설정'!$B$10/'공식·설정'!$B$15)</x:f>
        <x:v>206662</x:v>
      </x:c>
      <x:c r="L441" s="68" t="n">
        <x:f>K441-J441</x:f>
        <x:v>0</x:v>
      </x:c>
      <x:c r="M441" s="65" t="n">
        <x:f>J441/'공식·설정'!$B$7</x:f>
        <x:v>807.2734375</x:v>
      </x:c>
      <x:c r="N441" s="65" t="n">
        <x:f>K441/'공식·설정'!$B$7</x:f>
        <x:v>807.2734375</x:v>
      </x:c>
      <x:c r="O441" s="14" t="n">
        <x:v>81</x:v>
      </x:c>
      <x:c r="P441" s="14" t="n">
        <x:f>MIN(32767,MAX(0,INT((K441+INT('공식·설정'!$B$12/2))/'공식·설정'!$B$12)))</x:f>
        <x:v>81</x:v>
      </x:c>
      <x:c r="Q441" s="68" t="n">
        <x:f>P441-O441</x:f>
        <x:v>0</x:v>
      </x:c>
      <x:c r="R441" s="14" t="n">
        <x:v>215808</x:v>
      </x:c>
      <x:c r="S441" s="14" t="n">
        <x:f>P441*'공식·설정'!$B$12+'공식·설정'!$B$14</x:f>
        <x:v>215808</x:v>
      </x:c>
      <x:c r="T441" s="68" t="n">
        <x:f>S441-R441</x:f>
        <x:v>0</x:v>
      </x:c>
      <x:c r="U441" s="65" t="n">
        <x:f>R441/'공식·설정'!$B$7</x:f>
        <x:v>843</x:v>
      </x:c>
      <x:c r="V441" s="65" t="n">
        <x:f>S441/'공식·설정'!$B$7</x:f>
        <x:v>843</x:v>
      </x:c>
      <x:c r="W441" s="14" t="n">
        <x:v>671</x:v>
      </x:c>
      <x:c r="X441" s="14" t="n">
        <x:f>INT(ABS(K442-K441)*'공식·설정'!$B$8/K441)</x:f>
        <x:v>671</x:v>
      </x:c>
      <x:c r="Y441" s="68" t="n">
        <x:f>X441-W441</x:f>
        <x:v>0</x:v>
      </x:c>
      <x:c r="Z441" s="66" t="n">
        <x:f>W441/'공식·설정'!$B$8</x:f>
        <x:v>0.0102386474609375</x:v>
      </x:c>
      <x:c r="AA441" s="66" t="n">
        <x:f>X441/'공식·설정'!$B$8</x:f>
        <x:v>0.0102386474609375</x:v>
      </x:c>
      <x:c r="AB441" s="67" t="str">
        <x:f>IF(AND(I441=0,L441=0,Q441=0,T441=0,Y441=0),"PASS","FAIL")</x:f>
        <x:v>PASS</x:v>
      </x:c>
    </x:row>
    <x:row r="442" ht="18" customHeight="1">
      <x:c r="A442" s="14" t="n">
        <x:v>545</x:v>
      </x:c>
      <x:c r="B442" s="14" t="n">
        <x:v>437</x:v>
      </x:c>
      <x:c r="C442" s="14" t="n">
        <x:v>532</x:v>
      </x:c>
      <x:c r="D442" s="14" t="n">
        <x:v>27840</x:v>
      </x:c>
      <x:c r="E442" s="14" t="n">
        <x:v>546</x:v>
      </x:c>
      <x:c r="F442" s="14" t="n">
        <x:v>32395</x:v>
      </x:c>
      <x:c r="G442" s="14" t="n">
        <x:v>32069</x:v>
      </x:c>
      <x:c r="H442" s="14" t="n">
        <x:f>INT((F442-D442)*(A442-C442)/(E442-C442))+D442</x:f>
        <x:v>32069</x:v>
      </x:c>
      <x:c r="I442" s="68" t="n">
        <x:f>H442-G442</x:f>
        <x:v>0</x:v>
      </x:c>
      <x:c r="J442" s="14" t="n">
        <x:v>208778</x:v>
      </x:c>
      <x:c r="K442" s="14" t="n">
        <x:f>INT(H442*'공식·설정'!$B$10/'공식·설정'!$B$15)</x:f>
        <x:v>208778</x:v>
      </x:c>
      <x:c r="L442" s="68" t="n">
        <x:f>K442-J442</x:f>
        <x:v>0</x:v>
      </x:c>
      <x:c r="M442" s="65" t="n">
        <x:f>J442/'공식·설정'!$B$7</x:f>
        <x:v>815.5390625</x:v>
      </x:c>
      <x:c r="N442" s="65" t="n">
        <x:f>K442/'공식·설정'!$B$7</x:f>
        <x:v>815.5390625</x:v>
      </x:c>
      <x:c r="O442" s="14" t="n">
        <x:v>82</x:v>
      </x:c>
      <x:c r="P442" s="14" t="n">
        <x:f>MIN(32767,MAX(0,INT((K442+INT('공식·설정'!$B$12/2))/'공식·설정'!$B$12)))</x:f>
        <x:v>82</x:v>
      </x:c>
      <x:c r="Q442" s="68" t="n">
        <x:f>P442-O442</x:f>
        <x:v>0</x:v>
      </x:c>
      <x:c r="R442" s="14" t="n">
        <x:v>218368</x:v>
      </x:c>
      <x:c r="S442" s="14" t="n">
        <x:f>P442*'공식·설정'!$B$12+'공식·설정'!$B$14</x:f>
        <x:v>218368</x:v>
      </x:c>
      <x:c r="T442" s="68" t="n">
        <x:f>S442-R442</x:f>
        <x:v>0</x:v>
      </x:c>
      <x:c r="U442" s="65" t="n">
        <x:f>R442/'공식·설정'!$B$7</x:f>
        <x:v>853</x:v>
      </x:c>
      <x:c r="V442" s="65" t="n">
        <x:f>S442/'공식·설정'!$B$7</x:f>
        <x:v>853</x:v>
      </x:c>
      <x:c r="W442" s="14" t="n">
        <x:v>666</x:v>
      </x:c>
      <x:c r="X442" s="14" t="n">
        <x:f>INT(ABS(K443-K442)*'공식·설정'!$B$8/K442)</x:f>
        <x:v>666</x:v>
      </x:c>
      <x:c r="Y442" s="68" t="n">
        <x:f>X442-W442</x:f>
        <x:v>0</x:v>
      </x:c>
      <x:c r="Z442" s="66" t="n">
        <x:f>W442/'공식·설정'!$B$8</x:f>
        <x:v>0.010162353515625</x:v>
      </x:c>
      <x:c r="AA442" s="66" t="n">
        <x:f>X442/'공식·설정'!$B$8</x:f>
        <x:v>0.010162353515625</x:v>
      </x:c>
      <x:c r="AB442" s="67" t="str">
        <x:f>IF(AND(I442=0,L442=0,Q442=0,T442=0,Y442=0),"PASS","FAIL")</x:f>
        <x:v>PASS</x:v>
      </x:c>
    </x:row>
    <x:row r="443" ht="18" customHeight="1">
      <x:c r="A443" s="14" t="n">
        <x:v>546</x:v>
      </x:c>
      <x:c r="B443" s="14" t="n">
        <x:v>438</x:v>
      </x:c>
      <x:c r="C443" s="14" t="n">
        <x:v>546</x:v>
      </x:c>
      <x:c r="D443" s="14" t="n">
        <x:v>32395</x:v>
      </x:c>
      <x:c r="E443" s="14" t="n">
        <x:v>560</x:v>
      </x:c>
      <x:c r="F443" s="14" t="n">
        <x:v>37694</x:v>
      </x:c>
      <x:c r="G443" s="14" t="n">
        <x:v>32395</x:v>
      </x:c>
      <x:c r="H443" s="14" t="n">
        <x:f>INT((F443-D443)*(A443-C443)/(E443-C443))+D443</x:f>
        <x:v>32395</x:v>
      </x:c>
      <x:c r="I443" s="68" t="n">
        <x:f>H443-G443</x:f>
        <x:v>0</x:v>
      </x:c>
      <x:c r="J443" s="14" t="n">
        <x:v>210900</x:v>
      </x:c>
      <x:c r="K443" s="14" t="n">
        <x:f>INT(H443*'공식·설정'!$B$10/'공식·설정'!$B$15)</x:f>
        <x:v>210900</x:v>
      </x:c>
      <x:c r="L443" s="68" t="n">
        <x:f>K443-J443</x:f>
        <x:v>0</x:v>
      </x:c>
      <x:c r="M443" s="65" t="n">
        <x:f>J443/'공식·설정'!$B$7</x:f>
        <x:v>823.828125</x:v>
      </x:c>
      <x:c r="N443" s="65" t="n">
        <x:f>K443/'공식·설정'!$B$7</x:f>
        <x:v>823.828125</x:v>
      </x:c>
      <x:c r="O443" s="14" t="n">
        <x:v>82</x:v>
      </x:c>
      <x:c r="P443" s="14" t="n">
        <x:f>MIN(32767,MAX(0,INT((K443+INT('공식·설정'!$B$12/2))/'공식·설정'!$B$12)))</x:f>
        <x:v>82</x:v>
      </x:c>
      <x:c r="Q443" s="68" t="n">
        <x:f>P443-O443</x:f>
        <x:v>0</x:v>
      </x:c>
      <x:c r="R443" s="14" t="n">
        <x:v>218368</x:v>
      </x:c>
      <x:c r="S443" s="14" t="n">
        <x:f>P443*'공식·설정'!$B$12+'공식·설정'!$B$14</x:f>
        <x:v>218368</x:v>
      </x:c>
      <x:c r="T443" s="68" t="n">
        <x:f>S443-R443</x:f>
        <x:v>0</x:v>
      </x:c>
      <x:c r="U443" s="65" t="n">
        <x:f>R443/'공식·설정'!$B$7</x:f>
        <x:v>853</x:v>
      </x:c>
      <x:c r="V443" s="65" t="n">
        <x:f>S443/'공식·설정'!$B$7</x:f>
        <x:v>853</x:v>
      </x:c>
      <x:c r="W443" s="14" t="n">
        <x:v>764</x:v>
      </x:c>
      <x:c r="X443" s="14" t="n">
        <x:f>INT(ABS(K444-K443)*'공식·설정'!$B$8/K443)</x:f>
        <x:v>764</x:v>
      </x:c>
      <x:c r="Y443" s="68" t="n">
        <x:f>X443-W443</x:f>
        <x:v>0</x:v>
      </x:c>
      <x:c r="Z443" s="66" t="n">
        <x:f>W443/'공식·설정'!$B$8</x:f>
        <x:v>0.01165771484375</x:v>
      </x:c>
      <x:c r="AA443" s="66" t="n">
        <x:f>X443/'공식·설정'!$B$8</x:f>
        <x:v>0.01165771484375</x:v>
      </x:c>
      <x:c r="AB443" s="67" t="str">
        <x:f>IF(AND(I443=0,L443=0,Q443=0,T443=0,Y443=0),"PASS","FAIL")</x:f>
        <x:v>PASS</x:v>
      </x:c>
    </x:row>
    <x:row r="444" ht="18" customHeight="1">
      <x:c r="A444" s="14" t="n">
        <x:v>547</x:v>
      </x:c>
      <x:c r="B444" s="14" t="n">
        <x:v>439</x:v>
      </x:c>
      <x:c r="C444" s="14" t="n">
        <x:v>546</x:v>
      </x:c>
      <x:c r="D444" s="14" t="n">
        <x:v>32395</x:v>
      </x:c>
      <x:c r="E444" s="14" t="n">
        <x:v>560</x:v>
      </x:c>
      <x:c r="F444" s="14" t="n">
        <x:v>37694</x:v>
      </x:c>
      <x:c r="G444" s="14" t="n">
        <x:v>32773</x:v>
      </x:c>
      <x:c r="H444" s="14" t="n">
        <x:f>INT((F444-D444)*(A444-C444)/(E444-C444))+D444</x:f>
        <x:v>32773</x:v>
      </x:c>
      <x:c r="I444" s="68" t="n">
        <x:f>H444-G444</x:f>
        <x:v>0</x:v>
      </x:c>
      <x:c r="J444" s="14" t="n">
        <x:v>213361</x:v>
      </x:c>
      <x:c r="K444" s="14" t="n">
        <x:f>INT(H444*'공식·설정'!$B$10/'공식·설정'!$B$15)</x:f>
        <x:v>213361</x:v>
      </x:c>
      <x:c r="L444" s="68" t="n">
        <x:f>K444-J444</x:f>
        <x:v>0</x:v>
      </x:c>
      <x:c r="M444" s="65" t="n">
        <x:f>J444/'공식·설정'!$B$7</x:f>
        <x:v>833.44140625</x:v>
      </x:c>
      <x:c r="N444" s="65" t="n">
        <x:f>K444/'공식·설정'!$B$7</x:f>
        <x:v>833.44140625</x:v>
      </x:c>
      <x:c r="O444" s="14" t="n">
        <x:v>83</x:v>
      </x:c>
      <x:c r="P444" s="14" t="n">
        <x:f>MIN(32767,MAX(0,INT((K444+INT('공식·설정'!$B$12/2))/'공식·설정'!$B$12)))</x:f>
        <x:v>83</x:v>
      </x:c>
      <x:c r="Q444" s="68" t="n">
        <x:f>P444-O444</x:f>
        <x:v>0</x:v>
      </x:c>
      <x:c r="R444" s="14" t="n">
        <x:v>220928</x:v>
      </x:c>
      <x:c r="S444" s="14" t="n">
        <x:f>P444*'공식·설정'!$B$12+'공식·설정'!$B$14</x:f>
        <x:v>220928</x:v>
      </x:c>
      <x:c r="T444" s="68" t="n">
        <x:f>S444-R444</x:f>
        <x:v>0</x:v>
      </x:c>
      <x:c r="U444" s="65" t="n">
        <x:f>R444/'공식·설정'!$B$7</x:f>
        <x:v>863</x:v>
      </x:c>
      <x:c r="V444" s="65" t="n">
        <x:f>S444/'공식·설정'!$B$7</x:f>
        <x:v>863</x:v>
      </x:c>
      <x:c r="W444" s="14" t="n">
        <x:v>757</x:v>
      </x:c>
      <x:c r="X444" s="14" t="n">
        <x:f>INT(ABS(K445-K444)*'공식·설정'!$B$8/K444)</x:f>
        <x:v>757</x:v>
      </x:c>
      <x:c r="Y444" s="68" t="n">
        <x:f>X444-W444</x:f>
        <x:v>0</x:v>
      </x:c>
      <x:c r="Z444" s="66" t="n">
        <x:f>W444/'공식·설정'!$B$8</x:f>
        <x:v>0.0115509033203125</x:v>
      </x:c>
      <x:c r="AA444" s="66" t="n">
        <x:f>X444/'공식·설정'!$B$8</x:f>
        <x:v>0.0115509033203125</x:v>
      </x:c>
      <x:c r="AB444" s="67" t="str">
        <x:f>IF(AND(I444=0,L444=0,Q444=0,T444=0,Y444=0),"PASS","FAIL")</x:f>
        <x:v>PASS</x:v>
      </x:c>
    </x:row>
    <x:row r="445" ht="18" customHeight="1">
      <x:c r="A445" s="14" t="n">
        <x:v>548</x:v>
      </x:c>
      <x:c r="B445" s="14" t="n">
        <x:v>440</x:v>
      </x:c>
      <x:c r="C445" s="14" t="n">
        <x:v>546</x:v>
      </x:c>
      <x:c r="D445" s="14" t="n">
        <x:v>32395</x:v>
      </x:c>
      <x:c r="E445" s="14" t="n">
        <x:v>560</x:v>
      </x:c>
      <x:c r="F445" s="14" t="n">
        <x:v>37694</x:v>
      </x:c>
      <x:c r="G445" s="14" t="n">
        <x:v>33152</x:v>
      </x:c>
      <x:c r="H445" s="14" t="n">
        <x:f>INT((F445-D445)*(A445-C445)/(E445-C445))+D445</x:f>
        <x:v>33152</x:v>
      </x:c>
      <x:c r="I445" s="68" t="n">
        <x:f>H445-G445</x:f>
        <x:v>0</x:v>
      </x:c>
      <x:c r="J445" s="14" t="n">
        <x:v>215828</x:v>
      </x:c>
      <x:c r="K445" s="14" t="n">
        <x:f>INT(H445*'공식·설정'!$B$10/'공식·설정'!$B$15)</x:f>
        <x:v>215828</x:v>
      </x:c>
      <x:c r="L445" s="68" t="n">
        <x:f>K445-J445</x:f>
        <x:v>0</x:v>
      </x:c>
      <x:c r="M445" s="65" t="n">
        <x:f>J445/'공식·설정'!$B$7</x:f>
        <x:v>843.078125</x:v>
      </x:c>
      <x:c r="N445" s="65" t="n">
        <x:f>K445/'공식·설정'!$B$7</x:f>
        <x:v>843.078125</x:v>
      </x:c>
      <x:c r="O445" s="14" t="n">
        <x:v>84</x:v>
      </x:c>
      <x:c r="P445" s="14" t="n">
        <x:f>MIN(32767,MAX(0,INT((K445+INT('공식·설정'!$B$12/2))/'공식·설정'!$B$12)))</x:f>
        <x:v>84</x:v>
      </x:c>
      <x:c r="Q445" s="68" t="n">
        <x:f>P445-O445</x:f>
        <x:v>0</x:v>
      </x:c>
      <x:c r="R445" s="14" t="n">
        <x:v>223488</x:v>
      </x:c>
      <x:c r="S445" s="14" t="n">
        <x:f>P445*'공식·설정'!$B$12+'공식·설정'!$B$14</x:f>
        <x:v>223488</x:v>
      </x:c>
      <x:c r="T445" s="68" t="n">
        <x:f>S445-R445</x:f>
        <x:v>0</x:v>
      </x:c>
      <x:c r="U445" s="65" t="n">
        <x:f>R445/'공식·설정'!$B$7</x:f>
        <x:v>873</x:v>
      </x:c>
      <x:c r="V445" s="65" t="n">
        <x:f>S445/'공식·설정'!$B$7</x:f>
        <x:v>873</x:v>
      </x:c>
      <x:c r="W445" s="14" t="n">
        <x:v>747</x:v>
      </x:c>
      <x:c r="X445" s="14" t="n">
        <x:f>INT(ABS(K446-K445)*'공식·설정'!$B$8/K445)</x:f>
        <x:v>747</x:v>
      </x:c>
      <x:c r="Y445" s="68" t="n">
        <x:f>X445-W445</x:f>
        <x:v>0</x:v>
      </x:c>
      <x:c r="Z445" s="66" t="n">
        <x:f>W445/'공식·설정'!$B$8</x:f>
        <x:v>0.0113983154296875</x:v>
      </x:c>
      <x:c r="AA445" s="66" t="n">
        <x:f>X445/'공식·설정'!$B$8</x:f>
        <x:v>0.0113983154296875</x:v>
      </x:c>
      <x:c r="AB445" s="67" t="str">
        <x:f>IF(AND(I445=0,L445=0,Q445=0,T445=0,Y445=0),"PASS","FAIL")</x:f>
        <x:v>PASS</x:v>
      </x:c>
    </x:row>
    <x:row r="446" ht="18" customHeight="1">
      <x:c r="A446" s="14" t="n">
        <x:v>549</x:v>
      </x:c>
      <x:c r="B446" s="14" t="n">
        <x:v>441</x:v>
      </x:c>
      <x:c r="C446" s="14" t="n">
        <x:v>546</x:v>
      </x:c>
      <x:c r="D446" s="14" t="n">
        <x:v>32395</x:v>
      </x:c>
      <x:c r="E446" s="14" t="n">
        <x:v>560</x:v>
      </x:c>
      <x:c r="F446" s="14" t="n">
        <x:v>37694</x:v>
      </x:c>
      <x:c r="G446" s="14" t="n">
        <x:v>33530</x:v>
      </x:c>
      <x:c r="H446" s="14" t="n">
        <x:f>INT((F446-D446)*(A446-C446)/(E446-C446))+D446</x:f>
        <x:v>33530</x:v>
      </x:c>
      <x:c r="I446" s="68" t="n">
        <x:f>H446-G446</x:f>
        <x:v>0</x:v>
      </x:c>
      <x:c r="J446" s="14" t="n">
        <x:v>218289</x:v>
      </x:c>
      <x:c r="K446" s="14" t="n">
        <x:f>INT(H446*'공식·설정'!$B$10/'공식·설정'!$B$15)</x:f>
        <x:v>218289</x:v>
      </x:c>
      <x:c r="L446" s="68" t="n">
        <x:f>K446-J446</x:f>
        <x:v>0</x:v>
      </x:c>
      <x:c r="M446" s="65" t="n">
        <x:f>J446/'공식·설정'!$B$7</x:f>
        <x:v>852.69140625</x:v>
      </x:c>
      <x:c r="N446" s="65" t="n">
        <x:f>K446/'공식·설정'!$B$7</x:f>
        <x:v>852.69140625</x:v>
      </x:c>
      <x:c r="O446" s="14" t="n">
        <x:v>85</x:v>
      </x:c>
      <x:c r="P446" s="14" t="n">
        <x:f>MIN(32767,MAX(0,INT((K446+INT('공식·설정'!$B$12/2))/'공식·설정'!$B$12)))</x:f>
        <x:v>85</x:v>
      </x:c>
      <x:c r="Q446" s="68" t="n">
        <x:f>P446-O446</x:f>
        <x:v>0</x:v>
      </x:c>
      <x:c r="R446" s="14" t="n">
        <x:v>226048</x:v>
      </x:c>
      <x:c r="S446" s="14" t="n">
        <x:f>P446*'공식·설정'!$B$12+'공식·설정'!$B$14</x:f>
        <x:v>226048</x:v>
      </x:c>
      <x:c r="T446" s="68" t="n">
        <x:f>S446-R446</x:f>
        <x:v>0</x:v>
      </x:c>
      <x:c r="U446" s="65" t="n">
        <x:f>R446/'공식·설정'!$B$7</x:f>
        <x:v>883</x:v>
      </x:c>
      <x:c r="V446" s="65" t="n">
        <x:f>S446/'공식·설정'!$B$7</x:f>
        <x:v>883</x:v>
      </x:c>
      <x:c r="W446" s="14" t="n">
        <x:v>740</x:v>
      </x:c>
      <x:c r="X446" s="14" t="n">
        <x:f>INT(ABS(K447-K446)*'공식·설정'!$B$8/K446)</x:f>
        <x:v>740</x:v>
      </x:c>
      <x:c r="Y446" s="68" t="n">
        <x:f>X446-W446</x:f>
        <x:v>0</x:v>
      </x:c>
      <x:c r="Z446" s="66" t="n">
        <x:f>W446/'공식·설정'!$B$8</x:f>
        <x:v>0.01129150390625</x:v>
      </x:c>
      <x:c r="AA446" s="66" t="n">
        <x:f>X446/'공식·설정'!$B$8</x:f>
        <x:v>0.01129150390625</x:v>
      </x:c>
      <x:c r="AB446" s="67" t="str">
        <x:f>IF(AND(I446=0,L446=0,Q446=0,T446=0,Y446=0),"PASS","FAIL")</x:f>
        <x:v>PASS</x:v>
      </x:c>
    </x:row>
    <x:row r="447" ht="18" customHeight="1">
      <x:c r="A447" s="14" t="n">
        <x:v>550</x:v>
      </x:c>
      <x:c r="B447" s="14" t="n">
        <x:v>442</x:v>
      </x:c>
      <x:c r="C447" s="14" t="n">
        <x:v>546</x:v>
      </x:c>
      <x:c r="D447" s="14" t="n">
        <x:v>32395</x:v>
      </x:c>
      <x:c r="E447" s="14" t="n">
        <x:v>560</x:v>
      </x:c>
      <x:c r="F447" s="14" t="n">
        <x:v>37694</x:v>
      </x:c>
      <x:c r="G447" s="14" t="n">
        <x:v>33909</x:v>
      </x:c>
      <x:c r="H447" s="14" t="n">
        <x:f>INT((F447-D447)*(A447-C447)/(E447-C447))+D447</x:f>
        <x:v>33909</x:v>
      </x:c>
      <x:c r="I447" s="68" t="n">
        <x:f>H447-G447</x:f>
        <x:v>0</x:v>
      </x:c>
      <x:c r="J447" s="14" t="n">
        <x:v>220757</x:v>
      </x:c>
      <x:c r="K447" s="14" t="n">
        <x:f>INT(H447*'공식·설정'!$B$10/'공식·설정'!$B$15)</x:f>
        <x:v>220757</x:v>
      </x:c>
      <x:c r="L447" s="68" t="n">
        <x:f>K447-J447</x:f>
        <x:v>0</x:v>
      </x:c>
      <x:c r="M447" s="65" t="n">
        <x:f>J447/'공식·설정'!$B$7</x:f>
        <x:v>862.33203125</x:v>
      </x:c>
      <x:c r="N447" s="65" t="n">
        <x:f>K447/'공식·설정'!$B$7</x:f>
        <x:v>862.33203125</x:v>
      </x:c>
      <x:c r="O447" s="14" t="n">
        <x:v>86</x:v>
      </x:c>
      <x:c r="P447" s="14" t="n">
        <x:f>MIN(32767,MAX(0,INT((K447+INT('공식·설정'!$B$12/2))/'공식·설정'!$B$12)))</x:f>
        <x:v>86</x:v>
      </x:c>
      <x:c r="Q447" s="68" t="n">
        <x:f>P447-O447</x:f>
        <x:v>0</x:v>
      </x:c>
      <x:c r="R447" s="14" t="n">
        <x:v>228608</x:v>
      </x:c>
      <x:c r="S447" s="14" t="n">
        <x:f>P447*'공식·설정'!$B$12+'공식·설정'!$B$14</x:f>
        <x:v>228608</x:v>
      </x:c>
      <x:c r="T447" s="68" t="n">
        <x:f>S447-R447</x:f>
        <x:v>0</x:v>
      </x:c>
      <x:c r="U447" s="65" t="n">
        <x:f>R447/'공식·설정'!$B$7</x:f>
        <x:v>893</x:v>
      </x:c>
      <x:c r="V447" s="65" t="n">
        <x:f>S447/'공식·설정'!$B$7</x:f>
        <x:v>893</x:v>
      </x:c>
      <x:c r="W447" s="14" t="n">
        <x:v>730</x:v>
      </x:c>
      <x:c r="X447" s="14" t="n">
        <x:f>INT(ABS(K448-K447)*'공식·설정'!$B$8/K447)</x:f>
        <x:v>730</x:v>
      </x:c>
      <x:c r="Y447" s="68" t="n">
        <x:f>X447-W447</x:f>
        <x:v>0</x:v>
      </x:c>
      <x:c r="Z447" s="66" t="n">
        <x:f>W447/'공식·설정'!$B$8</x:f>
        <x:v>0.011138916015625</x:v>
      </x:c>
      <x:c r="AA447" s="66" t="n">
        <x:f>X447/'공식·설정'!$B$8</x:f>
        <x:v>0.011138916015625</x:v>
      </x:c>
      <x:c r="AB447" s="67" t="str">
        <x:f>IF(AND(I447=0,L447=0,Q447=0,T447=0,Y447=0),"PASS","FAIL")</x:f>
        <x:v>PASS</x:v>
      </x:c>
    </x:row>
    <x:row r="448" ht="18" customHeight="1">
      <x:c r="A448" s="14" t="n">
        <x:v>551</x:v>
      </x:c>
      <x:c r="B448" s="14" t="n">
        <x:v>443</x:v>
      </x:c>
      <x:c r="C448" s="14" t="n">
        <x:v>546</x:v>
      </x:c>
      <x:c r="D448" s="14" t="n">
        <x:v>32395</x:v>
      </x:c>
      <x:c r="E448" s="14" t="n">
        <x:v>560</x:v>
      </x:c>
      <x:c r="F448" s="14" t="n">
        <x:v>37694</x:v>
      </x:c>
      <x:c r="G448" s="14" t="n">
        <x:v>34287</x:v>
      </x:c>
      <x:c r="H448" s="14" t="n">
        <x:f>INT((F448-D448)*(A448-C448)/(E448-C448))+D448</x:f>
        <x:v>34287</x:v>
      </x:c>
      <x:c r="I448" s="68" t="n">
        <x:f>H448-G448</x:f>
        <x:v>0</x:v>
      </x:c>
      <x:c r="J448" s="14" t="n">
        <x:v>223218</x:v>
      </x:c>
      <x:c r="K448" s="14" t="n">
        <x:f>INT(H448*'공식·설정'!$B$10/'공식·설정'!$B$15)</x:f>
        <x:v>223218</x:v>
      </x:c>
      <x:c r="L448" s="68" t="n">
        <x:f>K448-J448</x:f>
        <x:v>0</x:v>
      </x:c>
      <x:c r="M448" s="65" t="n">
        <x:f>J448/'공식·설정'!$B$7</x:f>
        <x:v>871.9453125</x:v>
      </x:c>
      <x:c r="N448" s="65" t="n">
        <x:f>K448/'공식·설정'!$B$7</x:f>
        <x:v>871.9453125</x:v>
      </x:c>
      <x:c r="O448" s="14" t="n">
        <x:v>87</x:v>
      </x:c>
      <x:c r="P448" s="14" t="n">
        <x:f>MIN(32767,MAX(0,INT((K448+INT('공식·설정'!$B$12/2))/'공식·설정'!$B$12)))</x:f>
        <x:v>87</x:v>
      </x:c>
      <x:c r="Q448" s="68" t="n">
        <x:f>P448-O448</x:f>
        <x:v>0</x:v>
      </x:c>
      <x:c r="R448" s="14" t="n">
        <x:v>231168</x:v>
      </x:c>
      <x:c r="S448" s="14" t="n">
        <x:f>P448*'공식·설정'!$B$12+'공식·설정'!$B$14</x:f>
        <x:v>231168</x:v>
      </x:c>
      <x:c r="T448" s="68" t="n">
        <x:f>S448-R448</x:f>
        <x:v>0</x:v>
      </x:c>
      <x:c r="U448" s="65" t="n">
        <x:f>R448/'공식·설정'!$B$7</x:f>
        <x:v>903</x:v>
      </x:c>
      <x:c r="V448" s="65" t="n">
        <x:f>S448/'공식·설정'!$B$7</x:f>
        <x:v>903</x:v>
      </x:c>
      <x:c r="W448" s="14" t="n">
        <x:v>724</x:v>
      </x:c>
      <x:c r="X448" s="14" t="n">
        <x:f>INT(ABS(K449-K448)*'공식·설정'!$B$8/K448)</x:f>
        <x:v>724</x:v>
      </x:c>
      <x:c r="Y448" s="68" t="n">
        <x:f>X448-W448</x:f>
        <x:v>0</x:v>
      </x:c>
      <x:c r="Z448" s="66" t="n">
        <x:f>W448/'공식·설정'!$B$8</x:f>
        <x:v>0.01104736328125</x:v>
      </x:c>
      <x:c r="AA448" s="66" t="n">
        <x:f>X448/'공식·설정'!$B$8</x:f>
        <x:v>0.01104736328125</x:v>
      </x:c>
      <x:c r="AB448" s="67" t="str">
        <x:f>IF(AND(I448=0,L448=0,Q448=0,T448=0,Y448=0),"PASS","FAIL")</x:f>
        <x:v>PASS</x:v>
      </x:c>
    </x:row>
    <x:row r="449" ht="18" customHeight="1">
      <x:c r="A449" s="14" t="n">
        <x:v>552</x:v>
      </x:c>
      <x:c r="B449" s="14" t="n">
        <x:v>444</x:v>
      </x:c>
      <x:c r="C449" s="14" t="n">
        <x:v>546</x:v>
      </x:c>
      <x:c r="D449" s="14" t="n">
        <x:v>32395</x:v>
      </x:c>
      <x:c r="E449" s="14" t="n">
        <x:v>560</x:v>
      </x:c>
      <x:c r="F449" s="14" t="n">
        <x:v>37694</x:v>
      </x:c>
      <x:c r="G449" s="14" t="n">
        <x:v>34666</x:v>
      </x:c>
      <x:c r="H449" s="14" t="n">
        <x:f>INT((F449-D449)*(A449-C449)/(E449-C449))+D449</x:f>
        <x:v>34666</x:v>
      </x:c>
      <x:c r="I449" s="68" t="n">
        <x:f>H449-G449</x:f>
        <x:v>0</x:v>
      </x:c>
      <x:c r="J449" s="14" t="n">
        <x:v>225685</x:v>
      </x:c>
      <x:c r="K449" s="14" t="n">
        <x:f>INT(H449*'공식·설정'!$B$10/'공식·설정'!$B$15)</x:f>
        <x:v>225685</x:v>
      </x:c>
      <x:c r="L449" s="68" t="n">
        <x:f>K449-J449</x:f>
        <x:v>0</x:v>
      </x:c>
      <x:c r="M449" s="65" t="n">
        <x:f>J449/'공식·설정'!$B$7</x:f>
        <x:v>881.58203125</x:v>
      </x:c>
      <x:c r="N449" s="65" t="n">
        <x:f>K449/'공식·설정'!$B$7</x:f>
        <x:v>881.58203125</x:v>
      </x:c>
      <x:c r="O449" s="14" t="n">
        <x:v>88</x:v>
      </x:c>
      <x:c r="P449" s="14" t="n">
        <x:f>MIN(32767,MAX(0,INT((K449+INT('공식·설정'!$B$12/2))/'공식·설정'!$B$12)))</x:f>
        <x:v>88</x:v>
      </x:c>
      <x:c r="Q449" s="68" t="n">
        <x:f>P449-O449</x:f>
        <x:v>0</x:v>
      </x:c>
      <x:c r="R449" s="14" t="n">
        <x:v>233728</x:v>
      </x:c>
      <x:c r="S449" s="14" t="n">
        <x:f>P449*'공식·설정'!$B$12+'공식·설정'!$B$14</x:f>
        <x:v>233728</x:v>
      </x:c>
      <x:c r="T449" s="68" t="n">
        <x:f>S449-R449</x:f>
        <x:v>0</x:v>
      </x:c>
      <x:c r="U449" s="65" t="n">
        <x:f>R449/'공식·설정'!$B$7</x:f>
        <x:v>913</x:v>
      </x:c>
      <x:c r="V449" s="65" t="n">
        <x:f>S449/'공식·설정'!$B$7</x:f>
        <x:v>913</x:v>
      </x:c>
      <x:c r="W449" s="14" t="n">
        <x:v>714</x:v>
      </x:c>
      <x:c r="X449" s="14" t="n">
        <x:f>INT(ABS(K450-K449)*'공식·설정'!$B$8/K449)</x:f>
        <x:v>714</x:v>
      </x:c>
      <x:c r="Y449" s="68" t="n">
        <x:f>X449-W449</x:f>
        <x:v>0</x:v>
      </x:c>
      <x:c r="Z449" s="66" t="n">
        <x:f>W449/'공식·설정'!$B$8</x:f>
        <x:v>0.010894775390625</x:v>
      </x:c>
      <x:c r="AA449" s="66" t="n">
        <x:f>X449/'공식·설정'!$B$8</x:f>
        <x:v>0.010894775390625</x:v>
      </x:c>
      <x:c r="AB449" s="67" t="str">
        <x:f>IF(AND(I449=0,L449=0,Q449=0,T449=0,Y449=0),"PASS","FAIL")</x:f>
        <x:v>PASS</x:v>
      </x:c>
    </x:row>
    <x:row r="450" ht="18" customHeight="1">
      <x:c r="A450" s="14" t="n">
        <x:v>553</x:v>
      </x:c>
      <x:c r="B450" s="14" t="n">
        <x:v>445</x:v>
      </x:c>
      <x:c r="C450" s="14" t="n">
        <x:v>546</x:v>
      </x:c>
      <x:c r="D450" s="14" t="n">
        <x:v>32395</x:v>
      </x:c>
      <x:c r="E450" s="14" t="n">
        <x:v>560</x:v>
      </x:c>
      <x:c r="F450" s="14" t="n">
        <x:v>37694</x:v>
      </x:c>
      <x:c r="G450" s="14" t="n">
        <x:v>35044</x:v>
      </x:c>
      <x:c r="H450" s="14" t="n">
        <x:f>INT((F450-D450)*(A450-C450)/(E450-C450))+D450</x:f>
        <x:v>35044</x:v>
      </x:c>
      <x:c r="I450" s="68" t="n">
        <x:f>H450-G450</x:f>
        <x:v>0</x:v>
      </x:c>
      <x:c r="J450" s="14" t="n">
        <x:v>228146</x:v>
      </x:c>
      <x:c r="K450" s="14" t="n">
        <x:f>INT(H450*'공식·설정'!$B$10/'공식·설정'!$B$15)</x:f>
        <x:v>228146</x:v>
      </x:c>
      <x:c r="L450" s="68" t="n">
        <x:f>K450-J450</x:f>
        <x:v>0</x:v>
      </x:c>
      <x:c r="M450" s="65" t="n">
        <x:f>J450/'공식·설정'!$B$7</x:f>
        <x:v>891.1953125</x:v>
      </x:c>
      <x:c r="N450" s="65" t="n">
        <x:f>K450/'공식·설정'!$B$7</x:f>
        <x:v>891.1953125</x:v>
      </x:c>
      <x:c r="O450" s="14" t="n">
        <x:v>89</x:v>
      </x:c>
      <x:c r="P450" s="14" t="n">
        <x:f>MIN(32767,MAX(0,INT((K450+INT('공식·설정'!$B$12/2))/'공식·설정'!$B$12)))</x:f>
        <x:v>89</x:v>
      </x:c>
      <x:c r="Q450" s="68" t="n">
        <x:f>P450-O450</x:f>
        <x:v>0</x:v>
      </x:c>
      <x:c r="R450" s="14" t="n">
        <x:v>236288</x:v>
      </x:c>
      <x:c r="S450" s="14" t="n">
        <x:f>P450*'공식·설정'!$B$12+'공식·설정'!$B$14</x:f>
        <x:v>236288</x:v>
      </x:c>
      <x:c r="T450" s="68" t="n">
        <x:f>S450-R450</x:f>
        <x:v>0</x:v>
      </x:c>
      <x:c r="U450" s="65" t="n">
        <x:f>R450/'공식·설정'!$B$7</x:f>
        <x:v>923</x:v>
      </x:c>
      <x:c r="V450" s="65" t="n">
        <x:f>S450/'공식·설정'!$B$7</x:f>
        <x:v>923</x:v>
      </x:c>
      <x:c r="W450" s="14" t="n">
        <x:v>708</x:v>
      </x:c>
      <x:c r="X450" s="14" t="n">
        <x:f>INT(ABS(K451-K450)*'공식·설정'!$B$8/K450)</x:f>
        <x:v>708</x:v>
      </x:c>
      <x:c r="Y450" s="68" t="n">
        <x:f>X450-W450</x:f>
        <x:v>0</x:v>
      </x:c>
      <x:c r="Z450" s="66" t="n">
        <x:f>W450/'공식·설정'!$B$8</x:f>
        <x:v>0.01080322265625</x:v>
      </x:c>
      <x:c r="AA450" s="66" t="n">
        <x:f>X450/'공식·설정'!$B$8</x:f>
        <x:v>0.01080322265625</x:v>
      </x:c>
      <x:c r="AB450" s="67" t="str">
        <x:f>IF(AND(I450=0,L450=0,Q450=0,T450=0,Y450=0),"PASS","FAIL")</x:f>
        <x:v>PASS</x:v>
      </x:c>
    </x:row>
    <x:row r="451" ht="18" customHeight="1">
      <x:c r="A451" s="14" t="n">
        <x:v>554</x:v>
      </x:c>
      <x:c r="B451" s="14" t="n">
        <x:v>446</x:v>
      </x:c>
      <x:c r="C451" s="14" t="n">
        <x:v>546</x:v>
      </x:c>
      <x:c r="D451" s="14" t="n">
        <x:v>32395</x:v>
      </x:c>
      <x:c r="E451" s="14" t="n">
        <x:v>560</x:v>
      </x:c>
      <x:c r="F451" s="14" t="n">
        <x:v>37694</x:v>
      </x:c>
      <x:c r="G451" s="14" t="n">
        <x:v>35423</x:v>
      </x:c>
      <x:c r="H451" s="14" t="n">
        <x:f>INT((F451-D451)*(A451-C451)/(E451-C451))+D451</x:f>
        <x:v>35423</x:v>
      </x:c>
      <x:c r="I451" s="68" t="n">
        <x:f>H451-G451</x:f>
        <x:v>0</x:v>
      </x:c>
      <x:c r="J451" s="14" t="n">
        <x:v>230613</x:v>
      </x:c>
      <x:c r="K451" s="14" t="n">
        <x:f>INT(H451*'공식·설정'!$B$10/'공식·설정'!$B$15)</x:f>
        <x:v>230613</x:v>
      </x:c>
      <x:c r="L451" s="68" t="n">
        <x:f>K451-J451</x:f>
        <x:v>0</x:v>
      </x:c>
      <x:c r="M451" s="65" t="n">
        <x:f>J451/'공식·설정'!$B$7</x:f>
        <x:v>900.83203125</x:v>
      </x:c>
      <x:c r="N451" s="65" t="n">
        <x:f>K451/'공식·설정'!$B$7</x:f>
        <x:v>900.83203125</x:v>
      </x:c>
      <x:c r="O451" s="14" t="n">
        <x:v>90</x:v>
      </x:c>
      <x:c r="P451" s="14" t="n">
        <x:f>MIN(32767,MAX(0,INT((K451+INT('공식·설정'!$B$12/2))/'공식·설정'!$B$12)))</x:f>
        <x:v>90</x:v>
      </x:c>
      <x:c r="Q451" s="68" t="n">
        <x:f>P451-O451</x:f>
        <x:v>0</x:v>
      </x:c>
      <x:c r="R451" s="14" t="n">
        <x:v>238848</x:v>
      </x:c>
      <x:c r="S451" s="14" t="n">
        <x:f>P451*'공식·설정'!$B$12+'공식·설정'!$B$14</x:f>
        <x:v>238848</x:v>
      </x:c>
      <x:c r="T451" s="68" t="n">
        <x:f>S451-R451</x:f>
        <x:v>0</x:v>
      </x:c>
      <x:c r="U451" s="65" t="n">
        <x:f>R451/'공식·설정'!$B$7</x:f>
        <x:v>933</x:v>
      </x:c>
      <x:c r="V451" s="65" t="n">
        <x:f>S451/'공식·설정'!$B$7</x:f>
        <x:v>933</x:v>
      </x:c>
      <x:c r="W451" s="14" t="n">
        <x:v>699</x:v>
      </x:c>
      <x:c r="X451" s="14" t="n">
        <x:f>INT(ABS(K452-K451)*'공식·설정'!$B$8/K451)</x:f>
        <x:v>699</x:v>
      </x:c>
      <x:c r="Y451" s="68" t="n">
        <x:f>X451-W451</x:f>
        <x:v>0</x:v>
      </x:c>
      <x:c r="Z451" s="66" t="n">
        <x:f>W451/'공식·설정'!$B$8</x:f>
        <x:v>0.0106658935546875</x:v>
      </x:c>
      <x:c r="AA451" s="66" t="n">
        <x:f>X451/'공식·설정'!$B$8</x:f>
        <x:v>0.0106658935546875</x:v>
      </x:c>
      <x:c r="AB451" s="67" t="str">
        <x:f>IF(AND(I451=0,L451=0,Q451=0,T451=0,Y451=0),"PASS","FAIL")</x:f>
        <x:v>PASS</x:v>
      </x:c>
    </x:row>
    <x:row r="452" ht="18" customHeight="1">
      <x:c r="A452" s="14" t="n">
        <x:v>555</x:v>
      </x:c>
      <x:c r="B452" s="14" t="n">
        <x:v>447</x:v>
      </x:c>
      <x:c r="C452" s="14" t="n">
        <x:v>546</x:v>
      </x:c>
      <x:c r="D452" s="14" t="n">
        <x:v>32395</x:v>
      </x:c>
      <x:c r="E452" s="14" t="n">
        <x:v>560</x:v>
      </x:c>
      <x:c r="F452" s="14" t="n">
        <x:v>37694</x:v>
      </x:c>
      <x:c r="G452" s="14" t="n">
        <x:v>35801</x:v>
      </x:c>
      <x:c r="H452" s="14" t="n">
        <x:f>INT((F452-D452)*(A452-C452)/(E452-C452))+D452</x:f>
        <x:v>35801</x:v>
      </x:c>
      <x:c r="I452" s="68" t="n">
        <x:f>H452-G452</x:f>
        <x:v>0</x:v>
      </x:c>
      <x:c r="J452" s="14" t="n">
        <x:v>233074</x:v>
      </x:c>
      <x:c r="K452" s="14" t="n">
        <x:f>INT(H452*'공식·설정'!$B$10/'공식·설정'!$B$15)</x:f>
        <x:v>233074</x:v>
      </x:c>
      <x:c r="L452" s="68" t="n">
        <x:f>K452-J452</x:f>
        <x:v>0</x:v>
      </x:c>
      <x:c r="M452" s="65" t="n">
        <x:f>J452/'공식·설정'!$B$7</x:f>
        <x:v>910.4453125</x:v>
      </x:c>
      <x:c r="N452" s="65" t="n">
        <x:f>K452/'공식·설정'!$B$7</x:f>
        <x:v>910.4453125</x:v>
      </x:c>
      <x:c r="O452" s="14" t="n">
        <x:v>91</x:v>
      </x:c>
      <x:c r="P452" s="14" t="n">
        <x:f>MIN(32767,MAX(0,INT((K452+INT('공식·설정'!$B$12/2))/'공식·설정'!$B$12)))</x:f>
        <x:v>91</x:v>
      </x:c>
      <x:c r="Q452" s="68" t="n">
        <x:f>P452-O452</x:f>
        <x:v>0</x:v>
      </x:c>
      <x:c r="R452" s="14" t="n">
        <x:v>241408</x:v>
      </x:c>
      <x:c r="S452" s="14" t="n">
        <x:f>P452*'공식·설정'!$B$12+'공식·설정'!$B$14</x:f>
        <x:v>241408</x:v>
      </x:c>
      <x:c r="T452" s="68" t="n">
        <x:f>S452-R452</x:f>
        <x:v>0</x:v>
      </x:c>
      <x:c r="U452" s="65" t="n">
        <x:f>R452/'공식·설정'!$B$7</x:f>
        <x:v>943</x:v>
      </x:c>
      <x:c r="V452" s="65" t="n">
        <x:f>S452/'공식·설정'!$B$7</x:f>
        <x:v>943</x:v>
      </x:c>
      <x:c r="W452" s="14" t="n">
        <x:v>693</x:v>
      </x:c>
      <x:c r="X452" s="14" t="n">
        <x:f>INT(ABS(K453-K452)*'공식·설정'!$B$8/K452)</x:f>
        <x:v>693</x:v>
      </x:c>
      <x:c r="Y452" s="68" t="n">
        <x:f>X452-W452</x:f>
        <x:v>0</x:v>
      </x:c>
      <x:c r="Z452" s="66" t="n">
        <x:f>W452/'공식·설정'!$B$8</x:f>
        <x:v>0.0105743408203125</x:v>
      </x:c>
      <x:c r="AA452" s="66" t="n">
        <x:f>X452/'공식·설정'!$B$8</x:f>
        <x:v>0.0105743408203125</x:v>
      </x:c>
      <x:c r="AB452" s="67" t="str">
        <x:f>IF(AND(I452=0,L452=0,Q452=0,T452=0,Y452=0),"PASS","FAIL")</x:f>
        <x:v>PASS</x:v>
      </x:c>
    </x:row>
    <x:row r="453" ht="18" customHeight="1">
      <x:c r="A453" s="14" t="n">
        <x:v>556</x:v>
      </x:c>
      <x:c r="B453" s="14" t="n">
        <x:v>448</x:v>
      </x:c>
      <x:c r="C453" s="14" t="n">
        <x:v>546</x:v>
      </x:c>
      <x:c r="D453" s="14" t="n">
        <x:v>32395</x:v>
      </x:c>
      <x:c r="E453" s="14" t="n">
        <x:v>560</x:v>
      </x:c>
      <x:c r="F453" s="14" t="n">
        <x:v>37694</x:v>
      </x:c>
      <x:c r="G453" s="14" t="n">
        <x:v>36180</x:v>
      </x:c>
      <x:c r="H453" s="14" t="n">
        <x:f>INT((F453-D453)*(A453-C453)/(E453-C453))+D453</x:f>
        <x:v>36180</x:v>
      </x:c>
      <x:c r="I453" s="68" t="n">
        <x:f>H453-G453</x:f>
        <x:v>0</x:v>
      </x:c>
      <x:c r="J453" s="14" t="n">
        <x:v>235542</x:v>
      </x:c>
      <x:c r="K453" s="14" t="n">
        <x:f>INT(H453*'공식·설정'!$B$10/'공식·설정'!$B$15)</x:f>
        <x:v>235542</x:v>
      </x:c>
      <x:c r="L453" s="68" t="n">
        <x:f>K453-J453</x:f>
        <x:v>0</x:v>
      </x:c>
      <x:c r="M453" s="65" t="n">
        <x:f>J453/'공식·설정'!$B$7</x:f>
        <x:v>920.0859375</x:v>
      </x:c>
      <x:c r="N453" s="65" t="n">
        <x:f>K453/'공식·설정'!$B$7</x:f>
        <x:v>920.0859375</x:v>
      </x:c>
      <x:c r="O453" s="14" t="n">
        <x:v>92</x:v>
      </x:c>
      <x:c r="P453" s="14" t="n">
        <x:f>MIN(32767,MAX(0,INT((K453+INT('공식·설정'!$B$12/2))/'공식·설정'!$B$12)))</x:f>
        <x:v>92</x:v>
      </x:c>
      <x:c r="Q453" s="68" t="n">
        <x:f>P453-O453</x:f>
        <x:v>0</x:v>
      </x:c>
      <x:c r="R453" s="14" t="n">
        <x:v>243968</x:v>
      </x:c>
      <x:c r="S453" s="14" t="n">
        <x:f>P453*'공식·설정'!$B$12+'공식·설정'!$B$14</x:f>
        <x:v>243968</x:v>
      </x:c>
      <x:c r="T453" s="68" t="n">
        <x:f>S453-R453</x:f>
        <x:v>0</x:v>
      </x:c>
      <x:c r="U453" s="65" t="n">
        <x:f>R453/'공식·설정'!$B$7</x:f>
        <x:v>953</x:v>
      </x:c>
      <x:c r="V453" s="65" t="n">
        <x:f>S453/'공식·설정'!$B$7</x:f>
        <x:v>953</x:v>
      </x:c>
      <x:c r="W453" s="14" t="n">
        <x:v>684</x:v>
      </x:c>
      <x:c r="X453" s="14" t="n">
        <x:f>INT(ABS(K454-K453)*'공식·설정'!$B$8/K453)</x:f>
        <x:v>684</x:v>
      </x:c>
      <x:c r="Y453" s="68" t="n">
        <x:f>X453-W453</x:f>
        <x:v>0</x:v>
      </x:c>
      <x:c r="Z453" s="66" t="n">
        <x:f>W453/'공식·설정'!$B$8</x:f>
        <x:v>0.01043701171875</x:v>
      </x:c>
      <x:c r="AA453" s="66" t="n">
        <x:f>X453/'공식·설정'!$B$8</x:f>
        <x:v>0.01043701171875</x:v>
      </x:c>
      <x:c r="AB453" s="67" t="str">
        <x:f>IF(AND(I453=0,L453=0,Q453=0,T453=0,Y453=0),"PASS","FAIL")</x:f>
        <x:v>PASS</x:v>
      </x:c>
    </x:row>
    <x:row r="454" ht="18" customHeight="1">
      <x:c r="A454" s="14" t="n">
        <x:v>557</x:v>
      </x:c>
      <x:c r="B454" s="14" t="n">
        <x:v>449</x:v>
      </x:c>
      <x:c r="C454" s="14" t="n">
        <x:v>546</x:v>
      </x:c>
      <x:c r="D454" s="14" t="n">
        <x:v>32395</x:v>
      </x:c>
      <x:c r="E454" s="14" t="n">
        <x:v>560</x:v>
      </x:c>
      <x:c r="F454" s="14" t="n">
        <x:v>37694</x:v>
      </x:c>
      <x:c r="G454" s="14" t="n">
        <x:v>36558</x:v>
      </x:c>
      <x:c r="H454" s="14" t="n">
        <x:f>INT((F454-D454)*(A454-C454)/(E454-C454))+D454</x:f>
        <x:v>36558</x:v>
      </x:c>
      <x:c r="I454" s="68" t="n">
        <x:f>H454-G454</x:f>
        <x:v>0</x:v>
      </x:c>
      <x:c r="J454" s="14" t="n">
        <x:v>238002</x:v>
      </x:c>
      <x:c r="K454" s="14" t="n">
        <x:f>INT(H454*'공식·설정'!$B$10/'공식·설정'!$B$15)</x:f>
        <x:v>238002</x:v>
      </x:c>
      <x:c r="L454" s="68" t="n">
        <x:f>K454-J454</x:f>
        <x:v>0</x:v>
      </x:c>
      <x:c r="M454" s="65" t="n">
        <x:f>J454/'공식·설정'!$B$7</x:f>
        <x:v>929.6953125</x:v>
      </x:c>
      <x:c r="N454" s="65" t="n">
        <x:f>K454/'공식·설정'!$B$7</x:f>
        <x:v>929.6953125</x:v>
      </x:c>
      <x:c r="O454" s="14" t="n">
        <x:v>93</x:v>
      </x:c>
      <x:c r="P454" s="14" t="n">
        <x:f>MIN(32767,MAX(0,INT((K454+INT('공식·설정'!$B$12/2))/'공식·설정'!$B$12)))</x:f>
        <x:v>93</x:v>
      </x:c>
      <x:c r="Q454" s="68" t="n">
        <x:f>P454-O454</x:f>
        <x:v>0</x:v>
      </x:c>
      <x:c r="R454" s="14" t="n">
        <x:v>246528</x:v>
      </x:c>
      <x:c r="S454" s="14" t="n">
        <x:f>P454*'공식·설정'!$B$12+'공식·설정'!$B$14</x:f>
        <x:v>246528</x:v>
      </x:c>
      <x:c r="T454" s="68" t="n">
        <x:f>S454-R454</x:f>
        <x:v>0</x:v>
      </x:c>
      <x:c r="U454" s="65" t="n">
        <x:f>R454/'공식·설정'!$B$7</x:f>
        <x:v>963</x:v>
      </x:c>
      <x:c r="V454" s="65" t="n">
        <x:f>S454/'공식·설정'!$B$7</x:f>
        <x:v>963</x:v>
      </x:c>
      <x:c r="W454" s="14" t="n">
        <x:v>679</x:v>
      </x:c>
      <x:c r="X454" s="14" t="n">
        <x:f>INT(ABS(K455-K454)*'공식·설정'!$B$8/K454)</x:f>
        <x:v>679</x:v>
      </x:c>
      <x:c r="Y454" s="68" t="n">
        <x:f>X454-W454</x:f>
        <x:v>0</x:v>
      </x:c>
      <x:c r="Z454" s="66" t="n">
        <x:f>W454/'공식·설정'!$B$8</x:f>
        <x:v>0.0103607177734375</x:v>
      </x:c>
      <x:c r="AA454" s="66" t="n">
        <x:f>X454/'공식·설정'!$B$8</x:f>
        <x:v>0.0103607177734375</x:v>
      </x:c>
      <x:c r="AB454" s="67" t="str">
        <x:f>IF(AND(I454=0,L454=0,Q454=0,T454=0,Y454=0),"PASS","FAIL")</x:f>
        <x:v>PASS</x:v>
      </x:c>
    </x:row>
    <x:row r="455" ht="18" customHeight="1">
      <x:c r="A455" s="14" t="n">
        <x:v>558</x:v>
      </x:c>
      <x:c r="B455" s="14" t="n">
        <x:v>450</x:v>
      </x:c>
      <x:c r="C455" s="14" t="n">
        <x:v>546</x:v>
      </x:c>
      <x:c r="D455" s="14" t="n">
        <x:v>32395</x:v>
      </x:c>
      <x:c r="E455" s="14" t="n">
        <x:v>560</x:v>
      </x:c>
      <x:c r="F455" s="14" t="n">
        <x:v>37694</x:v>
      </x:c>
      <x:c r="G455" s="14" t="n">
        <x:v>36937</x:v>
      </x:c>
      <x:c r="H455" s="14" t="n">
        <x:f>INT((F455-D455)*(A455-C455)/(E455-C455))+D455</x:f>
        <x:v>36937</x:v>
      </x:c>
      <x:c r="I455" s="68" t="n">
        <x:f>H455-G455</x:f>
        <x:v>0</x:v>
      </x:c>
      <x:c r="J455" s="14" t="n">
        <x:v>240470</x:v>
      </x:c>
      <x:c r="K455" s="14" t="n">
        <x:f>INT(H455*'공식·설정'!$B$10/'공식·설정'!$B$15)</x:f>
        <x:v>240470</x:v>
      </x:c>
      <x:c r="L455" s="68" t="n">
        <x:f>K455-J455</x:f>
        <x:v>0</x:v>
      </x:c>
      <x:c r="M455" s="65" t="n">
        <x:f>J455/'공식·설정'!$B$7</x:f>
        <x:v>939.3359375</x:v>
      </x:c>
      <x:c r="N455" s="65" t="n">
        <x:f>K455/'공식·설정'!$B$7</x:f>
        <x:v>939.3359375</x:v>
      </x:c>
      <x:c r="O455" s="14" t="n">
        <x:v>94</x:v>
      </x:c>
      <x:c r="P455" s="14" t="n">
        <x:f>MIN(32767,MAX(0,INT((K455+INT('공식·설정'!$B$12/2))/'공식·설정'!$B$12)))</x:f>
        <x:v>94</x:v>
      </x:c>
      <x:c r="Q455" s="68" t="n">
        <x:f>P455-O455</x:f>
        <x:v>0</x:v>
      </x:c>
      <x:c r="R455" s="14" t="n">
        <x:v>249088</x:v>
      </x:c>
      <x:c r="S455" s="14" t="n">
        <x:f>P455*'공식·설정'!$B$12+'공식·설정'!$B$14</x:f>
        <x:v>249088</x:v>
      </x:c>
      <x:c r="T455" s="68" t="n">
        <x:f>S455-R455</x:f>
        <x:v>0</x:v>
      </x:c>
      <x:c r="U455" s="65" t="n">
        <x:f>R455/'공식·설정'!$B$7</x:f>
        <x:v>973</x:v>
      </x:c>
      <x:c r="V455" s="65" t="n">
        <x:f>S455/'공식·설정'!$B$7</x:f>
        <x:v>973</x:v>
      </x:c>
      <x:c r="W455" s="14" t="n">
        <x:v>670</x:v>
      </x:c>
      <x:c r="X455" s="14" t="n">
        <x:f>INT(ABS(K456-K455)*'공식·설정'!$B$8/K455)</x:f>
        <x:v>670</x:v>
      </x:c>
      <x:c r="Y455" s="68" t="n">
        <x:f>X455-W455</x:f>
        <x:v>0</x:v>
      </x:c>
      <x:c r="Z455" s="66" t="n">
        <x:f>W455/'공식·설정'!$B$8</x:f>
        <x:v>0.010223388671875</x:v>
      </x:c>
      <x:c r="AA455" s="66" t="n">
        <x:f>X455/'공식·설정'!$B$8</x:f>
        <x:v>0.010223388671875</x:v>
      </x:c>
      <x:c r="AB455" s="67" t="str">
        <x:f>IF(AND(I455=0,L455=0,Q455=0,T455=0,Y455=0),"PASS","FAIL")</x:f>
        <x:v>PASS</x:v>
      </x:c>
    </x:row>
    <x:row r="456" ht="18" customHeight="1">
      <x:c r="A456" s="14" t="n">
        <x:v>559</x:v>
      </x:c>
      <x:c r="B456" s="14" t="n">
        <x:v>451</x:v>
      </x:c>
      <x:c r="C456" s="14" t="n">
        <x:v>546</x:v>
      </x:c>
      <x:c r="D456" s="14" t="n">
        <x:v>32395</x:v>
      </x:c>
      <x:c r="E456" s="14" t="n">
        <x:v>560</x:v>
      </x:c>
      <x:c r="F456" s="14" t="n">
        <x:v>37694</x:v>
      </x:c>
      <x:c r="G456" s="14" t="n">
        <x:v>37315</x:v>
      </x:c>
      <x:c r="H456" s="14" t="n">
        <x:f>INT((F456-D456)*(A456-C456)/(E456-C456))+D456</x:f>
        <x:v>37315</x:v>
      </x:c>
      <x:c r="I456" s="68" t="n">
        <x:f>H456-G456</x:f>
        <x:v>0</x:v>
      </x:c>
      <x:c r="J456" s="14" t="n">
        <x:v>242931</x:v>
      </x:c>
      <x:c r="K456" s="14" t="n">
        <x:f>INT(H456*'공식·설정'!$B$10/'공식·설정'!$B$15)</x:f>
        <x:v>242931</x:v>
      </x:c>
      <x:c r="L456" s="68" t="n">
        <x:f>K456-J456</x:f>
        <x:v>0</x:v>
      </x:c>
      <x:c r="M456" s="65" t="n">
        <x:f>J456/'공식·설정'!$B$7</x:f>
        <x:v>948.94921875</x:v>
      </x:c>
      <x:c r="N456" s="65" t="n">
        <x:f>K456/'공식·설정'!$B$7</x:f>
        <x:v>948.94921875</x:v>
      </x:c>
      <x:c r="O456" s="14" t="n">
        <x:v>95</x:v>
      </x:c>
      <x:c r="P456" s="14" t="n">
        <x:f>MIN(32767,MAX(0,INT((K456+INT('공식·설정'!$B$12/2))/'공식·설정'!$B$12)))</x:f>
        <x:v>95</x:v>
      </x:c>
      <x:c r="Q456" s="68" t="n">
        <x:f>P456-O456</x:f>
        <x:v>0</x:v>
      </x:c>
      <x:c r="R456" s="14" t="n">
        <x:v>251648</x:v>
      </x:c>
      <x:c r="S456" s="14" t="n">
        <x:f>P456*'공식·설정'!$B$12+'공식·설정'!$B$14</x:f>
        <x:v>251648</x:v>
      </x:c>
      <x:c r="T456" s="68" t="n">
        <x:f>S456-R456</x:f>
        <x:v>0</x:v>
      </x:c>
      <x:c r="U456" s="65" t="n">
        <x:f>R456/'공식·설정'!$B$7</x:f>
        <x:v>983</x:v>
      </x:c>
      <x:c r="V456" s="65" t="n">
        <x:f>S456/'공식·설정'!$B$7</x:f>
        <x:v>983</x:v>
      </x:c>
      <x:c r="W456" s="14" t="n">
        <x:v>665</x:v>
      </x:c>
      <x:c r="X456" s="14" t="n">
        <x:f>INT(ABS(K457-K456)*'공식·설정'!$B$8/K456)</x:f>
        <x:v>665</x:v>
      </x:c>
      <x:c r="Y456" s="68" t="n">
        <x:f>X456-W456</x:f>
        <x:v>0</x:v>
      </x:c>
      <x:c r="Z456" s="66" t="n">
        <x:f>W456/'공식·설정'!$B$8</x:f>
        <x:v>0.0101470947265625</x:v>
      </x:c>
      <x:c r="AA456" s="66" t="n">
        <x:f>X456/'공식·설정'!$B$8</x:f>
        <x:v>0.0101470947265625</x:v>
      </x:c>
      <x:c r="AB456" s="67" t="str">
        <x:f>IF(AND(I456=0,L456=0,Q456=0,T456=0,Y456=0),"PASS","FAIL")</x:f>
        <x:v>PASS</x:v>
      </x:c>
    </x:row>
    <x:row r="457" ht="18" customHeight="1">
      <x:c r="A457" s="14" t="n">
        <x:v>560</x:v>
      </x:c>
      <x:c r="B457" s="14" t="n">
        <x:v>452</x:v>
      </x:c>
      <x:c r="C457" s="14" t="n">
        <x:v>560</x:v>
      </x:c>
      <x:c r="D457" s="14" t="n">
        <x:v>37694</x:v>
      </x:c>
      <x:c r="E457" s="14" t="n">
        <x:v>574</x:v>
      </x:c>
      <x:c r="F457" s="14" t="n">
        <x:v>43858</x:v>
      </x:c>
      <x:c r="G457" s="14" t="n">
        <x:v>37694</x:v>
      </x:c>
      <x:c r="H457" s="14" t="n">
        <x:f>INT((F457-D457)*(A457-C457)/(E457-C457))+D457</x:f>
        <x:v>37694</x:v>
      </x:c>
      <x:c r="I457" s="68" t="n">
        <x:f>H457-G457</x:f>
        <x:v>0</x:v>
      </x:c>
      <x:c r="J457" s="14" t="n">
        <x:v>245398</x:v>
      </x:c>
      <x:c r="K457" s="14" t="n">
        <x:f>INT(H457*'공식·설정'!$B$10/'공식·설정'!$B$15)</x:f>
        <x:v>245398</x:v>
      </x:c>
      <x:c r="L457" s="68" t="n">
        <x:f>K457-J457</x:f>
        <x:v>0</x:v>
      </x:c>
      <x:c r="M457" s="65" t="n">
        <x:f>J457/'공식·설정'!$B$7</x:f>
        <x:v>958.5859375</x:v>
      </x:c>
      <x:c r="N457" s="65" t="n">
        <x:f>K457/'공식·설정'!$B$7</x:f>
        <x:v>958.5859375</x:v>
      </x:c>
      <x:c r="O457" s="14" t="n">
        <x:v>96</x:v>
      </x:c>
      <x:c r="P457" s="14" t="n">
        <x:f>MIN(32767,MAX(0,INT((K457+INT('공식·설정'!$B$12/2))/'공식·설정'!$B$12)))</x:f>
        <x:v>96</x:v>
      </x:c>
      <x:c r="Q457" s="68" t="n">
        <x:f>P457-O457</x:f>
        <x:v>0</x:v>
      </x:c>
      <x:c r="R457" s="14" t="n">
        <x:v>254208</x:v>
      </x:c>
      <x:c r="S457" s="14" t="n">
        <x:f>P457*'공식·설정'!$B$12+'공식·설정'!$B$14</x:f>
        <x:v>254208</x:v>
      </x:c>
      <x:c r="T457" s="68" t="n">
        <x:f>S457-R457</x:f>
        <x:v>0</x:v>
      </x:c>
      <x:c r="U457" s="65" t="n">
        <x:f>R457/'공식·설정'!$B$7</x:f>
        <x:v>993</x:v>
      </x:c>
      <x:c r="V457" s="65" t="n">
        <x:f>S457/'공식·설정'!$B$7</x:f>
        <x:v>993</x:v>
      </x:c>
      <x:c r="W457" s="14" t="n">
        <x:v>765</x:v>
      </x:c>
      <x:c r="X457" s="14" t="n">
        <x:f>INT(ABS(K458-K457)*'공식·설정'!$B$8/K457)</x:f>
        <x:v>765</x:v>
      </x:c>
      <x:c r="Y457" s="68" t="n">
        <x:f>X457-W457</x:f>
        <x:v>0</x:v>
      </x:c>
      <x:c r="Z457" s="66" t="n">
        <x:f>W457/'공식·설정'!$B$8</x:f>
        <x:v>0.0116729736328125</x:v>
      </x:c>
      <x:c r="AA457" s="66" t="n">
        <x:f>X457/'공식·설정'!$B$8</x:f>
        <x:v>0.0116729736328125</x:v>
      </x:c>
      <x:c r="AB457" s="67" t="str">
        <x:f>IF(AND(I457=0,L457=0,Q457=0,T457=0,Y457=0),"PASS","FAIL")</x:f>
        <x:v>PASS</x:v>
      </x:c>
    </x:row>
    <x:row r="458" ht="18" customHeight="1">
      <x:c r="A458" s="14" t="n">
        <x:v>561</x:v>
      </x:c>
      <x:c r="B458" s="14" t="n">
        <x:v>453</x:v>
      </x:c>
      <x:c r="C458" s="14" t="n">
        <x:v>560</x:v>
      </x:c>
      <x:c r="D458" s="14" t="n">
        <x:v>37694</x:v>
      </x:c>
      <x:c r="E458" s="14" t="n">
        <x:v>574</x:v>
      </x:c>
      <x:c r="F458" s="14" t="n">
        <x:v>43858</x:v>
      </x:c>
      <x:c r="G458" s="14" t="n">
        <x:v>38134</x:v>
      </x:c>
      <x:c r="H458" s="14" t="n">
        <x:f>INT((F458-D458)*(A458-C458)/(E458-C458))+D458</x:f>
        <x:v>38134</x:v>
      </x:c>
      <x:c r="I458" s="68" t="n">
        <x:f>H458-G458</x:f>
        <x:v>0</x:v>
      </x:c>
      <x:c r="J458" s="14" t="n">
        <x:v>248263</x:v>
      </x:c>
      <x:c r="K458" s="14" t="n">
        <x:f>INT(H458*'공식·설정'!$B$10/'공식·설정'!$B$15)</x:f>
        <x:v>248263</x:v>
      </x:c>
      <x:c r="L458" s="68" t="n">
        <x:f>K458-J458</x:f>
        <x:v>0</x:v>
      </x:c>
      <x:c r="M458" s="65" t="n">
        <x:f>J458/'공식·설정'!$B$7</x:f>
        <x:v>969.77734375</x:v>
      </x:c>
      <x:c r="N458" s="65" t="n">
        <x:f>K458/'공식·설정'!$B$7</x:f>
        <x:v>969.77734375</x:v>
      </x:c>
      <x:c r="O458" s="14" t="n">
        <x:v>97</x:v>
      </x:c>
      <x:c r="P458" s="14" t="n">
        <x:f>MIN(32767,MAX(0,INT((K458+INT('공식·설정'!$B$12/2))/'공식·설정'!$B$12)))</x:f>
        <x:v>97</x:v>
      </x:c>
      <x:c r="Q458" s="68" t="n">
        <x:f>P458-O458</x:f>
        <x:v>0</x:v>
      </x:c>
      <x:c r="R458" s="14" t="n">
        <x:v>256768</x:v>
      </x:c>
      <x:c r="S458" s="14" t="n">
        <x:f>P458*'공식·설정'!$B$12+'공식·설정'!$B$14</x:f>
        <x:v>256768</x:v>
      </x:c>
      <x:c r="T458" s="68" t="n">
        <x:f>S458-R458</x:f>
        <x:v>0</x:v>
      </x:c>
      <x:c r="U458" s="65" t="n">
        <x:f>R458/'공식·설정'!$B$7</x:f>
        <x:v>1003</x:v>
      </x:c>
      <x:c r="V458" s="65" t="n">
        <x:f>S458/'공식·설정'!$B$7</x:f>
        <x:v>1003</x:v>
      </x:c>
      <x:c r="W458" s="14" t="n">
        <x:v>756</x:v>
      </x:c>
      <x:c r="X458" s="14" t="n">
        <x:f>INT(ABS(K459-K458)*'공식·설정'!$B$8/K458)</x:f>
        <x:v>756</x:v>
      </x:c>
      <x:c r="Y458" s="68" t="n">
        <x:f>X458-W458</x:f>
        <x:v>0</x:v>
      </x:c>
      <x:c r="Z458" s="66" t="n">
        <x:f>W458/'공식·설정'!$B$8</x:f>
        <x:v>0.01153564453125</x:v>
      </x:c>
      <x:c r="AA458" s="66" t="n">
        <x:f>X458/'공식·설정'!$B$8</x:f>
        <x:v>0.01153564453125</x:v>
      </x:c>
      <x:c r="AB458" s="67" t="str">
        <x:f>IF(AND(I458=0,L458=0,Q458=0,T458=0,Y458=0),"PASS","FAIL")</x:f>
        <x:v>PASS</x:v>
      </x:c>
    </x:row>
    <x:row r="459" ht="18" customHeight="1">
      <x:c r="A459" s="14" t="n">
        <x:v>562</x:v>
      </x:c>
      <x:c r="B459" s="14" t="n">
        <x:v>454</x:v>
      </x:c>
      <x:c r="C459" s="14" t="n">
        <x:v>560</x:v>
      </x:c>
      <x:c r="D459" s="14" t="n">
        <x:v>37694</x:v>
      </x:c>
      <x:c r="E459" s="14" t="n">
        <x:v>574</x:v>
      </x:c>
      <x:c r="F459" s="14" t="n">
        <x:v>43858</x:v>
      </x:c>
      <x:c r="G459" s="14" t="n">
        <x:v>38574</x:v>
      </x:c>
      <x:c r="H459" s="14" t="n">
        <x:f>INT((F459-D459)*(A459-C459)/(E459-C459))+D459</x:f>
        <x:v>38574</x:v>
      </x:c>
      <x:c r="I459" s="68" t="n">
        <x:f>H459-G459</x:f>
        <x:v>0</x:v>
      </x:c>
      <x:c r="J459" s="14" t="n">
        <x:v>251127</x:v>
      </x:c>
      <x:c r="K459" s="14" t="n">
        <x:f>INT(H459*'공식·설정'!$B$10/'공식·설정'!$B$15)</x:f>
        <x:v>251127</x:v>
      </x:c>
      <x:c r="L459" s="68" t="n">
        <x:f>K459-J459</x:f>
        <x:v>0</x:v>
      </x:c>
      <x:c r="M459" s="65" t="n">
        <x:f>J459/'공식·설정'!$B$7</x:f>
        <x:v>980.96484375</x:v>
      </x:c>
      <x:c r="N459" s="65" t="n">
        <x:f>K459/'공식·설정'!$B$7</x:f>
        <x:v>980.96484375</x:v>
      </x:c>
      <x:c r="O459" s="14" t="n">
        <x:v>98</x:v>
      </x:c>
      <x:c r="P459" s="14" t="n">
        <x:f>MIN(32767,MAX(0,INT((K459+INT('공식·설정'!$B$12/2))/'공식·설정'!$B$12)))</x:f>
        <x:v>98</x:v>
      </x:c>
      <x:c r="Q459" s="68" t="n">
        <x:f>P459-O459</x:f>
        <x:v>0</x:v>
      </x:c>
      <x:c r="R459" s="14" t="n">
        <x:v>259328</x:v>
      </x:c>
      <x:c r="S459" s="14" t="n">
        <x:f>P459*'공식·설정'!$B$12+'공식·설정'!$B$14</x:f>
        <x:v>259328</x:v>
      </x:c>
      <x:c r="T459" s="68" t="n">
        <x:f>S459-R459</x:f>
        <x:v>0</x:v>
      </x:c>
      <x:c r="U459" s="65" t="n">
        <x:f>R459/'공식·설정'!$B$7</x:f>
        <x:v>1013</x:v>
      </x:c>
      <x:c r="V459" s="65" t="n">
        <x:f>S459/'공식·설정'!$B$7</x:f>
        <x:v>1013</x:v>
      </x:c>
      <x:c r="W459" s="14" t="n">
        <x:v>747</x:v>
      </x:c>
      <x:c r="X459" s="14" t="n">
        <x:f>INT(ABS(K460-K459)*'공식·설정'!$B$8/K459)</x:f>
        <x:v>747</x:v>
      </x:c>
      <x:c r="Y459" s="68" t="n">
        <x:f>X459-W459</x:f>
        <x:v>0</x:v>
      </x:c>
      <x:c r="Z459" s="66" t="n">
        <x:f>W459/'공식·설정'!$B$8</x:f>
        <x:v>0.0113983154296875</x:v>
      </x:c>
      <x:c r="AA459" s="66" t="n">
        <x:f>X459/'공식·설정'!$B$8</x:f>
        <x:v>0.0113983154296875</x:v>
      </x:c>
      <x:c r="AB459" s="67" t="str">
        <x:f>IF(AND(I459=0,L459=0,Q459=0,T459=0,Y459=0),"PASS","FAIL")</x:f>
        <x:v>PASS</x:v>
      </x:c>
    </x:row>
    <x:row r="460" ht="18" customHeight="1">
      <x:c r="A460" s="14" t="n">
        <x:v>563</x:v>
      </x:c>
      <x:c r="B460" s="14" t="n">
        <x:v>455</x:v>
      </x:c>
      <x:c r="C460" s="14" t="n">
        <x:v>560</x:v>
      </x:c>
      <x:c r="D460" s="14" t="n">
        <x:v>37694</x:v>
      </x:c>
      <x:c r="E460" s="14" t="n">
        <x:v>574</x:v>
      </x:c>
      <x:c r="F460" s="14" t="n">
        <x:v>43858</x:v>
      </x:c>
      <x:c r="G460" s="14" t="n">
        <x:v>39014</x:v>
      </x:c>
      <x:c r="H460" s="14" t="n">
        <x:f>INT((F460-D460)*(A460-C460)/(E460-C460))+D460</x:f>
        <x:v>39014</x:v>
      </x:c>
      <x:c r="I460" s="68" t="n">
        <x:f>H460-G460</x:f>
        <x:v>0</x:v>
      </x:c>
      <x:c r="J460" s="14" t="n">
        <x:v>253992</x:v>
      </x:c>
      <x:c r="K460" s="14" t="n">
        <x:f>INT(H460*'공식·설정'!$B$10/'공식·설정'!$B$15)</x:f>
        <x:v>253992</x:v>
      </x:c>
      <x:c r="L460" s="68" t="n">
        <x:f>K460-J460</x:f>
        <x:v>0</x:v>
      </x:c>
      <x:c r="M460" s="65" t="n">
        <x:f>J460/'공식·설정'!$B$7</x:f>
        <x:v>992.15625</x:v>
      </x:c>
      <x:c r="N460" s="65" t="n">
        <x:f>K460/'공식·설정'!$B$7</x:f>
        <x:v>992.15625</x:v>
      </x:c>
      <x:c r="O460" s="14" t="n">
        <x:v>99</x:v>
      </x:c>
      <x:c r="P460" s="14" t="n">
        <x:f>MIN(32767,MAX(0,INT((K460+INT('공식·설정'!$B$12/2))/'공식·설정'!$B$12)))</x:f>
        <x:v>99</x:v>
      </x:c>
      <x:c r="Q460" s="68" t="n">
        <x:f>P460-O460</x:f>
        <x:v>0</x:v>
      </x:c>
      <x:c r="R460" s="14" t="n">
        <x:v>261888</x:v>
      </x:c>
      <x:c r="S460" s="14" t="n">
        <x:f>P460*'공식·설정'!$B$12+'공식·설정'!$B$14</x:f>
        <x:v>261888</x:v>
      </x:c>
      <x:c r="T460" s="68" t="n">
        <x:f>S460-R460</x:f>
        <x:v>0</x:v>
      </x:c>
      <x:c r="U460" s="65" t="n">
        <x:f>R460/'공식·설정'!$B$7</x:f>
        <x:v>1023</x:v>
      </x:c>
      <x:c r="V460" s="65" t="n">
        <x:f>S460/'공식·설정'!$B$7</x:f>
        <x:v>1023</x:v>
      </x:c>
      <x:c r="W460" s="14" t="n">
        <x:v>740</x:v>
      </x:c>
      <x:c r="X460" s="14" t="n">
        <x:f>INT(ABS(K461-K460)*'공식·설정'!$B$8/K460)</x:f>
        <x:v>740</x:v>
      </x:c>
      <x:c r="Y460" s="68" t="n">
        <x:f>X460-W460</x:f>
        <x:v>0</x:v>
      </x:c>
      <x:c r="Z460" s="66" t="n">
        <x:f>W460/'공식·설정'!$B$8</x:f>
        <x:v>0.01129150390625</x:v>
      </x:c>
      <x:c r="AA460" s="66" t="n">
        <x:f>X460/'공식·설정'!$B$8</x:f>
        <x:v>0.01129150390625</x:v>
      </x:c>
      <x:c r="AB460" s="67" t="str">
        <x:f>IF(AND(I460=0,L460=0,Q460=0,T460=0,Y460=0),"PASS","FAIL")</x:f>
        <x:v>PASS</x:v>
      </x:c>
    </x:row>
    <x:row r="461" ht="18" customHeight="1">
      <x:c r="A461" s="14" t="n">
        <x:v>564</x:v>
      </x:c>
      <x:c r="B461" s="14" t="n">
        <x:v>456</x:v>
      </x:c>
      <x:c r="C461" s="14" t="n">
        <x:v>560</x:v>
      </x:c>
      <x:c r="D461" s="14" t="n">
        <x:v>37694</x:v>
      </x:c>
      <x:c r="E461" s="14" t="n">
        <x:v>574</x:v>
      </x:c>
      <x:c r="F461" s="14" t="n">
        <x:v>43858</x:v>
      </x:c>
      <x:c r="G461" s="14" t="n">
        <x:v>39455</x:v>
      </x:c>
      <x:c r="H461" s="14" t="n">
        <x:f>INT((F461-D461)*(A461-C461)/(E461-C461))+D461</x:f>
        <x:v>39455</x:v>
      </x:c>
      <x:c r="I461" s="68" t="n">
        <x:f>H461-G461</x:f>
        <x:v>0</x:v>
      </x:c>
      <x:c r="J461" s="14" t="n">
        <x:v>256863</x:v>
      </x:c>
      <x:c r="K461" s="14" t="n">
        <x:f>INT(H461*'공식·설정'!$B$10/'공식·설정'!$B$15)</x:f>
        <x:v>256863</x:v>
      </x:c>
      <x:c r="L461" s="68" t="n">
        <x:f>K461-J461</x:f>
        <x:v>0</x:v>
      </x:c>
      <x:c r="M461" s="65" t="n">
        <x:f>J461/'공식·설정'!$B$7</x:f>
        <x:v>1003.37109375</x:v>
      </x:c>
      <x:c r="N461" s="65" t="n">
        <x:f>K461/'공식·설정'!$B$7</x:f>
        <x:v>1003.37109375</x:v>
      </x:c>
      <x:c r="O461" s="14" t="n">
        <x:v>100</x:v>
      </x:c>
      <x:c r="P461" s="14" t="n">
        <x:f>MIN(32767,MAX(0,INT((K461+INT('공식·설정'!$B$12/2))/'공식·설정'!$B$12)))</x:f>
        <x:v>100</x:v>
      </x:c>
      <x:c r="Q461" s="68" t="n">
        <x:f>P461-O461</x:f>
        <x:v>0</x:v>
      </x:c>
      <x:c r="R461" s="14" t="n">
        <x:v>264448</x:v>
      </x:c>
      <x:c r="S461" s="14" t="n">
        <x:f>P461*'공식·설정'!$B$12+'공식·설정'!$B$14</x:f>
        <x:v>264448</x:v>
      </x:c>
      <x:c r="T461" s="68" t="n">
        <x:f>S461-R461</x:f>
        <x:v>0</x:v>
      </x:c>
      <x:c r="U461" s="65" t="n">
        <x:f>R461/'공식·설정'!$B$7</x:f>
        <x:v>1033</x:v>
      </x:c>
      <x:c r="V461" s="65" t="n">
        <x:f>S461/'공식·설정'!$B$7</x:f>
        <x:v>1033</x:v>
      </x:c>
      <x:c r="W461" s="14" t="n">
        <x:v>730</x:v>
      </x:c>
      <x:c r="X461" s="14" t="n">
        <x:f>INT(ABS(K462-K461)*'공식·설정'!$B$8/K461)</x:f>
        <x:v>730</x:v>
      </x:c>
      <x:c r="Y461" s="68" t="n">
        <x:f>X461-W461</x:f>
        <x:v>0</x:v>
      </x:c>
      <x:c r="Z461" s="66" t="n">
        <x:f>W461/'공식·설정'!$B$8</x:f>
        <x:v>0.011138916015625</x:v>
      </x:c>
      <x:c r="AA461" s="66" t="n">
        <x:f>X461/'공식·설정'!$B$8</x:f>
        <x:v>0.011138916015625</x:v>
      </x:c>
      <x:c r="AB461" s="67" t="str">
        <x:f>IF(AND(I461=0,L461=0,Q461=0,T461=0,Y461=0),"PASS","FAIL")</x:f>
        <x:v>PASS</x:v>
      </x:c>
    </x:row>
    <x:row r="462" ht="18" customHeight="1">
      <x:c r="A462" s="14" t="n">
        <x:v>565</x:v>
      </x:c>
      <x:c r="B462" s="14" t="n">
        <x:v>457</x:v>
      </x:c>
      <x:c r="C462" s="14" t="n">
        <x:v>560</x:v>
      </x:c>
      <x:c r="D462" s="14" t="n">
        <x:v>37694</x:v>
      </x:c>
      <x:c r="E462" s="14" t="n">
        <x:v>574</x:v>
      </x:c>
      <x:c r="F462" s="14" t="n">
        <x:v>43858</x:v>
      </x:c>
      <x:c r="G462" s="14" t="n">
        <x:v>39895</x:v>
      </x:c>
      <x:c r="H462" s="14" t="n">
        <x:f>INT((F462-D462)*(A462-C462)/(E462-C462))+D462</x:f>
        <x:v>39895</x:v>
      </x:c>
      <x:c r="I462" s="68" t="n">
        <x:f>H462-G462</x:f>
        <x:v>0</x:v>
      </x:c>
      <x:c r="J462" s="14" t="n">
        <x:v>259727</x:v>
      </x:c>
      <x:c r="K462" s="14" t="n">
        <x:f>INT(H462*'공식·설정'!$B$10/'공식·설정'!$B$15)</x:f>
        <x:v>259727</x:v>
      </x:c>
      <x:c r="L462" s="68" t="n">
        <x:f>K462-J462</x:f>
        <x:v>0</x:v>
      </x:c>
      <x:c r="M462" s="65" t="n">
        <x:f>J462/'공식·설정'!$B$7</x:f>
        <x:v>1014.55859375</x:v>
      </x:c>
      <x:c r="N462" s="65" t="n">
        <x:f>K462/'공식·설정'!$B$7</x:f>
        <x:v>1014.55859375</x:v>
      </x:c>
      <x:c r="O462" s="14" t="n">
        <x:v>101</x:v>
      </x:c>
      <x:c r="P462" s="14" t="n">
        <x:f>MIN(32767,MAX(0,INT((K462+INT('공식·설정'!$B$12/2))/'공식·설정'!$B$12)))</x:f>
        <x:v>101</x:v>
      </x:c>
      <x:c r="Q462" s="68" t="n">
        <x:f>P462-O462</x:f>
        <x:v>0</x:v>
      </x:c>
      <x:c r="R462" s="14" t="n">
        <x:v>267008</x:v>
      </x:c>
      <x:c r="S462" s="14" t="n">
        <x:f>P462*'공식·설정'!$B$12+'공식·설정'!$B$14</x:f>
        <x:v>267008</x:v>
      </x:c>
      <x:c r="T462" s="68" t="n">
        <x:f>S462-R462</x:f>
        <x:v>0</x:v>
      </x:c>
      <x:c r="U462" s="65" t="n">
        <x:f>R462/'공식·설정'!$B$7</x:f>
        <x:v>1043</x:v>
      </x:c>
      <x:c r="V462" s="65" t="n">
        <x:f>S462/'공식·설정'!$B$7</x:f>
        <x:v>1043</x:v>
      </x:c>
      <x:c r="W462" s="14" t="n">
        <x:v>722</x:v>
      </x:c>
      <x:c r="X462" s="14" t="n">
        <x:f>INT(ABS(K463-K462)*'공식·설정'!$B$8/K462)</x:f>
        <x:v>722</x:v>
      </x:c>
      <x:c r="Y462" s="68" t="n">
        <x:f>X462-W462</x:f>
        <x:v>0</x:v>
      </x:c>
      <x:c r="Z462" s="66" t="n">
        <x:f>W462/'공식·설정'!$B$8</x:f>
        <x:v>0.011016845703125</x:v>
      </x:c>
      <x:c r="AA462" s="66" t="n">
        <x:f>X462/'공식·설정'!$B$8</x:f>
        <x:v>0.011016845703125</x:v>
      </x:c>
      <x:c r="AB462" s="67" t="str">
        <x:f>IF(AND(I462=0,L462=0,Q462=0,T462=0,Y462=0),"PASS","FAIL")</x:f>
        <x:v>PASS</x:v>
      </x:c>
    </x:row>
    <x:row r="463" ht="18" customHeight="1">
      <x:c r="A463" s="14" t="n">
        <x:v>566</x:v>
      </x:c>
      <x:c r="B463" s="14" t="n">
        <x:v>458</x:v>
      </x:c>
      <x:c r="C463" s="14" t="n">
        <x:v>560</x:v>
      </x:c>
      <x:c r="D463" s="14" t="n">
        <x:v>37694</x:v>
      </x:c>
      <x:c r="E463" s="14" t="n">
        <x:v>574</x:v>
      </x:c>
      <x:c r="F463" s="14" t="n">
        <x:v>43858</x:v>
      </x:c>
      <x:c r="G463" s="14" t="n">
        <x:v>40335</x:v>
      </x:c>
      <x:c r="H463" s="14" t="n">
        <x:f>INT((F463-D463)*(A463-C463)/(E463-C463))+D463</x:f>
        <x:v>40335</x:v>
      </x:c>
      <x:c r="I463" s="68" t="n">
        <x:f>H463-G463</x:f>
        <x:v>0</x:v>
      </x:c>
      <x:c r="J463" s="14" t="n">
        <x:v>262592</x:v>
      </x:c>
      <x:c r="K463" s="14" t="n">
        <x:f>INT(H463*'공식·설정'!$B$10/'공식·설정'!$B$15)</x:f>
        <x:v>262592</x:v>
      </x:c>
      <x:c r="L463" s="68" t="n">
        <x:f>K463-J463</x:f>
        <x:v>0</x:v>
      </x:c>
      <x:c r="M463" s="65" t="n">
        <x:f>J463/'공식·설정'!$B$7</x:f>
        <x:v>1025.75</x:v>
      </x:c>
      <x:c r="N463" s="65" t="n">
        <x:f>K463/'공식·설정'!$B$7</x:f>
        <x:v>1025.75</x:v>
      </x:c>
      <x:c r="O463" s="14" t="n">
        <x:v>103</x:v>
      </x:c>
      <x:c r="P463" s="14" t="n">
        <x:f>MIN(32767,MAX(0,INT((K463+INT('공식·설정'!$B$12/2))/'공식·설정'!$B$12)))</x:f>
        <x:v>103</x:v>
      </x:c>
      <x:c r="Q463" s="68" t="n">
        <x:f>P463-O463</x:f>
        <x:v>0</x:v>
      </x:c>
      <x:c r="R463" s="14" t="n">
        <x:v>272128</x:v>
      </x:c>
      <x:c r="S463" s="14" t="n">
        <x:f>P463*'공식·설정'!$B$12+'공식·설정'!$B$14</x:f>
        <x:v>272128</x:v>
      </x:c>
      <x:c r="T463" s="68" t="n">
        <x:f>S463-R463</x:f>
        <x:v>0</x:v>
      </x:c>
      <x:c r="U463" s="65" t="n">
        <x:f>R463/'공식·설정'!$B$7</x:f>
        <x:v>1063</x:v>
      </x:c>
      <x:c r="V463" s="65" t="n">
        <x:f>S463/'공식·설정'!$B$7</x:f>
        <x:v>1063</x:v>
      </x:c>
      <x:c r="W463" s="14" t="n">
        <x:v>716</x:v>
      </x:c>
      <x:c r="X463" s="14" t="n">
        <x:f>INT(ABS(K464-K463)*'공식·설정'!$B$8/K463)</x:f>
        <x:v>716</x:v>
      </x:c>
      <x:c r="Y463" s="68" t="n">
        <x:f>X463-W463</x:f>
        <x:v>0</x:v>
      </x:c>
      <x:c r="Z463" s="66" t="n">
        <x:f>W463/'공식·설정'!$B$8</x:f>
        <x:v>0.01092529296875</x:v>
      </x:c>
      <x:c r="AA463" s="66" t="n">
        <x:f>X463/'공식·설정'!$B$8</x:f>
        <x:v>0.01092529296875</x:v>
      </x:c>
      <x:c r="AB463" s="67" t="str">
        <x:f>IF(AND(I463=0,L463=0,Q463=0,T463=0,Y463=0),"PASS","FAIL")</x:f>
        <x:v>PASS</x:v>
      </x:c>
    </x:row>
    <x:row r="464" ht="18" customHeight="1">
      <x:c r="A464" s="14" t="n">
        <x:v>567</x:v>
      </x:c>
      <x:c r="B464" s="14" t="n">
        <x:v>459</x:v>
      </x:c>
      <x:c r="C464" s="14" t="n">
        <x:v>560</x:v>
      </x:c>
      <x:c r="D464" s="14" t="n">
        <x:v>37694</x:v>
      </x:c>
      <x:c r="E464" s="14" t="n">
        <x:v>574</x:v>
      </x:c>
      <x:c r="F464" s="14" t="n">
        <x:v>43858</x:v>
      </x:c>
      <x:c r="G464" s="14" t="n">
        <x:v>40776</x:v>
      </x:c>
      <x:c r="H464" s="14" t="n">
        <x:f>INT((F464-D464)*(A464-C464)/(E464-C464))+D464</x:f>
        <x:v>40776</x:v>
      </x:c>
      <x:c r="I464" s="68" t="n">
        <x:f>H464-G464</x:f>
        <x:v>0</x:v>
      </x:c>
      <x:c r="J464" s="14" t="n">
        <x:v>265463</x:v>
      </x:c>
      <x:c r="K464" s="14" t="n">
        <x:f>INT(H464*'공식·설정'!$B$10/'공식·설정'!$B$15)</x:f>
        <x:v>265463</x:v>
      </x:c>
      <x:c r="L464" s="68" t="n">
        <x:f>K464-J464</x:f>
        <x:v>0</x:v>
      </x:c>
      <x:c r="M464" s="65" t="n">
        <x:f>J464/'공식·설정'!$B$7</x:f>
        <x:v>1036.96484375</x:v>
      </x:c>
      <x:c r="N464" s="65" t="n">
        <x:f>K464/'공식·설정'!$B$7</x:f>
        <x:v>1036.96484375</x:v>
      </x:c>
      <x:c r="O464" s="14" t="n">
        <x:v>104</x:v>
      </x:c>
      <x:c r="P464" s="14" t="n">
        <x:f>MIN(32767,MAX(0,INT((K464+INT('공식·설정'!$B$12/2))/'공식·설정'!$B$12)))</x:f>
        <x:v>104</x:v>
      </x:c>
      <x:c r="Q464" s="68" t="n">
        <x:f>P464-O464</x:f>
        <x:v>0</x:v>
      </x:c>
      <x:c r="R464" s="14" t="n">
        <x:v>274688</x:v>
      </x:c>
      <x:c r="S464" s="14" t="n">
        <x:f>P464*'공식·설정'!$B$12+'공식·설정'!$B$14</x:f>
        <x:v>274688</x:v>
      </x:c>
      <x:c r="T464" s="68" t="n">
        <x:f>S464-R464</x:f>
        <x:v>0</x:v>
      </x:c>
      <x:c r="U464" s="65" t="n">
        <x:f>R464/'공식·설정'!$B$7</x:f>
        <x:v>1073</x:v>
      </x:c>
      <x:c r="V464" s="65" t="n">
        <x:f>S464/'공식·설정'!$B$7</x:f>
        <x:v>1073</x:v>
      </x:c>
      <x:c r="W464" s="14" t="n">
        <x:v>707</x:v>
      </x:c>
      <x:c r="X464" s="14" t="n">
        <x:f>INT(ABS(K465-K464)*'공식·설정'!$B$8/K464)</x:f>
        <x:v>707</x:v>
      </x:c>
      <x:c r="Y464" s="68" t="n">
        <x:f>X464-W464</x:f>
        <x:v>0</x:v>
      </x:c>
      <x:c r="Z464" s="66" t="n">
        <x:f>W464/'공식·설정'!$B$8</x:f>
        <x:v>0.0107879638671875</x:v>
      </x:c>
      <x:c r="AA464" s="66" t="n">
        <x:f>X464/'공식·설정'!$B$8</x:f>
        <x:v>0.0107879638671875</x:v>
      </x:c>
      <x:c r="AB464" s="67" t="str">
        <x:f>IF(AND(I464=0,L464=0,Q464=0,T464=0,Y464=0),"PASS","FAIL")</x:f>
        <x:v>PASS</x:v>
      </x:c>
    </x:row>
    <x:row r="465" ht="18" customHeight="1">
      <x:c r="A465" s="14" t="n">
        <x:v>568</x:v>
      </x:c>
      <x:c r="B465" s="14" t="n">
        <x:v>460</x:v>
      </x:c>
      <x:c r="C465" s="14" t="n">
        <x:v>560</x:v>
      </x:c>
      <x:c r="D465" s="14" t="n">
        <x:v>37694</x:v>
      </x:c>
      <x:c r="E465" s="14" t="n">
        <x:v>574</x:v>
      </x:c>
      <x:c r="F465" s="14" t="n">
        <x:v>43858</x:v>
      </x:c>
      <x:c r="G465" s="14" t="n">
        <x:v>41216</x:v>
      </x:c>
      <x:c r="H465" s="14" t="n">
        <x:f>INT((F465-D465)*(A465-C465)/(E465-C465))+D465</x:f>
        <x:v>41216</x:v>
      </x:c>
      <x:c r="I465" s="68" t="n">
        <x:f>H465-G465</x:f>
        <x:v>0</x:v>
      </x:c>
      <x:c r="J465" s="14" t="n">
        <x:v>268327</x:v>
      </x:c>
      <x:c r="K465" s="14" t="n">
        <x:f>INT(H465*'공식·설정'!$B$10/'공식·설정'!$B$15)</x:f>
        <x:v>268327</x:v>
      </x:c>
      <x:c r="L465" s="68" t="n">
        <x:f>K465-J465</x:f>
        <x:v>0</x:v>
      </x:c>
      <x:c r="M465" s="65" t="n">
        <x:f>J465/'공식·설정'!$B$7</x:f>
        <x:v>1048.15234375</x:v>
      </x:c>
      <x:c r="N465" s="65" t="n">
        <x:f>K465/'공식·설정'!$B$7</x:f>
        <x:v>1048.15234375</x:v>
      </x:c>
      <x:c r="O465" s="14" t="n">
        <x:v>105</x:v>
      </x:c>
      <x:c r="P465" s="14" t="n">
        <x:f>MIN(32767,MAX(0,INT((K465+INT('공식·설정'!$B$12/2))/'공식·설정'!$B$12)))</x:f>
        <x:v>105</x:v>
      </x:c>
      <x:c r="Q465" s="68" t="n">
        <x:f>P465-O465</x:f>
        <x:v>0</x:v>
      </x:c>
      <x:c r="R465" s="14" t="n">
        <x:v>277248</x:v>
      </x:c>
      <x:c r="S465" s="14" t="n">
        <x:f>P465*'공식·설정'!$B$12+'공식·설정'!$B$14</x:f>
        <x:v>277248</x:v>
      </x:c>
      <x:c r="T465" s="68" t="n">
        <x:f>S465-R465</x:f>
        <x:v>0</x:v>
      </x:c>
      <x:c r="U465" s="65" t="n">
        <x:f>R465/'공식·설정'!$B$7</x:f>
        <x:v>1083</x:v>
      </x:c>
      <x:c r="V465" s="65" t="n">
        <x:f>S465/'공식·설정'!$B$7</x:f>
        <x:v>1083</x:v>
      </x:c>
      <x:c r="W465" s="14" t="n">
        <x:v>699</x:v>
      </x:c>
      <x:c r="X465" s="14" t="n">
        <x:f>INT(ABS(K466-K465)*'공식·설정'!$B$8/K465)</x:f>
        <x:v>699</x:v>
      </x:c>
      <x:c r="Y465" s="68" t="n">
        <x:f>X465-W465</x:f>
        <x:v>0</x:v>
      </x:c>
      <x:c r="Z465" s="66" t="n">
        <x:f>W465/'공식·설정'!$B$8</x:f>
        <x:v>0.0106658935546875</x:v>
      </x:c>
      <x:c r="AA465" s="66" t="n">
        <x:f>X465/'공식·설정'!$B$8</x:f>
        <x:v>0.0106658935546875</x:v>
      </x:c>
      <x:c r="AB465" s="67" t="str">
        <x:f>IF(AND(I465=0,L465=0,Q465=0,T465=0,Y465=0),"PASS","FAIL")</x:f>
        <x:v>PASS</x:v>
      </x:c>
    </x:row>
    <x:row r="466" ht="18" customHeight="1">
      <x:c r="A466" s="14" t="n">
        <x:v>569</x:v>
      </x:c>
      <x:c r="B466" s="14" t="n">
        <x:v>461</x:v>
      </x:c>
      <x:c r="C466" s="14" t="n">
        <x:v>560</x:v>
      </x:c>
      <x:c r="D466" s="14" t="n">
        <x:v>37694</x:v>
      </x:c>
      <x:c r="E466" s="14" t="n">
        <x:v>574</x:v>
      </x:c>
      <x:c r="F466" s="14" t="n">
        <x:v>43858</x:v>
      </x:c>
      <x:c r="G466" s="14" t="n">
        <x:v>41656</x:v>
      </x:c>
      <x:c r="H466" s="14" t="n">
        <x:f>INT((F466-D466)*(A466-C466)/(E466-C466))+D466</x:f>
        <x:v>41656</x:v>
      </x:c>
      <x:c r="I466" s="68" t="n">
        <x:f>H466-G466</x:f>
        <x:v>0</x:v>
      </x:c>
      <x:c r="J466" s="14" t="n">
        <x:v>271192</x:v>
      </x:c>
      <x:c r="K466" s="14" t="n">
        <x:f>INT(H466*'공식·설정'!$B$10/'공식·설정'!$B$15)</x:f>
        <x:v>271192</x:v>
      </x:c>
      <x:c r="L466" s="68" t="n">
        <x:f>K466-J466</x:f>
        <x:v>0</x:v>
      </x:c>
      <x:c r="M466" s="65" t="n">
        <x:f>J466/'공식·설정'!$B$7</x:f>
        <x:v>1059.34375</x:v>
      </x:c>
      <x:c r="N466" s="65" t="n">
        <x:f>K466/'공식·설정'!$B$7</x:f>
        <x:v>1059.34375</x:v>
      </x:c>
      <x:c r="O466" s="14" t="n">
        <x:v>106</x:v>
      </x:c>
      <x:c r="P466" s="14" t="n">
        <x:f>MIN(32767,MAX(0,INT((K466+INT('공식·설정'!$B$12/2))/'공식·설정'!$B$12)))</x:f>
        <x:v>106</x:v>
      </x:c>
      <x:c r="Q466" s="68" t="n">
        <x:f>P466-O466</x:f>
        <x:v>0</x:v>
      </x:c>
      <x:c r="R466" s="14" t="n">
        <x:v>279808</x:v>
      </x:c>
      <x:c r="S466" s="14" t="n">
        <x:f>P466*'공식·설정'!$B$12+'공식·설정'!$B$14</x:f>
        <x:v>279808</x:v>
      </x:c>
      <x:c r="T466" s="68" t="n">
        <x:f>S466-R466</x:f>
        <x:v>0</x:v>
      </x:c>
      <x:c r="U466" s="65" t="n">
        <x:f>R466/'공식·설정'!$B$7</x:f>
        <x:v>1093</x:v>
      </x:c>
      <x:c r="V466" s="65" t="n">
        <x:f>S466/'공식·설정'!$B$7</x:f>
        <x:v>1093</x:v>
      </x:c>
      <x:c r="W466" s="14" t="n">
        <x:v>692</x:v>
      </x:c>
      <x:c r="X466" s="14" t="n">
        <x:f>INT(ABS(K467-K466)*'공식·설정'!$B$8/K466)</x:f>
        <x:v>692</x:v>
      </x:c>
      <x:c r="Y466" s="68" t="n">
        <x:f>X466-W466</x:f>
        <x:v>0</x:v>
      </x:c>
      <x:c r="Z466" s="66" t="n">
        <x:f>W466/'공식·설정'!$B$8</x:f>
        <x:v>0.01055908203125</x:v>
      </x:c>
      <x:c r="AA466" s="66" t="n">
        <x:f>X466/'공식·설정'!$B$8</x:f>
        <x:v>0.01055908203125</x:v>
      </x:c>
      <x:c r="AB466" s="67" t="str">
        <x:f>IF(AND(I466=0,L466=0,Q466=0,T466=0,Y466=0),"PASS","FAIL")</x:f>
        <x:v>PASS</x:v>
      </x:c>
    </x:row>
    <x:row r="467" ht="18" customHeight="1">
      <x:c r="A467" s="14" t="n">
        <x:v>570</x:v>
      </x:c>
      <x:c r="B467" s="14" t="n">
        <x:v>462</x:v>
      </x:c>
      <x:c r="C467" s="14" t="n">
        <x:v>560</x:v>
      </x:c>
      <x:c r="D467" s="14" t="n">
        <x:v>37694</x:v>
      </x:c>
      <x:c r="E467" s="14" t="n">
        <x:v>574</x:v>
      </x:c>
      <x:c r="F467" s="14" t="n">
        <x:v>43858</x:v>
      </x:c>
      <x:c r="G467" s="14" t="n">
        <x:v>42096</x:v>
      </x:c>
      <x:c r="H467" s="14" t="n">
        <x:f>INT((F467-D467)*(A467-C467)/(E467-C467))+D467</x:f>
        <x:v>42096</x:v>
      </x:c>
      <x:c r="I467" s="68" t="n">
        <x:f>H467-G467</x:f>
        <x:v>0</x:v>
      </x:c>
      <x:c r="J467" s="14" t="n">
        <x:v>274056</x:v>
      </x:c>
      <x:c r="K467" s="14" t="n">
        <x:f>INT(H467*'공식·설정'!$B$10/'공식·설정'!$B$15)</x:f>
        <x:v>274056</x:v>
      </x:c>
      <x:c r="L467" s="68" t="n">
        <x:f>K467-J467</x:f>
        <x:v>0</x:v>
      </x:c>
      <x:c r="M467" s="65" t="n">
        <x:f>J467/'공식·설정'!$B$7</x:f>
        <x:v>1070.53125</x:v>
      </x:c>
      <x:c r="N467" s="65" t="n">
        <x:f>K467/'공식·설정'!$B$7</x:f>
        <x:v>1070.53125</x:v>
      </x:c>
      <x:c r="O467" s="14" t="n">
        <x:v>107</x:v>
      </x:c>
      <x:c r="P467" s="14" t="n">
        <x:f>MIN(32767,MAX(0,INT((K467+INT('공식·설정'!$B$12/2))/'공식·설정'!$B$12)))</x:f>
        <x:v>107</x:v>
      </x:c>
      <x:c r="Q467" s="68" t="n">
        <x:f>P467-O467</x:f>
        <x:v>0</x:v>
      </x:c>
      <x:c r="R467" s="14" t="n">
        <x:v>282368</x:v>
      </x:c>
      <x:c r="S467" s="14" t="n">
        <x:f>P467*'공식·설정'!$B$12+'공식·설정'!$B$14</x:f>
        <x:v>282368</x:v>
      </x:c>
      <x:c r="T467" s="68" t="n">
        <x:f>S467-R467</x:f>
        <x:v>0</x:v>
      </x:c>
      <x:c r="U467" s="65" t="n">
        <x:f>R467/'공식·설정'!$B$7</x:f>
        <x:v>1103</x:v>
      </x:c>
      <x:c r="V467" s="65" t="n">
        <x:f>S467/'공식·설정'!$B$7</x:f>
        <x:v>1103</x:v>
      </x:c>
      <x:c r="W467" s="14" t="n">
        <x:v>686</x:v>
      </x:c>
      <x:c r="X467" s="14" t="n">
        <x:f>INT(ABS(K468-K467)*'공식·설정'!$B$8/K467)</x:f>
        <x:v>686</x:v>
      </x:c>
      <x:c r="Y467" s="68" t="n">
        <x:f>X467-W467</x:f>
        <x:v>0</x:v>
      </x:c>
      <x:c r="Z467" s="66" t="n">
        <x:f>W467/'공식·설정'!$B$8</x:f>
        <x:v>0.010467529296875</x:v>
      </x:c>
      <x:c r="AA467" s="66" t="n">
        <x:f>X467/'공식·설정'!$B$8</x:f>
        <x:v>0.010467529296875</x:v>
      </x:c>
      <x:c r="AB467" s="67" t="str">
        <x:f>IF(AND(I467=0,L467=0,Q467=0,T467=0,Y467=0),"PASS","FAIL")</x:f>
        <x:v>PASS</x:v>
      </x:c>
    </x:row>
    <x:row r="468" ht="18" customHeight="1">
      <x:c r="A468" s="14" t="n">
        <x:v>571</x:v>
      </x:c>
      <x:c r="B468" s="14" t="n">
        <x:v>463</x:v>
      </x:c>
      <x:c r="C468" s="14" t="n">
        <x:v>560</x:v>
      </x:c>
      <x:c r="D468" s="14" t="n">
        <x:v>37694</x:v>
      </x:c>
      <x:c r="E468" s="14" t="n">
        <x:v>574</x:v>
      </x:c>
      <x:c r="F468" s="14" t="n">
        <x:v>43858</x:v>
      </x:c>
      <x:c r="G468" s="14" t="n">
        <x:v>42537</x:v>
      </x:c>
      <x:c r="H468" s="14" t="n">
        <x:f>INT((F468-D468)*(A468-C468)/(E468-C468))+D468</x:f>
        <x:v>42537</x:v>
      </x:c>
      <x:c r="I468" s="68" t="n">
        <x:f>H468-G468</x:f>
        <x:v>0</x:v>
      </x:c>
      <x:c r="J468" s="14" t="n">
        <x:v>276927</x:v>
      </x:c>
      <x:c r="K468" s="14" t="n">
        <x:f>INT(H468*'공식·설정'!$B$10/'공식·설정'!$B$15)</x:f>
        <x:v>276927</x:v>
      </x:c>
      <x:c r="L468" s="68" t="n">
        <x:f>K468-J468</x:f>
        <x:v>0</x:v>
      </x:c>
      <x:c r="M468" s="65" t="n">
        <x:f>J468/'공식·설정'!$B$7</x:f>
        <x:v>1081.74609375</x:v>
      </x:c>
      <x:c r="N468" s="65" t="n">
        <x:f>K468/'공식·설정'!$B$7</x:f>
        <x:v>1081.74609375</x:v>
      </x:c>
      <x:c r="O468" s="14" t="n">
        <x:v>108</x:v>
      </x:c>
      <x:c r="P468" s="14" t="n">
        <x:f>MIN(32767,MAX(0,INT((K468+INT('공식·설정'!$B$12/2))/'공식·설정'!$B$12)))</x:f>
        <x:v>108</x:v>
      </x:c>
      <x:c r="Q468" s="68" t="n">
        <x:f>P468-O468</x:f>
        <x:v>0</x:v>
      </x:c>
      <x:c r="R468" s="14" t="n">
        <x:v>284928</x:v>
      </x:c>
      <x:c r="S468" s="14" t="n">
        <x:f>P468*'공식·설정'!$B$12+'공식·설정'!$B$14</x:f>
        <x:v>284928</x:v>
      </x:c>
      <x:c r="T468" s="68" t="n">
        <x:f>S468-R468</x:f>
        <x:v>0</x:v>
      </x:c>
      <x:c r="U468" s="65" t="n">
        <x:f>R468/'공식·설정'!$B$7</x:f>
        <x:v>1113</x:v>
      </x:c>
      <x:c r="V468" s="65" t="n">
        <x:f>S468/'공식·설정'!$B$7</x:f>
        <x:v>1113</x:v>
      </x:c>
      <x:c r="W468" s="14" t="n">
        <x:v>678</x:v>
      </x:c>
      <x:c r="X468" s="14" t="n">
        <x:f>INT(ABS(K469-K468)*'공식·설정'!$B$8/K468)</x:f>
        <x:v>678</x:v>
      </x:c>
      <x:c r="Y468" s="68" t="n">
        <x:f>X468-W468</x:f>
        <x:v>0</x:v>
      </x:c>
      <x:c r="Z468" s="66" t="n">
        <x:f>W468/'공식·설정'!$B$8</x:f>
        <x:v>0.010345458984375</x:v>
      </x:c>
      <x:c r="AA468" s="66" t="n">
        <x:f>X468/'공식·설정'!$B$8</x:f>
        <x:v>0.010345458984375</x:v>
      </x:c>
      <x:c r="AB468" s="67" t="str">
        <x:f>IF(AND(I468=0,L468=0,Q468=0,T468=0,Y468=0),"PASS","FAIL")</x:f>
        <x:v>PASS</x:v>
      </x:c>
    </x:row>
    <x:row r="469" ht="18" customHeight="1">
      <x:c r="A469" s="14" t="n">
        <x:v>572</x:v>
      </x:c>
      <x:c r="B469" s="14" t="n">
        <x:v>464</x:v>
      </x:c>
      <x:c r="C469" s="14" t="n">
        <x:v>560</x:v>
      </x:c>
      <x:c r="D469" s="14" t="n">
        <x:v>37694</x:v>
      </x:c>
      <x:c r="E469" s="14" t="n">
        <x:v>574</x:v>
      </x:c>
      <x:c r="F469" s="14" t="n">
        <x:v>43858</x:v>
      </x:c>
      <x:c r="G469" s="14" t="n">
        <x:v>42977</x:v>
      </x:c>
      <x:c r="H469" s="14" t="n">
        <x:f>INT((F469-D469)*(A469-C469)/(E469-C469))+D469</x:f>
        <x:v>42977</x:v>
      </x:c>
      <x:c r="I469" s="68" t="n">
        <x:f>H469-G469</x:f>
        <x:v>0</x:v>
      </x:c>
      <x:c r="J469" s="14" t="n">
        <x:v>279792</x:v>
      </x:c>
      <x:c r="K469" s="14" t="n">
        <x:f>INT(H469*'공식·설정'!$B$10/'공식·설정'!$B$15)</x:f>
        <x:v>279792</x:v>
      </x:c>
      <x:c r="L469" s="68" t="n">
        <x:f>K469-J469</x:f>
        <x:v>0</x:v>
      </x:c>
      <x:c r="M469" s="65" t="n">
        <x:f>J469/'공식·설정'!$B$7</x:f>
        <x:v>1092.9375</x:v>
      </x:c>
      <x:c r="N469" s="65" t="n">
        <x:f>K469/'공식·설정'!$B$7</x:f>
        <x:v>1092.9375</x:v>
      </x:c>
      <x:c r="O469" s="14" t="n">
        <x:v>109</x:v>
      </x:c>
      <x:c r="P469" s="14" t="n">
        <x:f>MIN(32767,MAX(0,INT((K469+INT('공식·설정'!$B$12/2))/'공식·설정'!$B$12)))</x:f>
        <x:v>109</x:v>
      </x:c>
      <x:c r="Q469" s="68" t="n">
        <x:f>P469-O469</x:f>
        <x:v>0</x:v>
      </x:c>
      <x:c r="R469" s="14" t="n">
        <x:v>287488</x:v>
      </x:c>
      <x:c r="S469" s="14" t="n">
        <x:f>P469*'공식·설정'!$B$12+'공식·설정'!$B$14</x:f>
        <x:v>287488</x:v>
      </x:c>
      <x:c r="T469" s="68" t="n">
        <x:f>S469-R469</x:f>
        <x:v>0</x:v>
      </x:c>
      <x:c r="U469" s="65" t="n">
        <x:f>R469/'공식·설정'!$B$7</x:f>
        <x:v>1123</x:v>
      </x:c>
      <x:c r="V469" s="65" t="n">
        <x:f>S469/'공식·설정'!$B$7</x:f>
        <x:v>1123</x:v>
      </x:c>
      <x:c r="W469" s="14" t="n">
        <x:v>670</x:v>
      </x:c>
      <x:c r="X469" s="14" t="n">
        <x:f>INT(ABS(K470-K469)*'공식·설정'!$B$8/K469)</x:f>
        <x:v>670</x:v>
      </x:c>
      <x:c r="Y469" s="68" t="n">
        <x:f>X469-W469</x:f>
        <x:v>0</x:v>
      </x:c>
      <x:c r="Z469" s="66" t="n">
        <x:f>W469/'공식·설정'!$B$8</x:f>
        <x:v>0.010223388671875</x:v>
      </x:c>
      <x:c r="AA469" s="66" t="n">
        <x:f>X469/'공식·설정'!$B$8</x:f>
        <x:v>0.010223388671875</x:v>
      </x:c>
      <x:c r="AB469" s="67" t="str">
        <x:f>IF(AND(I469=0,L469=0,Q469=0,T469=0,Y469=0),"PASS","FAIL")</x:f>
        <x:v>PASS</x:v>
      </x:c>
    </x:row>
    <x:row r="470" ht="18" customHeight="1">
      <x:c r="A470" s="14" t="n">
        <x:v>573</x:v>
      </x:c>
      <x:c r="B470" s="14" t="n">
        <x:v>465</x:v>
      </x:c>
      <x:c r="C470" s="14" t="n">
        <x:v>560</x:v>
      </x:c>
      <x:c r="D470" s="14" t="n">
        <x:v>37694</x:v>
      </x:c>
      <x:c r="E470" s="14" t="n">
        <x:v>574</x:v>
      </x:c>
      <x:c r="F470" s="14" t="n">
        <x:v>43858</x:v>
      </x:c>
      <x:c r="G470" s="14" t="n">
        <x:v>43417</x:v>
      </x:c>
      <x:c r="H470" s="14" t="n">
        <x:f>INT((F470-D470)*(A470-C470)/(E470-C470))+D470</x:f>
        <x:v>43417</x:v>
      </x:c>
      <x:c r="I470" s="68" t="n">
        <x:f>H470-G470</x:f>
        <x:v>0</x:v>
      </x:c>
      <x:c r="J470" s="14" t="n">
        <x:v>282656</x:v>
      </x:c>
      <x:c r="K470" s="14" t="n">
        <x:f>INT(H470*'공식·설정'!$B$10/'공식·설정'!$B$15)</x:f>
        <x:v>282656</x:v>
      </x:c>
      <x:c r="L470" s="68" t="n">
        <x:f>K470-J470</x:f>
        <x:v>0</x:v>
      </x:c>
      <x:c r="M470" s="65" t="n">
        <x:f>J470/'공식·설정'!$B$7</x:f>
        <x:v>1104.125</x:v>
      </x:c>
      <x:c r="N470" s="65" t="n">
        <x:f>K470/'공식·설정'!$B$7</x:f>
        <x:v>1104.125</x:v>
      </x:c>
      <x:c r="O470" s="14" t="n">
        <x:v>110</x:v>
      </x:c>
      <x:c r="P470" s="14" t="n">
        <x:f>MIN(32767,MAX(0,INT((K470+INT('공식·설정'!$B$12/2))/'공식·설정'!$B$12)))</x:f>
        <x:v>110</x:v>
      </x:c>
      <x:c r="Q470" s="68" t="n">
        <x:f>P470-O470</x:f>
        <x:v>0</x:v>
      </x:c>
      <x:c r="R470" s="14" t="n">
        <x:v>290048</x:v>
      </x:c>
      <x:c r="S470" s="14" t="n">
        <x:f>P470*'공식·설정'!$B$12+'공식·설정'!$B$14</x:f>
        <x:v>290048</x:v>
      </x:c>
      <x:c r="T470" s="68" t="n">
        <x:f>S470-R470</x:f>
        <x:v>0</x:v>
      </x:c>
      <x:c r="U470" s="65" t="n">
        <x:f>R470/'공식·설정'!$B$7</x:f>
        <x:v>1133</x:v>
      </x:c>
      <x:c r="V470" s="65" t="n">
        <x:f>S470/'공식·설정'!$B$7</x:f>
        <x:v>1133</x:v>
      </x:c>
      <x:c r="W470" s="14" t="n">
        <x:v>665</x:v>
      </x:c>
      <x:c r="X470" s="14" t="n">
        <x:f>INT(ABS(K471-K470)*'공식·설정'!$B$8/K470)</x:f>
        <x:v>665</x:v>
      </x:c>
      <x:c r="Y470" s="68" t="n">
        <x:f>X470-W470</x:f>
        <x:v>0</x:v>
      </x:c>
      <x:c r="Z470" s="66" t="n">
        <x:f>W470/'공식·설정'!$B$8</x:f>
        <x:v>0.0101470947265625</x:v>
      </x:c>
      <x:c r="AA470" s="66" t="n">
        <x:f>X470/'공식·설정'!$B$8</x:f>
        <x:v>0.0101470947265625</x:v>
      </x:c>
      <x:c r="AB470" s="67" t="str">
        <x:f>IF(AND(I470=0,L470=0,Q470=0,T470=0,Y470=0),"PASS","FAIL")</x:f>
        <x:v>PASS</x:v>
      </x:c>
    </x:row>
    <x:row r="471" ht="18" customHeight="1">
      <x:c r="A471" s="14" t="n">
        <x:v>574</x:v>
      </x:c>
      <x:c r="B471" s="14" t="n">
        <x:v>466</x:v>
      </x:c>
      <x:c r="C471" s="14" t="n">
        <x:v>574</x:v>
      </x:c>
      <x:c r="D471" s="14" t="n">
        <x:v>43858</x:v>
      </x:c>
      <x:c r="E471" s="14" t="n">
        <x:v>588</x:v>
      </x:c>
      <x:c r="F471" s="14" t="n">
        <x:v>51027</x:v>
      </x:c>
      <x:c r="G471" s="14" t="n">
        <x:v>43858</x:v>
      </x:c>
      <x:c r="H471" s="14" t="n">
        <x:f>INT((F471-D471)*(A471-C471)/(E471-C471))+D471</x:f>
        <x:v>43858</x:v>
      </x:c>
      <x:c r="I471" s="68" t="n">
        <x:f>H471-G471</x:f>
        <x:v>0</x:v>
      </x:c>
      <x:c r="J471" s="14" t="n">
        <x:v>285527</x:v>
      </x:c>
      <x:c r="K471" s="14" t="n">
        <x:f>INT(H471*'공식·설정'!$B$10/'공식·설정'!$B$15)</x:f>
        <x:v>285527</x:v>
      </x:c>
      <x:c r="L471" s="68" t="n">
        <x:f>K471-J471</x:f>
        <x:v>0</x:v>
      </x:c>
      <x:c r="M471" s="65" t="n">
        <x:f>J471/'공식·설정'!$B$7</x:f>
        <x:v>1115.33984375</x:v>
      </x:c>
      <x:c r="N471" s="65" t="n">
        <x:f>K471/'공식·설정'!$B$7</x:f>
        <x:v>1115.33984375</x:v>
      </x:c>
      <x:c r="O471" s="14" t="n">
        <x:v>112</x:v>
      </x:c>
      <x:c r="P471" s="14" t="n">
        <x:f>MIN(32767,MAX(0,INT((K471+INT('공식·설정'!$B$12/2))/'공식·설정'!$B$12)))</x:f>
        <x:v>112</x:v>
      </x:c>
      <x:c r="Q471" s="68" t="n">
        <x:f>P471-O471</x:f>
        <x:v>0</x:v>
      </x:c>
      <x:c r="R471" s="14" t="n">
        <x:v>295168</x:v>
      </x:c>
      <x:c r="S471" s="14" t="n">
        <x:f>P471*'공식·설정'!$B$12+'공식·설정'!$B$14</x:f>
        <x:v>295168</x:v>
      </x:c>
      <x:c r="T471" s="68" t="n">
        <x:f>S471-R471</x:f>
        <x:v>0</x:v>
      </x:c>
      <x:c r="U471" s="65" t="n">
        <x:f>R471/'공식·설정'!$B$7</x:f>
        <x:v>1153</x:v>
      </x:c>
      <x:c r="V471" s="65" t="n">
        <x:f>S471/'공식·설정'!$B$7</x:f>
        <x:v>1153</x:v>
      </x:c>
      <x:c r="W471" s="14" t="n">
        <x:v>765</x:v>
      </x:c>
      <x:c r="X471" s="14" t="n">
        <x:f>INT(ABS(K472-K471)*'공식·설정'!$B$8/K471)</x:f>
        <x:v>765</x:v>
      </x:c>
      <x:c r="Y471" s="68" t="n">
        <x:f>X471-W471</x:f>
        <x:v>0</x:v>
      </x:c>
      <x:c r="Z471" s="66" t="n">
        <x:f>W471/'공식·설정'!$B$8</x:f>
        <x:v>0.0116729736328125</x:v>
      </x:c>
      <x:c r="AA471" s="66" t="n">
        <x:f>X471/'공식·설정'!$B$8</x:f>
        <x:v>0.0116729736328125</x:v>
      </x:c>
      <x:c r="AB471" s="67" t="str">
        <x:f>IF(AND(I471=0,L471=0,Q471=0,T471=0,Y471=0),"PASS","FAIL")</x:f>
        <x:v>PASS</x:v>
      </x:c>
    </x:row>
    <x:row r="472" ht="18" customHeight="1">
      <x:c r="A472" s="14" t="n">
        <x:v>575</x:v>
      </x:c>
      <x:c r="B472" s="14" t="n">
        <x:v>467</x:v>
      </x:c>
      <x:c r="C472" s="14" t="n">
        <x:v>574</x:v>
      </x:c>
      <x:c r="D472" s="14" t="n">
        <x:v>43858</x:v>
      </x:c>
      <x:c r="E472" s="14" t="n">
        <x:v>588</x:v>
      </x:c>
      <x:c r="F472" s="14" t="n">
        <x:v>51027</x:v>
      </x:c>
      <x:c r="G472" s="14" t="n">
        <x:v>44370</x:v>
      </x:c>
      <x:c r="H472" s="14" t="n">
        <x:f>INT((F472-D472)*(A472-C472)/(E472-C472))+D472</x:f>
        <x:v>44370</x:v>
      </x:c>
      <x:c r="I472" s="68" t="n">
        <x:f>H472-G472</x:f>
        <x:v>0</x:v>
      </x:c>
      <x:c r="J472" s="14" t="n">
        <x:v>288861</x:v>
      </x:c>
      <x:c r="K472" s="14" t="n">
        <x:f>INT(H472*'공식·설정'!$B$10/'공식·설정'!$B$15)</x:f>
        <x:v>288861</x:v>
      </x:c>
      <x:c r="L472" s="68" t="n">
        <x:f>K472-J472</x:f>
        <x:v>0</x:v>
      </x:c>
      <x:c r="M472" s="65" t="n">
        <x:f>J472/'공식·설정'!$B$7</x:f>
        <x:v>1128.36328125</x:v>
      </x:c>
      <x:c r="N472" s="65" t="n">
        <x:f>K472/'공식·설정'!$B$7</x:f>
        <x:v>1128.36328125</x:v>
      </x:c>
      <x:c r="O472" s="14" t="n">
        <x:v>113</x:v>
      </x:c>
      <x:c r="P472" s="14" t="n">
        <x:f>MIN(32767,MAX(0,INT((K472+INT('공식·설정'!$B$12/2))/'공식·설정'!$B$12)))</x:f>
        <x:v>113</x:v>
      </x:c>
      <x:c r="Q472" s="68" t="n">
        <x:f>P472-O472</x:f>
        <x:v>0</x:v>
      </x:c>
      <x:c r="R472" s="14" t="n">
        <x:v>297728</x:v>
      </x:c>
      <x:c r="S472" s="14" t="n">
        <x:f>P472*'공식·설정'!$B$12+'공식·설정'!$B$14</x:f>
        <x:v>297728</x:v>
      </x:c>
      <x:c r="T472" s="68" t="n">
        <x:f>S472-R472</x:f>
        <x:v>0</x:v>
      </x:c>
      <x:c r="U472" s="65" t="n">
        <x:f>R472/'공식·설정'!$B$7</x:f>
        <x:v>1163</x:v>
      </x:c>
      <x:c r="V472" s="65" t="n">
        <x:f>S472/'공식·설정'!$B$7</x:f>
        <x:v>1163</x:v>
      </x:c>
      <x:c r="W472" s="14" t="n">
        <x:v>756</x:v>
      </x:c>
      <x:c r="X472" s="14" t="n">
        <x:f>INT(ABS(K473-K472)*'공식·설정'!$B$8/K472)</x:f>
        <x:v>756</x:v>
      </x:c>
      <x:c r="Y472" s="68" t="n">
        <x:f>X472-W472</x:f>
        <x:v>0</x:v>
      </x:c>
      <x:c r="Z472" s="66" t="n">
        <x:f>W472/'공식·설정'!$B$8</x:f>
        <x:v>0.01153564453125</x:v>
      </x:c>
      <x:c r="AA472" s="66" t="n">
        <x:f>X472/'공식·설정'!$B$8</x:f>
        <x:v>0.01153564453125</x:v>
      </x:c>
      <x:c r="AB472" s="67" t="str">
        <x:f>IF(AND(I472=0,L472=0,Q472=0,T472=0,Y472=0),"PASS","FAIL")</x:f>
        <x:v>PASS</x:v>
      </x:c>
    </x:row>
    <x:row r="473" ht="18" customHeight="1">
      <x:c r="A473" s="14" t="n">
        <x:v>576</x:v>
      </x:c>
      <x:c r="B473" s="14" t="n">
        <x:v>468</x:v>
      </x:c>
      <x:c r="C473" s="14" t="n">
        <x:v>574</x:v>
      </x:c>
      <x:c r="D473" s="14" t="n">
        <x:v>43858</x:v>
      </x:c>
      <x:c r="E473" s="14" t="n">
        <x:v>588</x:v>
      </x:c>
      <x:c r="F473" s="14" t="n">
        <x:v>51027</x:v>
      </x:c>
      <x:c r="G473" s="14" t="n">
        <x:v>44882</x:v>
      </x:c>
      <x:c r="H473" s="14" t="n">
        <x:f>INT((F473-D473)*(A473-C473)/(E473-C473))+D473</x:f>
        <x:v>44882</x:v>
      </x:c>
      <x:c r="I473" s="68" t="n">
        <x:f>H473-G473</x:f>
        <x:v>0</x:v>
      </x:c>
      <x:c r="J473" s="14" t="n">
        <x:v>292194</x:v>
      </x:c>
      <x:c r="K473" s="14" t="n">
        <x:f>INT(H473*'공식·설정'!$B$10/'공식·설정'!$B$15)</x:f>
        <x:v>292194</x:v>
      </x:c>
      <x:c r="L473" s="68" t="n">
        <x:f>K473-J473</x:f>
        <x:v>0</x:v>
      </x:c>
      <x:c r="M473" s="65" t="n">
        <x:f>J473/'공식·설정'!$B$7</x:f>
        <x:v>1141.3828125</x:v>
      </x:c>
      <x:c r="N473" s="65" t="n">
        <x:f>K473/'공식·설정'!$B$7</x:f>
        <x:v>1141.3828125</x:v>
      </x:c>
      <x:c r="O473" s="14" t="n">
        <x:v>114</x:v>
      </x:c>
      <x:c r="P473" s="14" t="n">
        <x:f>MIN(32767,MAX(0,INT((K473+INT('공식·설정'!$B$12/2))/'공식·설정'!$B$12)))</x:f>
        <x:v>114</x:v>
      </x:c>
      <x:c r="Q473" s="68" t="n">
        <x:f>P473-O473</x:f>
        <x:v>0</x:v>
      </x:c>
      <x:c r="R473" s="14" t="n">
        <x:v>300288</x:v>
      </x:c>
      <x:c r="S473" s="14" t="n">
        <x:f>P473*'공식·설정'!$B$12+'공식·설정'!$B$14</x:f>
        <x:v>300288</x:v>
      </x:c>
      <x:c r="T473" s="68" t="n">
        <x:f>S473-R473</x:f>
        <x:v>0</x:v>
      </x:c>
      <x:c r="U473" s="65" t="n">
        <x:f>R473/'공식·설정'!$B$7</x:f>
        <x:v>1173</x:v>
      </x:c>
      <x:c r="V473" s="65" t="n">
        <x:f>S473/'공식·설정'!$B$7</x:f>
        <x:v>1173</x:v>
      </x:c>
      <x:c r="W473" s="14" t="n">
        <x:v>747</x:v>
      </x:c>
      <x:c r="X473" s="14" t="n">
        <x:f>INT(ABS(K474-K473)*'공식·설정'!$B$8/K473)</x:f>
        <x:v>747</x:v>
      </x:c>
      <x:c r="Y473" s="68" t="n">
        <x:f>X473-W473</x:f>
        <x:v>0</x:v>
      </x:c>
      <x:c r="Z473" s="66" t="n">
        <x:f>W473/'공식·설정'!$B$8</x:f>
        <x:v>0.0113983154296875</x:v>
      </x:c>
      <x:c r="AA473" s="66" t="n">
        <x:f>X473/'공식·설정'!$B$8</x:f>
        <x:v>0.0113983154296875</x:v>
      </x:c>
      <x:c r="AB473" s="67" t="str">
        <x:f>IF(AND(I473=0,L473=0,Q473=0,T473=0,Y473=0),"PASS","FAIL")</x:f>
        <x:v>PASS</x:v>
      </x:c>
    </x:row>
    <x:row r="474" ht="18" customHeight="1">
      <x:c r="A474" s="14" t="n">
        <x:v>577</x:v>
      </x:c>
      <x:c r="B474" s="14" t="n">
        <x:v>469</x:v>
      </x:c>
      <x:c r="C474" s="14" t="n">
        <x:v>574</x:v>
      </x:c>
      <x:c r="D474" s="14" t="n">
        <x:v>43858</x:v>
      </x:c>
      <x:c r="E474" s="14" t="n">
        <x:v>588</x:v>
      </x:c>
      <x:c r="F474" s="14" t="n">
        <x:v>51027</x:v>
      </x:c>
      <x:c r="G474" s="14" t="n">
        <x:v>45394</x:v>
      </x:c>
      <x:c r="H474" s="14" t="n">
        <x:f>INT((F474-D474)*(A474-C474)/(E474-C474))+D474</x:f>
        <x:v>45394</x:v>
      </x:c>
      <x:c r="I474" s="68" t="n">
        <x:f>H474-G474</x:f>
        <x:v>0</x:v>
      </x:c>
      <x:c r="J474" s="14" t="n">
        <x:v>295527</x:v>
      </x:c>
      <x:c r="K474" s="14" t="n">
        <x:f>INT(H474*'공식·설정'!$B$10/'공식·설정'!$B$15)</x:f>
        <x:v>295527</x:v>
      </x:c>
      <x:c r="L474" s="68" t="n">
        <x:f>K474-J474</x:f>
        <x:v>0</x:v>
      </x:c>
      <x:c r="M474" s="65" t="n">
        <x:f>J474/'공식·설정'!$B$7</x:f>
        <x:v>1154.40234375</x:v>
      </x:c>
      <x:c r="N474" s="65" t="n">
        <x:f>K474/'공식·설정'!$B$7</x:f>
        <x:v>1154.40234375</x:v>
      </x:c>
      <x:c r="O474" s="14" t="n">
        <x:v>115</x:v>
      </x:c>
      <x:c r="P474" s="14" t="n">
        <x:f>MIN(32767,MAX(0,INT((K474+INT('공식·설정'!$B$12/2))/'공식·설정'!$B$12)))</x:f>
        <x:v>115</x:v>
      </x:c>
      <x:c r="Q474" s="68" t="n">
        <x:f>P474-O474</x:f>
        <x:v>0</x:v>
      </x:c>
      <x:c r="R474" s="14" t="n">
        <x:v>302848</x:v>
      </x:c>
      <x:c r="S474" s="14" t="n">
        <x:f>P474*'공식·설정'!$B$12+'공식·설정'!$B$14</x:f>
        <x:v>302848</x:v>
      </x:c>
      <x:c r="T474" s="68" t="n">
        <x:f>S474-R474</x:f>
        <x:v>0</x:v>
      </x:c>
      <x:c r="U474" s="65" t="n">
        <x:f>R474/'공식·설정'!$B$7</x:f>
        <x:v>1183</x:v>
      </x:c>
      <x:c r="V474" s="65" t="n">
        <x:f>S474/'공식·설정'!$B$7</x:f>
        <x:v>1183</x:v>
      </x:c>
      <x:c r="W474" s="14" t="n">
        <x:v>739</x:v>
      </x:c>
      <x:c r="X474" s="14" t="n">
        <x:f>INT(ABS(K475-K474)*'공식·설정'!$B$8/K474)</x:f>
        <x:v>739</x:v>
      </x:c>
      <x:c r="Y474" s="68" t="n">
        <x:f>X474-W474</x:f>
        <x:v>0</x:v>
      </x:c>
      <x:c r="Z474" s="66" t="n">
        <x:f>W474/'공식·설정'!$B$8</x:f>
        <x:v>0.0112762451171875</x:v>
      </x:c>
      <x:c r="AA474" s="66" t="n">
        <x:f>X474/'공식·설정'!$B$8</x:f>
        <x:v>0.0112762451171875</x:v>
      </x:c>
      <x:c r="AB474" s="67" t="str">
        <x:f>IF(AND(I474=0,L474=0,Q474=0,T474=0,Y474=0),"PASS","FAIL")</x:f>
        <x:v>PASS</x:v>
      </x:c>
    </x:row>
    <x:row r="475" ht="18" customHeight="1">
      <x:c r="A475" s="14" t="n">
        <x:v>578</x:v>
      </x:c>
      <x:c r="B475" s="14" t="n">
        <x:v>470</x:v>
      </x:c>
      <x:c r="C475" s="14" t="n">
        <x:v>574</x:v>
      </x:c>
      <x:c r="D475" s="14" t="n">
        <x:v>43858</x:v>
      </x:c>
      <x:c r="E475" s="14" t="n">
        <x:v>588</x:v>
      </x:c>
      <x:c r="F475" s="14" t="n">
        <x:v>51027</x:v>
      </x:c>
      <x:c r="G475" s="14" t="n">
        <x:v>45906</x:v>
      </x:c>
      <x:c r="H475" s="14" t="n">
        <x:f>INT((F475-D475)*(A475-C475)/(E475-C475))+D475</x:f>
        <x:v>45906</x:v>
      </x:c>
      <x:c r="I475" s="68" t="n">
        <x:f>H475-G475</x:f>
        <x:v>0</x:v>
      </x:c>
      <x:c r="J475" s="14" t="n">
        <x:v>298861</x:v>
      </x:c>
      <x:c r="K475" s="14" t="n">
        <x:f>INT(H475*'공식·설정'!$B$10/'공식·설정'!$B$15)</x:f>
        <x:v>298861</x:v>
      </x:c>
      <x:c r="L475" s="68" t="n">
        <x:f>K475-J475</x:f>
        <x:v>0</x:v>
      </x:c>
      <x:c r="M475" s="65" t="n">
        <x:f>J475/'공식·설정'!$B$7</x:f>
        <x:v>1167.42578125</x:v>
      </x:c>
      <x:c r="N475" s="65" t="n">
        <x:f>K475/'공식·설정'!$B$7</x:f>
        <x:v>1167.42578125</x:v>
      </x:c>
      <x:c r="O475" s="14" t="n">
        <x:v>117</x:v>
      </x:c>
      <x:c r="P475" s="14" t="n">
        <x:f>MIN(32767,MAX(0,INT((K475+INT('공식·설정'!$B$12/2))/'공식·설정'!$B$12)))</x:f>
        <x:v>117</x:v>
      </x:c>
      <x:c r="Q475" s="68" t="n">
        <x:f>P475-O475</x:f>
        <x:v>0</x:v>
      </x:c>
      <x:c r="R475" s="14" t="n">
        <x:v>307968</x:v>
      </x:c>
      <x:c r="S475" s="14" t="n">
        <x:f>P475*'공식·설정'!$B$12+'공식·설정'!$B$14</x:f>
        <x:v>307968</x:v>
      </x:c>
      <x:c r="T475" s="68" t="n">
        <x:f>S475-R475</x:f>
        <x:v>0</x:v>
      </x:c>
      <x:c r="U475" s="65" t="n">
        <x:f>R475/'공식·설정'!$B$7</x:f>
        <x:v>1203</x:v>
      </x:c>
      <x:c r="V475" s="65" t="n">
        <x:f>S475/'공식·설정'!$B$7</x:f>
        <x:v>1203</x:v>
      </x:c>
      <x:c r="W475" s="14" t="n">
        <x:v>730</x:v>
      </x:c>
      <x:c r="X475" s="14" t="n">
        <x:f>INT(ABS(K476-K475)*'공식·설정'!$B$8/K475)</x:f>
        <x:v>730</x:v>
      </x:c>
      <x:c r="Y475" s="68" t="n">
        <x:f>X475-W475</x:f>
        <x:v>0</x:v>
      </x:c>
      <x:c r="Z475" s="66" t="n">
        <x:f>W475/'공식·설정'!$B$8</x:f>
        <x:v>0.011138916015625</x:v>
      </x:c>
      <x:c r="AA475" s="66" t="n">
        <x:f>X475/'공식·설정'!$B$8</x:f>
        <x:v>0.011138916015625</x:v>
      </x:c>
      <x:c r="AB475" s="67" t="str">
        <x:f>IF(AND(I475=0,L475=0,Q475=0,T475=0,Y475=0),"PASS","FAIL")</x:f>
        <x:v>PASS</x:v>
      </x:c>
    </x:row>
    <x:row r="476" ht="18" customHeight="1">
      <x:c r="A476" s="14" t="n">
        <x:v>579</x:v>
      </x:c>
      <x:c r="B476" s="14" t="n">
        <x:v>471</x:v>
      </x:c>
      <x:c r="C476" s="14" t="n">
        <x:v>574</x:v>
      </x:c>
      <x:c r="D476" s="14" t="n">
        <x:v>43858</x:v>
      </x:c>
      <x:c r="E476" s="14" t="n">
        <x:v>588</x:v>
      </x:c>
      <x:c r="F476" s="14" t="n">
        <x:v>51027</x:v>
      </x:c>
      <x:c r="G476" s="14" t="n">
        <x:v>46418</x:v>
      </x:c>
      <x:c r="H476" s="14" t="n">
        <x:f>INT((F476-D476)*(A476-C476)/(E476-C476))+D476</x:f>
        <x:v>46418</x:v>
      </x:c>
      <x:c r="I476" s="68" t="n">
        <x:f>H476-G476</x:f>
        <x:v>0</x:v>
      </x:c>
      <x:c r="J476" s="14" t="n">
        <x:v>302194</x:v>
      </x:c>
      <x:c r="K476" s="14" t="n">
        <x:f>INT(H476*'공식·설정'!$B$10/'공식·설정'!$B$15)</x:f>
        <x:v>302194</x:v>
      </x:c>
      <x:c r="L476" s="68" t="n">
        <x:f>K476-J476</x:f>
        <x:v>0</x:v>
      </x:c>
      <x:c r="M476" s="65" t="n">
        <x:f>J476/'공식·설정'!$B$7</x:f>
        <x:v>1180.4453125</x:v>
      </x:c>
      <x:c r="N476" s="65" t="n">
        <x:f>K476/'공식·설정'!$B$7</x:f>
        <x:v>1180.4453125</x:v>
      </x:c>
      <x:c r="O476" s="14" t="n">
        <x:v>118</x:v>
      </x:c>
      <x:c r="P476" s="14" t="n">
        <x:f>MIN(32767,MAX(0,INT((K476+INT('공식·설정'!$B$12/2))/'공식·설정'!$B$12)))</x:f>
        <x:v>118</x:v>
      </x:c>
      <x:c r="Q476" s="68" t="n">
        <x:f>P476-O476</x:f>
        <x:v>0</x:v>
      </x:c>
      <x:c r="R476" s="14" t="n">
        <x:v>310528</x:v>
      </x:c>
      <x:c r="S476" s="14" t="n">
        <x:f>P476*'공식·설정'!$B$12+'공식·설정'!$B$14</x:f>
        <x:v>310528</x:v>
      </x:c>
      <x:c r="T476" s="68" t="n">
        <x:f>S476-R476</x:f>
        <x:v>0</x:v>
      </x:c>
      <x:c r="U476" s="65" t="n">
        <x:f>R476/'공식·설정'!$B$7</x:f>
        <x:v>1213</x:v>
      </x:c>
      <x:c r="V476" s="65" t="n">
        <x:f>S476/'공식·설정'!$B$7</x:f>
        <x:v>1213</x:v>
      </x:c>
      <x:c r="W476" s="14" t="n">
        <x:v>722</x:v>
      </x:c>
      <x:c r="X476" s="14" t="n">
        <x:f>INT(ABS(K477-K476)*'공식·설정'!$B$8/K476)</x:f>
        <x:v>722</x:v>
      </x:c>
      <x:c r="Y476" s="68" t="n">
        <x:f>X476-W476</x:f>
        <x:v>0</x:v>
      </x:c>
      <x:c r="Z476" s="66" t="n">
        <x:f>W476/'공식·설정'!$B$8</x:f>
        <x:v>0.011016845703125</x:v>
      </x:c>
      <x:c r="AA476" s="66" t="n">
        <x:f>X476/'공식·설정'!$B$8</x:f>
        <x:v>0.011016845703125</x:v>
      </x:c>
      <x:c r="AB476" s="67" t="str">
        <x:f>IF(AND(I476=0,L476=0,Q476=0,T476=0,Y476=0),"PASS","FAIL")</x:f>
        <x:v>PASS</x:v>
      </x:c>
    </x:row>
    <x:row r="477" ht="18" customHeight="1">
      <x:c r="A477" s="14" t="n">
        <x:v>580</x:v>
      </x:c>
      <x:c r="B477" s="14" t="n">
        <x:v>472</x:v>
      </x:c>
      <x:c r="C477" s="14" t="n">
        <x:v>574</x:v>
      </x:c>
      <x:c r="D477" s="14" t="n">
        <x:v>43858</x:v>
      </x:c>
      <x:c r="E477" s="14" t="n">
        <x:v>588</x:v>
      </x:c>
      <x:c r="F477" s="14" t="n">
        <x:v>51027</x:v>
      </x:c>
      <x:c r="G477" s="14" t="n">
        <x:v>46930</x:v>
      </x:c>
      <x:c r="H477" s="14" t="n">
        <x:f>INT((F477-D477)*(A477-C477)/(E477-C477))+D477</x:f>
        <x:v>46930</x:v>
      </x:c>
      <x:c r="I477" s="68" t="n">
        <x:f>H477-G477</x:f>
        <x:v>0</x:v>
      </x:c>
      <x:c r="J477" s="14" t="n">
        <x:v>305527</x:v>
      </x:c>
      <x:c r="K477" s="14" t="n">
        <x:f>INT(H477*'공식·설정'!$B$10/'공식·설정'!$B$15)</x:f>
        <x:v>305527</x:v>
      </x:c>
      <x:c r="L477" s="68" t="n">
        <x:f>K477-J477</x:f>
        <x:v>0</x:v>
      </x:c>
      <x:c r="M477" s="65" t="n">
        <x:f>J477/'공식·설정'!$B$7</x:f>
        <x:v>1193.46484375</x:v>
      </x:c>
      <x:c r="N477" s="65" t="n">
        <x:f>K477/'공식·설정'!$B$7</x:f>
        <x:v>1193.46484375</x:v>
      </x:c>
      <x:c r="O477" s="14" t="n">
        <x:v>119</x:v>
      </x:c>
      <x:c r="P477" s="14" t="n">
        <x:f>MIN(32767,MAX(0,INT((K477+INT('공식·설정'!$B$12/2))/'공식·설정'!$B$12)))</x:f>
        <x:v>119</x:v>
      </x:c>
      <x:c r="Q477" s="68" t="n">
        <x:f>P477-O477</x:f>
        <x:v>0</x:v>
      </x:c>
      <x:c r="R477" s="14" t="n">
        <x:v>313088</x:v>
      </x:c>
      <x:c r="S477" s="14" t="n">
        <x:f>P477*'공식·설정'!$B$12+'공식·설정'!$B$14</x:f>
        <x:v>313088</x:v>
      </x:c>
      <x:c r="T477" s="68" t="n">
        <x:f>S477-R477</x:f>
        <x:v>0</x:v>
      </x:c>
      <x:c r="U477" s="65" t="n">
        <x:f>R477/'공식·설정'!$B$7</x:f>
        <x:v>1223</x:v>
      </x:c>
      <x:c r="V477" s="65" t="n">
        <x:f>S477/'공식·설정'!$B$7</x:f>
        <x:v>1223</x:v>
      </x:c>
      <x:c r="W477" s="14" t="n">
        <x:v>714</x:v>
      </x:c>
      <x:c r="X477" s="14" t="n">
        <x:f>INT(ABS(K478-K477)*'공식·설정'!$B$8/K477)</x:f>
        <x:v>714</x:v>
      </x:c>
      <x:c r="Y477" s="68" t="n">
        <x:f>X477-W477</x:f>
        <x:v>0</x:v>
      </x:c>
      <x:c r="Z477" s="66" t="n">
        <x:f>W477/'공식·설정'!$B$8</x:f>
        <x:v>0.010894775390625</x:v>
      </x:c>
      <x:c r="AA477" s="66" t="n">
        <x:f>X477/'공식·설정'!$B$8</x:f>
        <x:v>0.010894775390625</x:v>
      </x:c>
      <x:c r="AB477" s="67" t="str">
        <x:f>IF(AND(I477=0,L477=0,Q477=0,T477=0,Y477=0),"PASS","FAIL")</x:f>
        <x:v>PASS</x:v>
      </x:c>
    </x:row>
    <x:row r="478" ht="18" customHeight="1">
      <x:c r="A478" s="14" t="n">
        <x:v>581</x:v>
      </x:c>
      <x:c r="B478" s="14" t="n">
        <x:v>473</x:v>
      </x:c>
      <x:c r="C478" s="14" t="n">
        <x:v>574</x:v>
      </x:c>
      <x:c r="D478" s="14" t="n">
        <x:v>43858</x:v>
      </x:c>
      <x:c r="E478" s="14" t="n">
        <x:v>588</x:v>
      </x:c>
      <x:c r="F478" s="14" t="n">
        <x:v>51027</x:v>
      </x:c>
      <x:c r="G478" s="14" t="n">
        <x:v>47442</x:v>
      </x:c>
      <x:c r="H478" s="14" t="n">
        <x:f>INT((F478-D478)*(A478-C478)/(E478-C478))+D478</x:f>
        <x:v>47442</x:v>
      </x:c>
      <x:c r="I478" s="68" t="n">
        <x:f>H478-G478</x:f>
        <x:v>0</x:v>
      </x:c>
      <x:c r="J478" s="14" t="n">
        <x:v>308860</x:v>
      </x:c>
      <x:c r="K478" s="14" t="n">
        <x:f>INT(H478*'공식·설정'!$B$10/'공식·설정'!$B$15)</x:f>
        <x:v>308860</x:v>
      </x:c>
      <x:c r="L478" s="68" t="n">
        <x:f>K478-J478</x:f>
        <x:v>0</x:v>
      </x:c>
      <x:c r="M478" s="65" t="n">
        <x:f>J478/'공식·설정'!$B$7</x:f>
        <x:v>1206.484375</x:v>
      </x:c>
      <x:c r="N478" s="65" t="n">
        <x:f>K478/'공식·설정'!$B$7</x:f>
        <x:v>1206.484375</x:v>
      </x:c>
      <x:c r="O478" s="14" t="n">
        <x:v>121</x:v>
      </x:c>
      <x:c r="P478" s="14" t="n">
        <x:f>MIN(32767,MAX(0,INT((K478+INT('공식·설정'!$B$12/2))/'공식·설정'!$B$12)))</x:f>
        <x:v>121</x:v>
      </x:c>
      <x:c r="Q478" s="68" t="n">
        <x:f>P478-O478</x:f>
        <x:v>0</x:v>
      </x:c>
      <x:c r="R478" s="14" t="n">
        <x:v>318208</x:v>
      </x:c>
      <x:c r="S478" s="14" t="n">
        <x:f>P478*'공식·설정'!$B$12+'공식·설정'!$B$14</x:f>
        <x:v>318208</x:v>
      </x:c>
      <x:c r="T478" s="68" t="n">
        <x:f>S478-R478</x:f>
        <x:v>0</x:v>
      </x:c>
      <x:c r="U478" s="65" t="n">
        <x:f>R478/'공식·설정'!$B$7</x:f>
        <x:v>1243</x:v>
      </x:c>
      <x:c r="V478" s="65" t="n">
        <x:f>S478/'공식·설정'!$B$7</x:f>
        <x:v>1243</x:v>
      </x:c>
      <x:c r="W478" s="14" t="n">
        <x:v>707</x:v>
      </x:c>
      <x:c r="X478" s="14" t="n">
        <x:f>INT(ABS(K479-K478)*'공식·설정'!$B$8/K478)</x:f>
        <x:v>707</x:v>
      </x:c>
      <x:c r="Y478" s="68" t="n">
        <x:f>X478-W478</x:f>
        <x:v>0</x:v>
      </x:c>
      <x:c r="Z478" s="66" t="n">
        <x:f>W478/'공식·설정'!$B$8</x:f>
        <x:v>0.0107879638671875</x:v>
      </x:c>
      <x:c r="AA478" s="66" t="n">
        <x:f>X478/'공식·설정'!$B$8</x:f>
        <x:v>0.0107879638671875</x:v>
      </x:c>
      <x:c r="AB478" s="67" t="str">
        <x:f>IF(AND(I478=0,L478=0,Q478=0,T478=0,Y478=0),"PASS","FAIL")</x:f>
        <x:v>PASS</x:v>
      </x:c>
    </x:row>
    <x:row r="479" ht="18" customHeight="1">
      <x:c r="A479" s="14" t="n">
        <x:v>582</x:v>
      </x:c>
      <x:c r="B479" s="14" t="n">
        <x:v>474</x:v>
      </x:c>
      <x:c r="C479" s="14" t="n">
        <x:v>574</x:v>
      </x:c>
      <x:c r="D479" s="14" t="n">
        <x:v>43858</x:v>
      </x:c>
      <x:c r="E479" s="14" t="n">
        <x:v>588</x:v>
      </x:c>
      <x:c r="F479" s="14" t="n">
        <x:v>51027</x:v>
      </x:c>
      <x:c r="G479" s="14" t="n">
        <x:v>47954</x:v>
      </x:c>
      <x:c r="H479" s="14" t="n">
        <x:f>INT((F479-D479)*(A479-C479)/(E479-C479))+D479</x:f>
        <x:v>47954</x:v>
      </x:c>
      <x:c r="I479" s="68" t="n">
        <x:f>H479-G479</x:f>
        <x:v>0</x:v>
      </x:c>
      <x:c r="J479" s="14" t="n">
        <x:v>312194</x:v>
      </x:c>
      <x:c r="K479" s="14" t="n">
        <x:f>INT(H479*'공식·설정'!$B$10/'공식·설정'!$B$15)</x:f>
        <x:v>312194</x:v>
      </x:c>
      <x:c r="L479" s="68" t="n">
        <x:f>K479-J479</x:f>
        <x:v>0</x:v>
      </x:c>
      <x:c r="M479" s="65" t="n">
        <x:f>J479/'공식·설정'!$B$7</x:f>
        <x:v>1219.5078125</x:v>
      </x:c>
      <x:c r="N479" s="65" t="n">
        <x:f>K479/'공식·설정'!$B$7</x:f>
        <x:v>1219.5078125</x:v>
      </x:c>
      <x:c r="O479" s="14" t="n">
        <x:v>122</x:v>
      </x:c>
      <x:c r="P479" s="14" t="n">
        <x:f>MIN(32767,MAX(0,INT((K479+INT('공식·설정'!$B$12/2))/'공식·설정'!$B$12)))</x:f>
        <x:v>122</x:v>
      </x:c>
      <x:c r="Q479" s="68" t="n">
        <x:f>P479-O479</x:f>
        <x:v>0</x:v>
      </x:c>
      <x:c r="R479" s="14" t="n">
        <x:v>320768</x:v>
      </x:c>
      <x:c r="S479" s="14" t="n">
        <x:f>P479*'공식·설정'!$B$12+'공식·설정'!$B$14</x:f>
        <x:v>320768</x:v>
      </x:c>
      <x:c r="T479" s="68" t="n">
        <x:f>S479-R479</x:f>
        <x:v>0</x:v>
      </x:c>
      <x:c r="U479" s="65" t="n">
        <x:f>R479/'공식·설정'!$B$7</x:f>
        <x:v>1253</x:v>
      </x:c>
      <x:c r="V479" s="65" t="n">
        <x:f>S479/'공식·설정'!$B$7</x:f>
        <x:v>1253</x:v>
      </x:c>
      <x:c r="W479" s="14" t="n">
        <x:v>699</x:v>
      </x:c>
      <x:c r="X479" s="14" t="n">
        <x:f>INT(ABS(K480-K479)*'공식·설정'!$B$8/K479)</x:f>
        <x:v>699</x:v>
      </x:c>
      <x:c r="Y479" s="68" t="n">
        <x:f>X479-W479</x:f>
        <x:v>0</x:v>
      </x:c>
      <x:c r="Z479" s="66" t="n">
        <x:f>W479/'공식·설정'!$B$8</x:f>
        <x:v>0.0106658935546875</x:v>
      </x:c>
      <x:c r="AA479" s="66" t="n">
        <x:f>X479/'공식·설정'!$B$8</x:f>
        <x:v>0.0106658935546875</x:v>
      </x:c>
      <x:c r="AB479" s="67" t="str">
        <x:f>IF(AND(I479=0,L479=0,Q479=0,T479=0,Y479=0),"PASS","FAIL")</x:f>
        <x:v>PASS</x:v>
      </x:c>
    </x:row>
    <x:row r="480" ht="18" customHeight="1">
      <x:c r="A480" s="14" t="n">
        <x:v>583</x:v>
      </x:c>
      <x:c r="B480" s="14" t="n">
        <x:v>475</x:v>
      </x:c>
      <x:c r="C480" s="14" t="n">
        <x:v>574</x:v>
      </x:c>
      <x:c r="D480" s="14" t="n">
        <x:v>43858</x:v>
      </x:c>
      <x:c r="E480" s="14" t="n">
        <x:v>588</x:v>
      </x:c>
      <x:c r="F480" s="14" t="n">
        <x:v>51027</x:v>
      </x:c>
      <x:c r="G480" s="14" t="n">
        <x:v>48466</x:v>
      </x:c>
      <x:c r="H480" s="14" t="n">
        <x:f>INT((F480-D480)*(A480-C480)/(E480-C480))+D480</x:f>
        <x:v>48466</x:v>
      </x:c>
      <x:c r="I480" s="68" t="n">
        <x:f>H480-G480</x:f>
        <x:v>0</x:v>
      </x:c>
      <x:c r="J480" s="14" t="n">
        <x:v>315527</x:v>
      </x:c>
      <x:c r="K480" s="14" t="n">
        <x:f>INT(H480*'공식·설정'!$B$10/'공식·설정'!$B$15)</x:f>
        <x:v>315527</x:v>
      </x:c>
      <x:c r="L480" s="68" t="n">
        <x:f>K480-J480</x:f>
        <x:v>0</x:v>
      </x:c>
      <x:c r="M480" s="65" t="n">
        <x:f>J480/'공식·설정'!$B$7</x:f>
        <x:v>1232.52734375</x:v>
      </x:c>
      <x:c r="N480" s="65" t="n">
        <x:f>K480/'공식·설정'!$B$7</x:f>
        <x:v>1232.52734375</x:v>
      </x:c>
      <x:c r="O480" s="14" t="n">
        <x:v>123</x:v>
      </x:c>
      <x:c r="P480" s="14" t="n">
        <x:f>MIN(32767,MAX(0,INT((K480+INT('공식·설정'!$B$12/2))/'공식·설정'!$B$12)))</x:f>
        <x:v>123</x:v>
      </x:c>
      <x:c r="Q480" s="68" t="n">
        <x:f>P480-O480</x:f>
        <x:v>0</x:v>
      </x:c>
      <x:c r="R480" s="14" t="n">
        <x:v>323328</x:v>
      </x:c>
      <x:c r="S480" s="14" t="n">
        <x:f>P480*'공식·설정'!$B$12+'공식·설정'!$B$14</x:f>
        <x:v>323328</x:v>
      </x:c>
      <x:c r="T480" s="68" t="n">
        <x:f>S480-R480</x:f>
        <x:v>0</x:v>
      </x:c>
      <x:c r="U480" s="65" t="n">
        <x:f>R480/'공식·설정'!$B$7</x:f>
        <x:v>1263</x:v>
      </x:c>
      <x:c r="V480" s="65" t="n">
        <x:f>S480/'공식·설정'!$B$7</x:f>
        <x:v>1263</x:v>
      </x:c>
      <x:c r="W480" s="14" t="n">
        <x:v>692</x:v>
      </x:c>
      <x:c r="X480" s="14" t="n">
        <x:f>INT(ABS(K481-K480)*'공식·설정'!$B$8/K480)</x:f>
        <x:v>692</x:v>
      </x:c>
      <x:c r="Y480" s="68" t="n">
        <x:f>X480-W480</x:f>
        <x:v>0</x:v>
      </x:c>
      <x:c r="Z480" s="66" t="n">
        <x:f>W480/'공식·설정'!$B$8</x:f>
        <x:v>0.01055908203125</x:v>
      </x:c>
      <x:c r="AA480" s="66" t="n">
        <x:f>X480/'공식·설정'!$B$8</x:f>
        <x:v>0.01055908203125</x:v>
      </x:c>
      <x:c r="AB480" s="67" t="str">
        <x:f>IF(AND(I480=0,L480=0,Q480=0,T480=0,Y480=0),"PASS","FAIL")</x:f>
        <x:v>PASS</x:v>
      </x:c>
    </x:row>
    <x:row r="481" ht="18" customHeight="1">
      <x:c r="A481" s="14" t="n">
        <x:v>584</x:v>
      </x:c>
      <x:c r="B481" s="14" t="n">
        <x:v>476</x:v>
      </x:c>
      <x:c r="C481" s="14" t="n">
        <x:v>574</x:v>
      </x:c>
      <x:c r="D481" s="14" t="n">
        <x:v>43858</x:v>
      </x:c>
      <x:c r="E481" s="14" t="n">
        <x:v>588</x:v>
      </x:c>
      <x:c r="F481" s="14" t="n">
        <x:v>51027</x:v>
      </x:c>
      <x:c r="G481" s="14" t="n">
        <x:v>48978</x:v>
      </x:c>
      <x:c r="H481" s="14" t="n">
        <x:f>INT((F481-D481)*(A481-C481)/(E481-C481))+D481</x:f>
        <x:v>48978</x:v>
      </x:c>
      <x:c r="I481" s="68" t="n">
        <x:f>H481-G481</x:f>
        <x:v>0</x:v>
      </x:c>
      <x:c r="J481" s="14" t="n">
        <x:v>318860</x:v>
      </x:c>
      <x:c r="K481" s="14" t="n">
        <x:f>INT(H481*'공식·설정'!$B$10/'공식·설정'!$B$15)</x:f>
        <x:v>318860</x:v>
      </x:c>
      <x:c r="L481" s="68" t="n">
        <x:f>K481-J481</x:f>
        <x:v>0</x:v>
      </x:c>
      <x:c r="M481" s="65" t="n">
        <x:f>J481/'공식·설정'!$B$7</x:f>
        <x:v>1245.546875</x:v>
      </x:c>
      <x:c r="N481" s="65" t="n">
        <x:f>K481/'공식·설정'!$B$7</x:f>
        <x:v>1245.546875</x:v>
      </x:c>
      <x:c r="O481" s="14" t="n">
        <x:v>125</x:v>
      </x:c>
      <x:c r="P481" s="14" t="n">
        <x:f>MIN(32767,MAX(0,INT((K481+INT('공식·설정'!$B$12/2))/'공식·설정'!$B$12)))</x:f>
        <x:v>125</x:v>
      </x:c>
      <x:c r="Q481" s="68" t="n">
        <x:f>P481-O481</x:f>
        <x:v>0</x:v>
      </x:c>
      <x:c r="R481" s="14" t="n">
        <x:v>328448</x:v>
      </x:c>
      <x:c r="S481" s="14" t="n">
        <x:f>P481*'공식·설정'!$B$12+'공식·설정'!$B$14</x:f>
        <x:v>328448</x:v>
      </x:c>
      <x:c r="T481" s="68" t="n">
        <x:f>S481-R481</x:f>
        <x:v>0</x:v>
      </x:c>
      <x:c r="U481" s="65" t="n">
        <x:f>R481/'공식·설정'!$B$7</x:f>
        <x:v>1283</x:v>
      </x:c>
      <x:c r="V481" s="65" t="n">
        <x:f>S481/'공식·설정'!$B$7</x:f>
        <x:v>1283</x:v>
      </x:c>
      <x:c r="W481" s="14" t="n">
        <x:v>685</x:v>
      </x:c>
      <x:c r="X481" s="14" t="n">
        <x:f>INT(ABS(K482-K481)*'공식·설정'!$B$8/K481)</x:f>
        <x:v>685</x:v>
      </x:c>
      <x:c r="Y481" s="68" t="n">
        <x:f>X481-W481</x:f>
        <x:v>0</x:v>
      </x:c>
      <x:c r="Z481" s="66" t="n">
        <x:f>W481/'공식·설정'!$B$8</x:f>
        <x:v>0.0104522705078125</x:v>
      </x:c>
      <x:c r="AA481" s="66" t="n">
        <x:f>X481/'공식·설정'!$B$8</x:f>
        <x:v>0.0104522705078125</x:v>
      </x:c>
      <x:c r="AB481" s="67" t="str">
        <x:f>IF(AND(I481=0,L481=0,Q481=0,T481=0,Y481=0),"PASS","FAIL")</x:f>
        <x:v>PASS</x:v>
      </x:c>
    </x:row>
    <x:row r="482" ht="18" customHeight="1">
      <x:c r="A482" s="14" t="n">
        <x:v>585</x:v>
      </x:c>
      <x:c r="B482" s="14" t="n">
        <x:v>477</x:v>
      </x:c>
      <x:c r="C482" s="14" t="n">
        <x:v>574</x:v>
      </x:c>
      <x:c r="D482" s="14" t="n">
        <x:v>43858</x:v>
      </x:c>
      <x:c r="E482" s="14" t="n">
        <x:v>588</x:v>
      </x:c>
      <x:c r="F482" s="14" t="n">
        <x:v>51027</x:v>
      </x:c>
      <x:c r="G482" s="14" t="n">
        <x:v>49490</x:v>
      </x:c>
      <x:c r="H482" s="14" t="n">
        <x:f>INT((F482-D482)*(A482-C482)/(E482-C482))+D482</x:f>
        <x:v>49490</x:v>
      </x:c>
      <x:c r="I482" s="68" t="n">
        <x:f>H482-G482</x:f>
        <x:v>0</x:v>
      </x:c>
      <x:c r="J482" s="14" t="n">
        <x:v>322193</x:v>
      </x:c>
      <x:c r="K482" s="14" t="n">
        <x:f>INT(H482*'공식·설정'!$B$10/'공식·설정'!$B$15)</x:f>
        <x:v>322193</x:v>
      </x:c>
      <x:c r="L482" s="68" t="n">
        <x:f>K482-J482</x:f>
        <x:v>0</x:v>
      </x:c>
      <x:c r="M482" s="65" t="n">
        <x:f>J482/'공식·설정'!$B$7</x:f>
        <x:v>1258.56640625</x:v>
      </x:c>
      <x:c r="N482" s="65" t="n">
        <x:f>K482/'공식·설정'!$B$7</x:f>
        <x:v>1258.56640625</x:v>
      </x:c>
      <x:c r="O482" s="14" t="n">
        <x:v>126</x:v>
      </x:c>
      <x:c r="P482" s="14" t="n">
        <x:f>MIN(32767,MAX(0,INT((K482+INT('공식·설정'!$B$12/2))/'공식·설정'!$B$12)))</x:f>
        <x:v>126</x:v>
      </x:c>
      <x:c r="Q482" s="68" t="n">
        <x:f>P482-O482</x:f>
        <x:v>0</x:v>
      </x:c>
      <x:c r="R482" s="14" t="n">
        <x:v>331008</x:v>
      </x:c>
      <x:c r="S482" s="14" t="n">
        <x:f>P482*'공식·설정'!$B$12+'공식·설정'!$B$14</x:f>
        <x:v>331008</x:v>
      </x:c>
      <x:c r="T482" s="68" t="n">
        <x:f>S482-R482</x:f>
        <x:v>0</x:v>
      </x:c>
      <x:c r="U482" s="65" t="n">
        <x:f>R482/'공식·설정'!$B$7</x:f>
        <x:v>1293</x:v>
      </x:c>
      <x:c r="V482" s="65" t="n">
        <x:f>S482/'공식·설정'!$B$7</x:f>
        <x:v>1293</x:v>
      </x:c>
      <x:c r="W482" s="14" t="n">
        <x:v>678</x:v>
      </x:c>
      <x:c r="X482" s="14" t="n">
        <x:f>INT(ABS(K483-K482)*'공식·설정'!$B$8/K482)</x:f>
        <x:v>678</x:v>
      </x:c>
      <x:c r="Y482" s="68" t="n">
        <x:f>X482-W482</x:f>
        <x:v>0</x:v>
      </x:c>
      <x:c r="Z482" s="66" t="n">
        <x:f>W482/'공식·설정'!$B$8</x:f>
        <x:v>0.010345458984375</x:v>
      </x:c>
      <x:c r="AA482" s="66" t="n">
        <x:f>X482/'공식·설정'!$B$8</x:f>
        <x:v>0.010345458984375</x:v>
      </x:c>
      <x:c r="AB482" s="67" t="str">
        <x:f>IF(AND(I482=0,L482=0,Q482=0,T482=0,Y482=0),"PASS","FAIL")</x:f>
        <x:v>PASS</x:v>
      </x:c>
    </x:row>
    <x:row r="483" ht="18" customHeight="1">
      <x:c r="A483" s="14" t="n">
        <x:v>586</x:v>
      </x:c>
      <x:c r="B483" s="14" t="n">
        <x:v>478</x:v>
      </x:c>
      <x:c r="C483" s="14" t="n">
        <x:v>574</x:v>
      </x:c>
      <x:c r="D483" s="14" t="n">
        <x:v>43858</x:v>
      </x:c>
      <x:c r="E483" s="14" t="n">
        <x:v>588</x:v>
      </x:c>
      <x:c r="F483" s="14" t="n">
        <x:v>51027</x:v>
      </x:c>
      <x:c r="G483" s="14" t="n">
        <x:v>50002</x:v>
      </x:c>
      <x:c r="H483" s="14" t="n">
        <x:f>INT((F483-D483)*(A483-C483)/(E483-C483))+D483</x:f>
        <x:v>50002</x:v>
      </x:c>
      <x:c r="I483" s="68" t="n">
        <x:f>H483-G483</x:f>
        <x:v>0</x:v>
      </x:c>
      <x:c r="J483" s="14" t="n">
        <x:v>325527</x:v>
      </x:c>
      <x:c r="K483" s="14" t="n">
        <x:f>INT(H483*'공식·설정'!$B$10/'공식·설정'!$B$15)</x:f>
        <x:v>325527</x:v>
      </x:c>
      <x:c r="L483" s="68" t="n">
        <x:f>K483-J483</x:f>
        <x:v>0</x:v>
      </x:c>
      <x:c r="M483" s="65" t="n">
        <x:f>J483/'공식·설정'!$B$7</x:f>
        <x:v>1271.58984375</x:v>
      </x:c>
      <x:c r="N483" s="65" t="n">
        <x:f>K483/'공식·설정'!$B$7</x:f>
        <x:v>1271.58984375</x:v>
      </x:c>
      <x:c r="O483" s="14" t="n">
        <x:v>127</x:v>
      </x:c>
      <x:c r="P483" s="14" t="n">
        <x:f>MIN(32767,MAX(0,INT((K483+INT('공식·설정'!$B$12/2))/'공식·설정'!$B$12)))</x:f>
        <x:v>127</x:v>
      </x:c>
      <x:c r="Q483" s="68" t="n">
        <x:f>P483-O483</x:f>
        <x:v>0</x:v>
      </x:c>
      <x:c r="R483" s="14" t="n">
        <x:v>333568</x:v>
      </x:c>
      <x:c r="S483" s="14" t="n">
        <x:f>P483*'공식·설정'!$B$12+'공식·설정'!$B$14</x:f>
        <x:v>333568</x:v>
      </x:c>
      <x:c r="T483" s="68" t="n">
        <x:f>S483-R483</x:f>
        <x:v>0</x:v>
      </x:c>
      <x:c r="U483" s="65" t="n">
        <x:f>R483/'공식·설정'!$B$7</x:f>
        <x:v>1303</x:v>
      </x:c>
      <x:c r="V483" s="65" t="n">
        <x:f>S483/'공식·설정'!$B$7</x:f>
        <x:v>1303</x:v>
      </x:c>
      <x:c r="W483" s="14" t="n">
        <x:v>671</x:v>
      </x:c>
      <x:c r="X483" s="14" t="n">
        <x:f>INT(ABS(K484-K483)*'공식·설정'!$B$8/K483)</x:f>
        <x:v>671</x:v>
      </x:c>
      <x:c r="Y483" s="68" t="n">
        <x:f>X483-W483</x:f>
        <x:v>0</x:v>
      </x:c>
      <x:c r="Z483" s="66" t="n">
        <x:f>W483/'공식·설정'!$B$8</x:f>
        <x:v>0.0102386474609375</x:v>
      </x:c>
      <x:c r="AA483" s="66" t="n">
        <x:f>X483/'공식·설정'!$B$8</x:f>
        <x:v>0.0102386474609375</x:v>
      </x:c>
      <x:c r="AB483" s="67" t="str">
        <x:f>IF(AND(I483=0,L483=0,Q483=0,T483=0,Y483=0),"PASS","FAIL")</x:f>
        <x:v>PASS</x:v>
      </x:c>
    </x:row>
    <x:row r="484" ht="18" customHeight="1">
      <x:c r="A484" s="14" t="n">
        <x:v>587</x:v>
      </x:c>
      <x:c r="B484" s="14" t="n">
        <x:v>479</x:v>
      </x:c>
      <x:c r="C484" s="14" t="n">
        <x:v>574</x:v>
      </x:c>
      <x:c r="D484" s="14" t="n">
        <x:v>43858</x:v>
      </x:c>
      <x:c r="E484" s="14" t="n">
        <x:v>588</x:v>
      </x:c>
      <x:c r="F484" s="14" t="n">
        <x:v>51027</x:v>
      </x:c>
      <x:c r="G484" s="14" t="n">
        <x:v>50514</x:v>
      </x:c>
      <x:c r="H484" s="14" t="n">
        <x:f>INT((F484-D484)*(A484-C484)/(E484-C484))+D484</x:f>
        <x:v>50514</x:v>
      </x:c>
      <x:c r="I484" s="68" t="n">
        <x:f>H484-G484</x:f>
        <x:v>0</x:v>
      </x:c>
      <x:c r="J484" s="14" t="n">
        <x:v>328860</x:v>
      </x:c>
      <x:c r="K484" s="14" t="n">
        <x:f>INT(H484*'공식·설정'!$B$10/'공식·설정'!$B$15)</x:f>
        <x:v>328860</x:v>
      </x:c>
      <x:c r="L484" s="68" t="n">
        <x:f>K484-J484</x:f>
        <x:v>0</x:v>
      </x:c>
      <x:c r="M484" s="65" t="n">
        <x:f>J484/'공식·설정'!$B$7</x:f>
        <x:v>1284.609375</x:v>
      </x:c>
      <x:c r="N484" s="65" t="n">
        <x:f>K484/'공식·설정'!$B$7</x:f>
        <x:v>1284.609375</x:v>
      </x:c>
      <x:c r="O484" s="14" t="n">
        <x:v>128</x:v>
      </x:c>
      <x:c r="P484" s="14" t="n">
        <x:f>MIN(32767,MAX(0,INT((K484+INT('공식·설정'!$B$12/2))/'공식·설정'!$B$12)))</x:f>
        <x:v>128</x:v>
      </x:c>
      <x:c r="Q484" s="68" t="n">
        <x:f>P484-O484</x:f>
        <x:v>0</x:v>
      </x:c>
      <x:c r="R484" s="14" t="n">
        <x:v>336128</x:v>
      </x:c>
      <x:c r="S484" s="14" t="n">
        <x:f>P484*'공식·설정'!$B$12+'공식·설정'!$B$14</x:f>
        <x:v>336128</x:v>
      </x:c>
      <x:c r="T484" s="68" t="n">
        <x:f>S484-R484</x:f>
        <x:v>0</x:v>
      </x:c>
      <x:c r="U484" s="65" t="n">
        <x:f>R484/'공식·설정'!$B$7</x:f>
        <x:v>1313</x:v>
      </x:c>
      <x:c r="V484" s="65" t="n">
        <x:f>S484/'공식·설정'!$B$7</x:f>
        <x:v>1313</x:v>
      </x:c>
      <x:c r="W484" s="14" t="n">
        <x:v>665</x:v>
      </x:c>
      <x:c r="X484" s="14" t="n">
        <x:f>INT(ABS(K485-K484)*'공식·설정'!$B$8/K484)</x:f>
        <x:v>665</x:v>
      </x:c>
      <x:c r="Y484" s="68" t="n">
        <x:f>X484-W484</x:f>
        <x:v>0</x:v>
      </x:c>
      <x:c r="Z484" s="66" t="n">
        <x:f>W484/'공식·설정'!$B$8</x:f>
        <x:v>0.0101470947265625</x:v>
      </x:c>
      <x:c r="AA484" s="66" t="n">
        <x:f>X484/'공식·설정'!$B$8</x:f>
        <x:v>0.0101470947265625</x:v>
      </x:c>
      <x:c r="AB484" s="67" t="str">
        <x:f>IF(AND(I484=0,L484=0,Q484=0,T484=0,Y484=0),"PASS","FAIL")</x:f>
        <x:v>PASS</x:v>
      </x:c>
    </x:row>
    <x:row r="485" ht="18" customHeight="1">
      <x:c r="A485" s="14" t="n">
        <x:v>588</x:v>
      </x:c>
      <x:c r="B485" s="14" t="n">
        <x:v>480</x:v>
      </x:c>
      <x:c r="C485" s="14" t="n">
        <x:v>588</x:v>
      </x:c>
      <x:c r="D485" s="14" t="n">
        <x:v>51027</x:v>
      </x:c>
      <x:c r="E485" s="14" t="n">
        <x:v>602</x:v>
      </x:c>
      <x:c r="F485" s="14" t="n">
        <x:v>59365</x:v>
      </x:c>
      <x:c r="G485" s="14" t="n">
        <x:v>51027</x:v>
      </x:c>
      <x:c r="H485" s="14" t="n">
        <x:f>INT((F485-D485)*(A485-C485)/(E485-C485))+D485</x:f>
        <x:v>51027</x:v>
      </x:c>
      <x:c r="I485" s="68" t="n">
        <x:f>H485-G485</x:f>
        <x:v>0</x:v>
      </x:c>
      <x:c r="J485" s="14" t="n">
        <x:v>332200</x:v>
      </x:c>
      <x:c r="K485" s="14" t="n">
        <x:f>INT(H485*'공식·설정'!$B$10/'공식·설정'!$B$15)</x:f>
        <x:v>332200</x:v>
      </x:c>
      <x:c r="L485" s="68" t="n">
        <x:f>K485-J485</x:f>
        <x:v>0</x:v>
      </x:c>
      <x:c r="M485" s="65" t="n">
        <x:f>J485/'공식·설정'!$B$7</x:f>
        <x:v>1297.65625</x:v>
      </x:c>
      <x:c r="N485" s="65" t="n">
        <x:f>K485/'공식·설정'!$B$7</x:f>
        <x:v>1297.65625</x:v>
      </x:c>
      <x:c r="O485" s="14" t="n">
        <x:v>130</x:v>
      </x:c>
      <x:c r="P485" s="14" t="n">
        <x:f>MIN(32767,MAX(0,INT((K485+INT('공식·설정'!$B$12/2))/'공식·설정'!$B$12)))</x:f>
        <x:v>130</x:v>
      </x:c>
      <x:c r="Q485" s="68" t="n">
        <x:f>P485-O485</x:f>
        <x:v>0</x:v>
      </x:c>
      <x:c r="R485" s="14" t="n">
        <x:v>341248</x:v>
      </x:c>
      <x:c r="S485" s="14" t="n">
        <x:f>P485*'공식·설정'!$B$12+'공식·설정'!$B$14</x:f>
        <x:v>341248</x:v>
      </x:c>
      <x:c r="T485" s="68" t="n">
        <x:f>S485-R485</x:f>
        <x:v>0</x:v>
      </x:c>
      <x:c r="U485" s="65" t="n">
        <x:f>R485/'공식·설정'!$B$7</x:f>
        <x:v>1333</x:v>
      </x:c>
      <x:c r="V485" s="65" t="n">
        <x:f>S485/'공식·설정'!$B$7</x:f>
        <x:v>1333</x:v>
      </x:c>
      <x:c r="W485" s="14" t="n">
        <x:v>764</x:v>
      </x:c>
      <x:c r="X485" s="14" t="n">
        <x:f>INT(ABS(K486-K485)*'공식·설정'!$B$8/K485)</x:f>
        <x:v>764</x:v>
      </x:c>
      <x:c r="Y485" s="68" t="n">
        <x:f>X485-W485</x:f>
        <x:v>0</x:v>
      </x:c>
      <x:c r="Z485" s="66" t="n">
        <x:f>W485/'공식·설정'!$B$8</x:f>
        <x:v>0.01165771484375</x:v>
      </x:c>
      <x:c r="AA485" s="66" t="n">
        <x:f>X485/'공식·설정'!$B$8</x:f>
        <x:v>0.01165771484375</x:v>
      </x:c>
      <x:c r="AB485" s="67" t="str">
        <x:f>IF(AND(I485=0,L485=0,Q485=0,T485=0,Y485=0),"PASS","FAIL")</x:f>
        <x:v>PASS</x:v>
      </x:c>
    </x:row>
    <x:row r="486" ht="18" customHeight="1">
      <x:c r="A486" s="14" t="n">
        <x:v>589</x:v>
      </x:c>
      <x:c r="B486" s="14" t="n">
        <x:v>481</x:v>
      </x:c>
      <x:c r="C486" s="14" t="n">
        <x:v>588</x:v>
      </x:c>
      <x:c r="D486" s="14" t="n">
        <x:v>51027</x:v>
      </x:c>
      <x:c r="E486" s="14" t="n">
        <x:v>602</x:v>
      </x:c>
      <x:c r="F486" s="14" t="n">
        <x:v>59365</x:v>
      </x:c>
      <x:c r="G486" s="14" t="n">
        <x:v>51622</x:v>
      </x:c>
      <x:c r="H486" s="14" t="n">
        <x:f>INT((F486-D486)*(A486-C486)/(E486-C486))+D486</x:f>
        <x:v>51622</x:v>
      </x:c>
      <x:c r="I486" s="68" t="n">
        <x:f>H486-G486</x:f>
        <x:v>0</x:v>
      </x:c>
      <x:c r="J486" s="14" t="n">
        <x:v>336073</x:v>
      </x:c>
      <x:c r="K486" s="14" t="n">
        <x:f>INT(H486*'공식·설정'!$B$10/'공식·설정'!$B$15)</x:f>
        <x:v>336073</x:v>
      </x:c>
      <x:c r="L486" s="68" t="n">
        <x:f>K486-J486</x:f>
        <x:v>0</x:v>
      </x:c>
      <x:c r="M486" s="65" t="n">
        <x:f>J486/'공식·설정'!$B$7</x:f>
        <x:v>1312.78515625</x:v>
      </x:c>
      <x:c r="N486" s="65" t="n">
        <x:f>K486/'공식·설정'!$B$7</x:f>
        <x:v>1312.78515625</x:v>
      </x:c>
      <x:c r="O486" s="14" t="n">
        <x:v>131</x:v>
      </x:c>
      <x:c r="P486" s="14" t="n">
        <x:f>MIN(32767,MAX(0,INT((K486+INT('공식·설정'!$B$12/2))/'공식·설정'!$B$12)))</x:f>
        <x:v>131</x:v>
      </x:c>
      <x:c r="Q486" s="68" t="n">
        <x:f>P486-O486</x:f>
        <x:v>0</x:v>
      </x:c>
      <x:c r="R486" s="14" t="n">
        <x:v>343808</x:v>
      </x:c>
      <x:c r="S486" s="14" t="n">
        <x:f>P486*'공식·설정'!$B$12+'공식·설정'!$B$14</x:f>
        <x:v>343808</x:v>
      </x:c>
      <x:c r="T486" s="68" t="n">
        <x:f>S486-R486</x:f>
        <x:v>0</x:v>
      </x:c>
      <x:c r="U486" s="65" t="n">
        <x:f>R486/'공식·설정'!$B$7</x:f>
        <x:v>1343</x:v>
      </x:c>
      <x:c r="V486" s="65" t="n">
        <x:f>S486/'공식·설정'!$B$7</x:f>
        <x:v>1343</x:v>
      </x:c>
      <x:c r="W486" s="14" t="n">
        <x:v>756</x:v>
      </x:c>
      <x:c r="X486" s="14" t="n">
        <x:f>INT(ABS(K487-K486)*'공식·설정'!$B$8/K486)</x:f>
        <x:v>756</x:v>
      </x:c>
      <x:c r="Y486" s="68" t="n">
        <x:f>X486-W486</x:f>
        <x:v>0</x:v>
      </x:c>
      <x:c r="Z486" s="66" t="n">
        <x:f>W486/'공식·설정'!$B$8</x:f>
        <x:v>0.01153564453125</x:v>
      </x:c>
      <x:c r="AA486" s="66" t="n">
        <x:f>X486/'공식·설정'!$B$8</x:f>
        <x:v>0.01153564453125</x:v>
      </x:c>
      <x:c r="AB486" s="67" t="str">
        <x:f>IF(AND(I486=0,L486=0,Q486=0,T486=0,Y486=0),"PASS","FAIL")</x:f>
        <x:v>PASS</x:v>
      </x:c>
    </x:row>
    <x:row r="487" ht="18" customHeight="1">
      <x:c r="A487" s="14" t="n">
        <x:v>590</x:v>
      </x:c>
      <x:c r="B487" s="14" t="n">
        <x:v>482</x:v>
      </x:c>
      <x:c r="C487" s="14" t="n">
        <x:v>588</x:v>
      </x:c>
      <x:c r="D487" s="14" t="n">
        <x:v>51027</x:v>
      </x:c>
      <x:c r="E487" s="14" t="n">
        <x:v>602</x:v>
      </x:c>
      <x:c r="F487" s="14" t="n">
        <x:v>59365</x:v>
      </x:c>
      <x:c r="G487" s="14" t="n">
        <x:v>52218</x:v>
      </x:c>
      <x:c r="H487" s="14" t="n">
        <x:f>INT((F487-D487)*(A487-C487)/(E487-C487))+D487</x:f>
        <x:v>52218</x:v>
      </x:c>
      <x:c r="I487" s="68" t="n">
        <x:f>H487-G487</x:f>
        <x:v>0</x:v>
      </x:c>
      <x:c r="J487" s="14" t="n">
        <x:v>339953</x:v>
      </x:c>
      <x:c r="K487" s="14" t="n">
        <x:f>INT(H487*'공식·설정'!$B$10/'공식·설정'!$B$15)</x:f>
        <x:v>339953</x:v>
      </x:c>
      <x:c r="L487" s="68" t="n">
        <x:f>K487-J487</x:f>
        <x:v>0</x:v>
      </x:c>
      <x:c r="M487" s="65" t="n">
        <x:f>J487/'공식·설정'!$B$7</x:f>
        <x:v>1327.94140625</x:v>
      </x:c>
      <x:c r="N487" s="65" t="n">
        <x:f>K487/'공식·설정'!$B$7</x:f>
        <x:v>1327.94140625</x:v>
      </x:c>
      <x:c r="O487" s="14" t="n">
        <x:v>133</x:v>
      </x:c>
      <x:c r="P487" s="14" t="n">
        <x:f>MIN(32767,MAX(0,INT((K487+INT('공식·설정'!$B$12/2))/'공식·설정'!$B$12)))</x:f>
        <x:v>133</x:v>
      </x:c>
      <x:c r="Q487" s="68" t="n">
        <x:f>P487-O487</x:f>
        <x:v>0</x:v>
      </x:c>
      <x:c r="R487" s="14" t="n">
        <x:v>348928</x:v>
      </x:c>
      <x:c r="S487" s="14" t="n">
        <x:f>P487*'공식·설정'!$B$12+'공식·설정'!$B$14</x:f>
        <x:v>348928</x:v>
      </x:c>
      <x:c r="T487" s="68" t="n">
        <x:f>S487-R487</x:f>
        <x:v>0</x:v>
      </x:c>
      <x:c r="U487" s="65" t="n">
        <x:f>R487/'공식·설정'!$B$7</x:f>
        <x:v>1363</x:v>
      </x:c>
      <x:c r="V487" s="65" t="n">
        <x:f>S487/'공식·설정'!$B$7</x:f>
        <x:v>1363</x:v>
      </x:c>
      <x:c r="W487" s="14" t="n">
        <x:v>746</x:v>
      </x:c>
      <x:c r="X487" s="14" t="n">
        <x:f>INT(ABS(K488-K487)*'공식·설정'!$B$8/K487)</x:f>
        <x:v>746</x:v>
      </x:c>
      <x:c r="Y487" s="68" t="n">
        <x:f>X487-W487</x:f>
        <x:v>0</x:v>
      </x:c>
      <x:c r="Z487" s="66" t="n">
        <x:f>W487/'공식·설정'!$B$8</x:f>
        <x:v>0.011383056640625</x:v>
      </x:c>
      <x:c r="AA487" s="66" t="n">
        <x:f>X487/'공식·설정'!$B$8</x:f>
        <x:v>0.011383056640625</x:v>
      </x:c>
      <x:c r="AB487" s="67" t="str">
        <x:f>IF(AND(I487=0,L487=0,Q487=0,T487=0,Y487=0),"PASS","FAIL")</x:f>
        <x:v>PASS</x:v>
      </x:c>
    </x:row>
    <x:row r="488" ht="18" customHeight="1">
      <x:c r="A488" s="14" t="n">
        <x:v>591</x:v>
      </x:c>
      <x:c r="B488" s="14" t="n">
        <x:v>483</x:v>
      </x:c>
      <x:c r="C488" s="14" t="n">
        <x:v>588</x:v>
      </x:c>
      <x:c r="D488" s="14" t="n">
        <x:v>51027</x:v>
      </x:c>
      <x:c r="E488" s="14" t="n">
        <x:v>602</x:v>
      </x:c>
      <x:c r="F488" s="14" t="n">
        <x:v>59365</x:v>
      </x:c>
      <x:c r="G488" s="14" t="n">
        <x:v>52813</x:v>
      </x:c>
      <x:c r="H488" s="14" t="n">
        <x:f>INT((F488-D488)*(A488-C488)/(E488-C488))+D488</x:f>
        <x:v>52813</x:v>
      </x:c>
      <x:c r="I488" s="68" t="n">
        <x:f>H488-G488</x:f>
        <x:v>0</x:v>
      </x:c>
      <x:c r="J488" s="14" t="n">
        <x:v>343827</x:v>
      </x:c>
      <x:c r="K488" s="14" t="n">
        <x:f>INT(H488*'공식·설정'!$B$10/'공식·설정'!$B$15)</x:f>
        <x:v>343827</x:v>
      </x:c>
      <x:c r="L488" s="68" t="n">
        <x:f>K488-J488</x:f>
        <x:v>0</x:v>
      </x:c>
      <x:c r="M488" s="65" t="n">
        <x:f>J488/'공식·설정'!$B$7</x:f>
        <x:v>1343.07421875</x:v>
      </x:c>
      <x:c r="N488" s="65" t="n">
        <x:f>K488/'공식·설정'!$B$7</x:f>
        <x:v>1343.07421875</x:v>
      </x:c>
      <x:c r="O488" s="14" t="n">
        <x:v>134</x:v>
      </x:c>
      <x:c r="P488" s="14" t="n">
        <x:f>MIN(32767,MAX(0,INT((K488+INT('공식·설정'!$B$12/2))/'공식·설정'!$B$12)))</x:f>
        <x:v>134</x:v>
      </x:c>
      <x:c r="Q488" s="68" t="n">
        <x:f>P488-O488</x:f>
        <x:v>0</x:v>
      </x:c>
      <x:c r="R488" s="14" t="n">
        <x:v>351488</x:v>
      </x:c>
      <x:c r="S488" s="14" t="n">
        <x:f>P488*'공식·설정'!$B$12+'공식·설정'!$B$14</x:f>
        <x:v>351488</x:v>
      </x:c>
      <x:c r="T488" s="68" t="n">
        <x:f>S488-R488</x:f>
        <x:v>0</x:v>
      </x:c>
      <x:c r="U488" s="65" t="n">
        <x:f>R488/'공식·설정'!$B$7</x:f>
        <x:v>1373</x:v>
      </x:c>
      <x:c r="V488" s="65" t="n">
        <x:f>S488/'공식·설정'!$B$7</x:f>
        <x:v>1373</x:v>
      </x:c>
      <x:c r="W488" s="14" t="n">
        <x:v>739</x:v>
      </x:c>
      <x:c r="X488" s="14" t="n">
        <x:f>INT(ABS(K489-K488)*'공식·설정'!$B$8/K488)</x:f>
        <x:v>739</x:v>
      </x:c>
      <x:c r="Y488" s="68" t="n">
        <x:f>X488-W488</x:f>
        <x:v>0</x:v>
      </x:c>
      <x:c r="Z488" s="66" t="n">
        <x:f>W488/'공식·설정'!$B$8</x:f>
        <x:v>0.0112762451171875</x:v>
      </x:c>
      <x:c r="AA488" s="66" t="n">
        <x:f>X488/'공식·설정'!$B$8</x:f>
        <x:v>0.0112762451171875</x:v>
      </x:c>
      <x:c r="AB488" s="67" t="str">
        <x:f>IF(AND(I488=0,L488=0,Q488=0,T488=0,Y488=0),"PASS","FAIL")</x:f>
        <x:v>PASS</x:v>
      </x:c>
    </x:row>
    <x:row r="489" ht="18" customHeight="1">
      <x:c r="A489" s="14" t="n">
        <x:v>592</x:v>
      </x:c>
      <x:c r="B489" s="14" t="n">
        <x:v>484</x:v>
      </x:c>
      <x:c r="C489" s="14" t="n">
        <x:v>588</x:v>
      </x:c>
      <x:c r="D489" s="14" t="n">
        <x:v>51027</x:v>
      </x:c>
      <x:c r="E489" s="14" t="n">
        <x:v>602</x:v>
      </x:c>
      <x:c r="F489" s="14" t="n">
        <x:v>59365</x:v>
      </x:c>
      <x:c r="G489" s="14" t="n">
        <x:v>53409</x:v>
      </x:c>
      <x:c r="H489" s="14" t="n">
        <x:f>INT((F489-D489)*(A489-C489)/(E489-C489))+D489</x:f>
        <x:v>53409</x:v>
      </x:c>
      <x:c r="I489" s="68" t="n">
        <x:f>H489-G489</x:f>
        <x:v>0</x:v>
      </x:c>
      <x:c r="J489" s="14" t="n">
        <x:v>347707</x:v>
      </x:c>
      <x:c r="K489" s="14" t="n">
        <x:f>INT(H489*'공식·설정'!$B$10/'공식·설정'!$B$15)</x:f>
        <x:v>347707</x:v>
      </x:c>
      <x:c r="L489" s="68" t="n">
        <x:f>K489-J489</x:f>
        <x:v>0</x:v>
      </x:c>
      <x:c r="M489" s="65" t="n">
        <x:f>J489/'공식·설정'!$B$7</x:f>
        <x:v>1358.23046875</x:v>
      </x:c>
      <x:c r="N489" s="65" t="n">
        <x:f>K489/'공식·설정'!$B$7</x:f>
        <x:v>1358.23046875</x:v>
      </x:c>
      <x:c r="O489" s="14" t="n">
        <x:v>136</x:v>
      </x:c>
      <x:c r="P489" s="14" t="n">
        <x:f>MIN(32767,MAX(0,INT((K489+INT('공식·설정'!$B$12/2))/'공식·설정'!$B$12)))</x:f>
        <x:v>136</x:v>
      </x:c>
      <x:c r="Q489" s="68" t="n">
        <x:f>P489-O489</x:f>
        <x:v>0</x:v>
      </x:c>
      <x:c r="R489" s="14" t="n">
        <x:v>356608</x:v>
      </x:c>
      <x:c r="S489" s="14" t="n">
        <x:f>P489*'공식·설정'!$B$12+'공식·설정'!$B$14</x:f>
        <x:v>356608</x:v>
      </x:c>
      <x:c r="T489" s="68" t="n">
        <x:f>S489-R489</x:f>
        <x:v>0</x:v>
      </x:c>
      <x:c r="U489" s="65" t="n">
        <x:f>R489/'공식·설정'!$B$7</x:f>
        <x:v>1393</x:v>
      </x:c>
      <x:c r="V489" s="65" t="n">
        <x:f>S489/'공식·설정'!$B$7</x:f>
        <x:v>1393</x:v>
      </x:c>
      <x:c r="W489" s="14" t="n">
        <x:v>730</x:v>
      </x:c>
      <x:c r="X489" s="14" t="n">
        <x:f>INT(ABS(K490-K489)*'공식·설정'!$B$8/K489)</x:f>
        <x:v>730</x:v>
      </x:c>
      <x:c r="Y489" s="68" t="n">
        <x:f>X489-W489</x:f>
        <x:v>0</x:v>
      </x:c>
      <x:c r="Z489" s="66" t="n">
        <x:f>W489/'공식·설정'!$B$8</x:f>
        <x:v>0.011138916015625</x:v>
      </x:c>
      <x:c r="AA489" s="66" t="n">
        <x:f>X489/'공식·설정'!$B$8</x:f>
        <x:v>0.011138916015625</x:v>
      </x:c>
      <x:c r="AB489" s="67" t="str">
        <x:f>IF(AND(I489=0,L489=0,Q489=0,T489=0,Y489=0),"PASS","FAIL")</x:f>
        <x:v>PASS</x:v>
      </x:c>
    </x:row>
    <x:row r="490" ht="18" customHeight="1">
      <x:c r="A490" s="14" t="n">
        <x:v>593</x:v>
      </x:c>
      <x:c r="B490" s="14" t="n">
        <x:v>485</x:v>
      </x:c>
      <x:c r="C490" s="14" t="n">
        <x:v>588</x:v>
      </x:c>
      <x:c r="D490" s="14" t="n">
        <x:v>51027</x:v>
      </x:c>
      <x:c r="E490" s="14" t="n">
        <x:v>602</x:v>
      </x:c>
      <x:c r="F490" s="14" t="n">
        <x:v>59365</x:v>
      </x:c>
      <x:c r="G490" s="14" t="n">
        <x:v>54004</x:v>
      </x:c>
      <x:c r="H490" s="14" t="n">
        <x:f>INT((F490-D490)*(A490-C490)/(E490-C490))+D490</x:f>
        <x:v>54004</x:v>
      </x:c>
      <x:c r="I490" s="68" t="n">
        <x:f>H490-G490</x:f>
        <x:v>0</x:v>
      </x:c>
      <x:c r="J490" s="14" t="n">
        <x:v>351581</x:v>
      </x:c>
      <x:c r="K490" s="14" t="n">
        <x:f>INT(H490*'공식·설정'!$B$10/'공식·설정'!$B$15)</x:f>
        <x:v>351581</x:v>
      </x:c>
      <x:c r="L490" s="68" t="n">
        <x:f>K490-J490</x:f>
        <x:v>0</x:v>
      </x:c>
      <x:c r="M490" s="65" t="n">
        <x:f>J490/'공식·설정'!$B$7</x:f>
        <x:v>1373.36328125</x:v>
      </x:c>
      <x:c r="N490" s="65" t="n">
        <x:f>K490/'공식·설정'!$B$7</x:f>
        <x:v>1373.36328125</x:v>
      </x:c>
      <x:c r="O490" s="14" t="n">
        <x:v>137</x:v>
      </x:c>
      <x:c r="P490" s="14" t="n">
        <x:f>MIN(32767,MAX(0,INT((K490+INT('공식·설정'!$B$12/2))/'공식·설정'!$B$12)))</x:f>
        <x:v>137</x:v>
      </x:c>
      <x:c r="Q490" s="68" t="n">
        <x:f>P490-O490</x:f>
        <x:v>0</x:v>
      </x:c>
      <x:c r="R490" s="14" t="n">
        <x:v>359168</x:v>
      </x:c>
      <x:c r="S490" s="14" t="n">
        <x:f>P490*'공식·설정'!$B$12+'공식·설정'!$B$14</x:f>
        <x:v>359168</x:v>
      </x:c>
      <x:c r="T490" s="68" t="n">
        <x:f>S490-R490</x:f>
        <x:v>0</x:v>
      </x:c>
      <x:c r="U490" s="65" t="n">
        <x:f>R490/'공식·설정'!$B$7</x:f>
        <x:v>1403</x:v>
      </x:c>
      <x:c r="V490" s="65" t="n">
        <x:f>S490/'공식·설정'!$B$7</x:f>
        <x:v>1403</x:v>
      </x:c>
      <x:c r="W490" s="14" t="n">
        <x:v>723</x:v>
      </x:c>
      <x:c r="X490" s="14" t="n">
        <x:f>INT(ABS(K491-K490)*'공식·설정'!$B$8/K490)</x:f>
        <x:v>723</x:v>
      </x:c>
      <x:c r="Y490" s="68" t="n">
        <x:f>X490-W490</x:f>
        <x:v>0</x:v>
      </x:c>
      <x:c r="Z490" s="66" t="n">
        <x:f>W490/'공식·설정'!$B$8</x:f>
        <x:v>0.0110321044921875</x:v>
      </x:c>
      <x:c r="AA490" s="66" t="n">
        <x:f>X490/'공식·설정'!$B$8</x:f>
        <x:v>0.0110321044921875</x:v>
      </x:c>
      <x:c r="AB490" s="67" t="str">
        <x:f>IF(AND(I490=0,L490=0,Q490=0,T490=0,Y490=0),"PASS","FAIL")</x:f>
        <x:v>PASS</x:v>
      </x:c>
    </x:row>
    <x:row r="491" ht="18" customHeight="1">
      <x:c r="A491" s="14" t="n">
        <x:v>594</x:v>
      </x:c>
      <x:c r="B491" s="14" t="n">
        <x:v>486</x:v>
      </x:c>
      <x:c r="C491" s="14" t="n">
        <x:v>588</x:v>
      </x:c>
      <x:c r="D491" s="14" t="n">
        <x:v>51027</x:v>
      </x:c>
      <x:c r="E491" s="14" t="n">
        <x:v>602</x:v>
      </x:c>
      <x:c r="F491" s="14" t="n">
        <x:v>59365</x:v>
      </x:c>
      <x:c r="G491" s="14" t="n">
        <x:v>54600</x:v>
      </x:c>
      <x:c r="H491" s="14" t="n">
        <x:f>INT((F491-D491)*(A491-C491)/(E491-C491))+D491</x:f>
        <x:v>54600</x:v>
      </x:c>
      <x:c r="I491" s="68" t="n">
        <x:f>H491-G491</x:f>
        <x:v>0</x:v>
      </x:c>
      <x:c r="J491" s="14" t="n">
        <x:v>355461</x:v>
      </x:c>
      <x:c r="K491" s="14" t="n">
        <x:f>INT(H491*'공식·설정'!$B$10/'공식·설정'!$B$15)</x:f>
        <x:v>355461</x:v>
      </x:c>
      <x:c r="L491" s="68" t="n">
        <x:f>K491-J491</x:f>
        <x:v>0</x:v>
      </x:c>
      <x:c r="M491" s="65" t="n">
        <x:f>J491/'공식·설정'!$B$7</x:f>
        <x:v>1388.51953125</x:v>
      </x:c>
      <x:c r="N491" s="65" t="n">
        <x:f>K491/'공식·설정'!$B$7</x:f>
        <x:v>1388.51953125</x:v>
      </x:c>
      <x:c r="O491" s="14" t="n">
        <x:v>139</x:v>
      </x:c>
      <x:c r="P491" s="14" t="n">
        <x:f>MIN(32767,MAX(0,INT((K491+INT('공식·설정'!$B$12/2))/'공식·설정'!$B$12)))</x:f>
        <x:v>139</x:v>
      </x:c>
      <x:c r="Q491" s="68" t="n">
        <x:f>P491-O491</x:f>
        <x:v>0</x:v>
      </x:c>
      <x:c r="R491" s="14" t="n">
        <x:v>364288</x:v>
      </x:c>
      <x:c r="S491" s="14" t="n">
        <x:f>P491*'공식·설정'!$B$12+'공식·설정'!$B$14</x:f>
        <x:v>364288</x:v>
      </x:c>
      <x:c r="T491" s="68" t="n">
        <x:f>S491-R491</x:f>
        <x:v>0</x:v>
      </x:c>
      <x:c r="U491" s="65" t="n">
        <x:f>R491/'공식·설정'!$B$7</x:f>
        <x:v>1423</x:v>
      </x:c>
      <x:c r="V491" s="65" t="n">
        <x:f>S491/'공식·설정'!$B$7</x:f>
        <x:v>1423</x:v>
      </x:c>
      <x:c r="W491" s="14" t="n">
        <x:v>715</x:v>
      </x:c>
      <x:c r="X491" s="14" t="n">
        <x:f>INT(ABS(K492-K491)*'공식·설정'!$B$8/K491)</x:f>
        <x:v>715</x:v>
      </x:c>
      <x:c r="Y491" s="68" t="n">
        <x:f>X491-W491</x:f>
        <x:v>0</x:v>
      </x:c>
      <x:c r="Z491" s="66" t="n">
        <x:f>W491/'공식·설정'!$B$8</x:f>
        <x:v>0.0109100341796875</x:v>
      </x:c>
      <x:c r="AA491" s="66" t="n">
        <x:f>X491/'공식·설정'!$B$8</x:f>
        <x:v>0.0109100341796875</x:v>
      </x:c>
      <x:c r="AB491" s="67" t="str">
        <x:f>IF(AND(I491=0,L491=0,Q491=0,T491=0,Y491=0),"PASS","FAIL")</x:f>
        <x:v>PASS</x:v>
      </x:c>
    </x:row>
    <x:row r="492" ht="18" customHeight="1">
      <x:c r="A492" s="14" t="n">
        <x:v>595</x:v>
      </x:c>
      <x:c r="B492" s="14" t="n">
        <x:v>487</x:v>
      </x:c>
      <x:c r="C492" s="14" t="n">
        <x:v>588</x:v>
      </x:c>
      <x:c r="D492" s="14" t="n">
        <x:v>51027</x:v>
      </x:c>
      <x:c r="E492" s="14" t="n">
        <x:v>602</x:v>
      </x:c>
      <x:c r="F492" s="14" t="n">
        <x:v>59365</x:v>
      </x:c>
      <x:c r="G492" s="14" t="n">
        <x:v>55196</x:v>
      </x:c>
      <x:c r="H492" s="14" t="n">
        <x:f>INT((F492-D492)*(A492-C492)/(E492-C492))+D492</x:f>
        <x:v>55196</x:v>
      </x:c>
      <x:c r="I492" s="68" t="n">
        <x:f>H492-G492</x:f>
        <x:v>0</x:v>
      </x:c>
      <x:c r="J492" s="14" t="n">
        <x:v>359341</x:v>
      </x:c>
      <x:c r="K492" s="14" t="n">
        <x:f>INT(H492*'공식·설정'!$B$10/'공식·설정'!$B$15)</x:f>
        <x:v>359341</x:v>
      </x:c>
      <x:c r="L492" s="68" t="n">
        <x:f>K492-J492</x:f>
        <x:v>0</x:v>
      </x:c>
      <x:c r="M492" s="65" t="n">
        <x:f>J492/'공식·설정'!$B$7</x:f>
        <x:v>1403.67578125</x:v>
      </x:c>
      <x:c r="N492" s="65" t="n">
        <x:f>K492/'공식·설정'!$B$7</x:f>
        <x:v>1403.67578125</x:v>
      </x:c>
      <x:c r="O492" s="14" t="n">
        <x:v>140</x:v>
      </x:c>
      <x:c r="P492" s="14" t="n">
        <x:f>MIN(32767,MAX(0,INT((K492+INT('공식·설정'!$B$12/2))/'공식·설정'!$B$12)))</x:f>
        <x:v>140</x:v>
      </x:c>
      <x:c r="Q492" s="68" t="n">
        <x:f>P492-O492</x:f>
        <x:v>0</x:v>
      </x:c>
      <x:c r="R492" s="14" t="n">
        <x:v>366848</x:v>
      </x:c>
      <x:c r="S492" s="14" t="n">
        <x:f>P492*'공식·설정'!$B$12+'공식·설정'!$B$14</x:f>
        <x:v>366848</x:v>
      </x:c>
      <x:c r="T492" s="68" t="n">
        <x:f>S492-R492</x:f>
        <x:v>0</x:v>
      </x:c>
      <x:c r="U492" s="65" t="n">
        <x:f>R492/'공식·설정'!$B$7</x:f>
        <x:v>1433</x:v>
      </x:c>
      <x:c r="V492" s="65" t="n">
        <x:f>S492/'공식·설정'!$B$7</x:f>
        <x:v>1433</x:v>
      </x:c>
      <x:c r="W492" s="14" t="n">
        <x:v>706</x:v>
      </x:c>
      <x:c r="X492" s="14" t="n">
        <x:f>INT(ABS(K493-K492)*'공식·설정'!$B$8/K492)</x:f>
        <x:v>706</x:v>
      </x:c>
      <x:c r="Y492" s="68" t="n">
        <x:f>X492-W492</x:f>
        <x:v>0</x:v>
      </x:c>
      <x:c r="Z492" s="66" t="n">
        <x:f>W492/'공식·설정'!$B$8</x:f>
        <x:v>0.010772705078125</x:v>
      </x:c>
      <x:c r="AA492" s="66" t="n">
        <x:f>X492/'공식·설정'!$B$8</x:f>
        <x:v>0.010772705078125</x:v>
      </x:c>
      <x:c r="AB492" s="67" t="str">
        <x:f>IF(AND(I492=0,L492=0,Q492=0,T492=0,Y492=0),"PASS","FAIL")</x:f>
        <x:v>PASS</x:v>
      </x:c>
    </x:row>
    <x:row r="493" ht="18" customHeight="1">
      <x:c r="A493" s="14" t="n">
        <x:v>596</x:v>
      </x:c>
      <x:c r="B493" s="14" t="n">
        <x:v>488</x:v>
      </x:c>
      <x:c r="C493" s="14" t="n">
        <x:v>588</x:v>
      </x:c>
      <x:c r="D493" s="14" t="n">
        <x:v>51027</x:v>
      </x:c>
      <x:c r="E493" s="14" t="n">
        <x:v>602</x:v>
      </x:c>
      <x:c r="F493" s="14" t="n">
        <x:v>59365</x:v>
      </x:c>
      <x:c r="G493" s="14" t="n">
        <x:v>55791</x:v>
      </x:c>
      <x:c r="H493" s="14" t="n">
        <x:f>INT((F493-D493)*(A493-C493)/(E493-C493))+D493</x:f>
        <x:v>55791</x:v>
      </x:c>
      <x:c r="I493" s="68" t="n">
        <x:f>H493-G493</x:f>
        <x:v>0</x:v>
      </x:c>
      <x:c r="J493" s="14" t="n">
        <x:v>363215</x:v>
      </x:c>
      <x:c r="K493" s="14" t="n">
        <x:f>INT(H493*'공식·설정'!$B$10/'공식·설정'!$B$15)</x:f>
        <x:v>363215</x:v>
      </x:c>
      <x:c r="L493" s="68" t="n">
        <x:f>K493-J493</x:f>
        <x:v>0</x:v>
      </x:c>
      <x:c r="M493" s="65" t="n">
        <x:f>J493/'공식·설정'!$B$7</x:f>
        <x:v>1418.80859375</x:v>
      </x:c>
      <x:c r="N493" s="65" t="n">
        <x:f>K493/'공식·설정'!$B$7</x:f>
        <x:v>1418.80859375</x:v>
      </x:c>
      <x:c r="O493" s="14" t="n">
        <x:v>142</x:v>
      </x:c>
      <x:c r="P493" s="14" t="n">
        <x:f>MIN(32767,MAX(0,INT((K493+INT('공식·설정'!$B$12/2))/'공식·설정'!$B$12)))</x:f>
        <x:v>142</x:v>
      </x:c>
      <x:c r="Q493" s="68" t="n">
        <x:f>P493-O493</x:f>
        <x:v>0</x:v>
      </x:c>
      <x:c r="R493" s="14" t="n">
        <x:v>371968</x:v>
      </x:c>
      <x:c r="S493" s="14" t="n">
        <x:f>P493*'공식·설정'!$B$12+'공식·설정'!$B$14</x:f>
        <x:v>371968</x:v>
      </x:c>
      <x:c r="T493" s="68" t="n">
        <x:f>S493-R493</x:f>
        <x:v>0</x:v>
      </x:c>
      <x:c r="U493" s="65" t="n">
        <x:f>R493/'공식·설정'!$B$7</x:f>
        <x:v>1453</x:v>
      </x:c>
      <x:c r="V493" s="65" t="n">
        <x:f>S493/'공식·설정'!$B$7</x:f>
        <x:v>1453</x:v>
      </x:c>
      <x:c r="W493" s="14" t="n">
        <x:v>700</x:v>
      </x:c>
      <x:c r="X493" s="14" t="n">
        <x:f>INT(ABS(K494-K493)*'공식·설정'!$B$8/K493)</x:f>
        <x:v>700</x:v>
      </x:c>
      <x:c r="Y493" s="68" t="n">
        <x:f>X493-W493</x:f>
        <x:v>0</x:v>
      </x:c>
      <x:c r="Z493" s="66" t="n">
        <x:f>W493/'공식·설정'!$B$8</x:f>
        <x:v>0.01068115234375</x:v>
      </x:c>
      <x:c r="AA493" s="66" t="n">
        <x:f>X493/'공식·설정'!$B$8</x:f>
        <x:v>0.01068115234375</x:v>
      </x:c>
      <x:c r="AB493" s="67" t="str">
        <x:f>IF(AND(I493=0,L493=0,Q493=0,T493=0,Y493=0),"PASS","FAIL")</x:f>
        <x:v>PASS</x:v>
      </x:c>
    </x:row>
    <x:row r="494" ht="18" customHeight="1">
      <x:c r="A494" s="14" t="n">
        <x:v>597</x:v>
      </x:c>
      <x:c r="B494" s="14" t="n">
        <x:v>489</x:v>
      </x:c>
      <x:c r="C494" s="14" t="n">
        <x:v>588</x:v>
      </x:c>
      <x:c r="D494" s="14" t="n">
        <x:v>51027</x:v>
      </x:c>
      <x:c r="E494" s="14" t="n">
        <x:v>602</x:v>
      </x:c>
      <x:c r="F494" s="14" t="n">
        <x:v>59365</x:v>
      </x:c>
      <x:c r="G494" s="14" t="n">
        <x:v>56387</x:v>
      </x:c>
      <x:c r="H494" s="14" t="n">
        <x:f>INT((F494-D494)*(A494-C494)/(E494-C494))+D494</x:f>
        <x:v>56387</x:v>
      </x:c>
      <x:c r="I494" s="68" t="n">
        <x:f>H494-G494</x:f>
        <x:v>0</x:v>
      </x:c>
      <x:c r="J494" s="14" t="n">
        <x:v>367095</x:v>
      </x:c>
      <x:c r="K494" s="14" t="n">
        <x:f>INT(H494*'공식·설정'!$B$10/'공식·설정'!$B$15)</x:f>
        <x:v>367095</x:v>
      </x:c>
      <x:c r="L494" s="68" t="n">
        <x:f>K494-J494</x:f>
        <x:v>0</x:v>
      </x:c>
      <x:c r="M494" s="65" t="n">
        <x:f>J494/'공식·설정'!$B$7</x:f>
        <x:v>1433.96484375</x:v>
      </x:c>
      <x:c r="N494" s="65" t="n">
        <x:f>K494/'공식·설정'!$B$7</x:f>
        <x:v>1433.96484375</x:v>
      </x:c>
      <x:c r="O494" s="14" t="n">
        <x:v>143</x:v>
      </x:c>
      <x:c r="P494" s="14" t="n">
        <x:f>MIN(32767,MAX(0,INT((K494+INT('공식·설정'!$B$12/2))/'공식·설정'!$B$12)))</x:f>
        <x:v>143</x:v>
      </x:c>
      <x:c r="Q494" s="68" t="n">
        <x:f>P494-O494</x:f>
        <x:v>0</x:v>
      </x:c>
      <x:c r="R494" s="14" t="n">
        <x:v>374528</x:v>
      </x:c>
      <x:c r="S494" s="14" t="n">
        <x:f>P494*'공식·설정'!$B$12+'공식·설정'!$B$14</x:f>
        <x:v>374528</x:v>
      </x:c>
      <x:c r="T494" s="68" t="n">
        <x:f>S494-R494</x:f>
        <x:v>0</x:v>
      </x:c>
      <x:c r="U494" s="65" t="n">
        <x:f>R494/'공식·설정'!$B$7</x:f>
        <x:v>1463</x:v>
      </x:c>
      <x:c r="V494" s="65" t="n">
        <x:f>S494/'공식·설정'!$B$7</x:f>
        <x:v>1463</x:v>
      </x:c>
      <x:c r="W494" s="14" t="n">
        <x:v>691</x:v>
      </x:c>
      <x:c r="X494" s="14" t="n">
        <x:f>INT(ABS(K495-K494)*'공식·설정'!$B$8/K494)</x:f>
        <x:v>691</x:v>
      </x:c>
      <x:c r="Y494" s="68" t="n">
        <x:f>X494-W494</x:f>
        <x:v>0</x:v>
      </x:c>
      <x:c r="Z494" s="66" t="n">
        <x:f>W494/'공식·설정'!$B$8</x:f>
        <x:v>0.0105438232421875</x:v>
      </x:c>
      <x:c r="AA494" s="66" t="n">
        <x:f>X494/'공식·설정'!$B$8</x:f>
        <x:v>0.0105438232421875</x:v>
      </x:c>
      <x:c r="AB494" s="67" t="str">
        <x:f>IF(AND(I494=0,L494=0,Q494=0,T494=0,Y494=0),"PASS","FAIL")</x:f>
        <x:v>PASS</x:v>
      </x:c>
    </x:row>
    <x:row r="495" ht="18" customHeight="1">
      <x:c r="A495" s="14" t="n">
        <x:v>598</x:v>
      </x:c>
      <x:c r="B495" s="14" t="n">
        <x:v>490</x:v>
      </x:c>
      <x:c r="C495" s="14" t="n">
        <x:v>588</x:v>
      </x:c>
      <x:c r="D495" s="14" t="n">
        <x:v>51027</x:v>
      </x:c>
      <x:c r="E495" s="14" t="n">
        <x:v>602</x:v>
      </x:c>
      <x:c r="F495" s="14" t="n">
        <x:v>59365</x:v>
      </x:c>
      <x:c r="G495" s="14" t="n">
        <x:v>56982</x:v>
      </x:c>
      <x:c r="H495" s="14" t="n">
        <x:f>INT((F495-D495)*(A495-C495)/(E495-C495))+D495</x:f>
        <x:v>56982</x:v>
      </x:c>
      <x:c r="I495" s="68" t="n">
        <x:f>H495-G495</x:f>
        <x:v>0</x:v>
      </x:c>
      <x:c r="J495" s="14" t="n">
        <x:v>370968</x:v>
      </x:c>
      <x:c r="K495" s="14" t="n">
        <x:f>INT(H495*'공식·설정'!$B$10/'공식·설정'!$B$15)</x:f>
        <x:v>370968</x:v>
      </x:c>
      <x:c r="L495" s="68" t="n">
        <x:f>K495-J495</x:f>
        <x:v>0</x:v>
      </x:c>
      <x:c r="M495" s="65" t="n">
        <x:f>J495/'공식·설정'!$B$7</x:f>
        <x:v>1449.09375</x:v>
      </x:c>
      <x:c r="N495" s="65" t="n">
        <x:f>K495/'공식·설정'!$B$7</x:f>
        <x:v>1449.09375</x:v>
      </x:c>
      <x:c r="O495" s="14" t="n">
        <x:v>145</x:v>
      </x:c>
      <x:c r="P495" s="14" t="n">
        <x:f>MIN(32767,MAX(0,INT((K495+INT('공식·설정'!$B$12/2))/'공식·설정'!$B$12)))</x:f>
        <x:v>145</x:v>
      </x:c>
      <x:c r="Q495" s="68" t="n">
        <x:f>P495-O495</x:f>
        <x:v>0</x:v>
      </x:c>
      <x:c r="R495" s="14" t="n">
        <x:v>379648</x:v>
      </x:c>
      <x:c r="S495" s="14" t="n">
        <x:f>P495*'공식·설정'!$B$12+'공식·설정'!$B$14</x:f>
        <x:v>379648</x:v>
      </x:c>
      <x:c r="T495" s="68" t="n">
        <x:f>S495-R495</x:f>
        <x:v>0</x:v>
      </x:c>
      <x:c r="U495" s="65" t="n">
        <x:f>R495/'공식·설정'!$B$7</x:f>
        <x:v>1483</x:v>
      </x:c>
      <x:c r="V495" s="65" t="n">
        <x:f>S495/'공식·설정'!$B$7</x:f>
        <x:v>1483</x:v>
      </x:c>
      <x:c r="W495" s="14" t="n">
        <x:v>685</x:v>
      </x:c>
      <x:c r="X495" s="14" t="n">
        <x:f>INT(ABS(K496-K495)*'공식·설정'!$B$8/K495)</x:f>
        <x:v>685</x:v>
      </x:c>
      <x:c r="Y495" s="68" t="n">
        <x:f>X495-W495</x:f>
        <x:v>0</x:v>
      </x:c>
      <x:c r="Z495" s="66" t="n">
        <x:f>W495/'공식·설정'!$B$8</x:f>
        <x:v>0.0104522705078125</x:v>
      </x:c>
      <x:c r="AA495" s="66" t="n">
        <x:f>X495/'공식·설정'!$B$8</x:f>
        <x:v>0.0104522705078125</x:v>
      </x:c>
      <x:c r="AB495" s="67" t="str">
        <x:f>IF(AND(I495=0,L495=0,Q495=0,T495=0,Y495=0),"PASS","FAIL")</x:f>
        <x:v>PASS</x:v>
      </x:c>
    </x:row>
    <x:row r="496" ht="18" customHeight="1">
      <x:c r="A496" s="14" t="n">
        <x:v>599</x:v>
      </x:c>
      <x:c r="B496" s="14" t="n">
        <x:v>491</x:v>
      </x:c>
      <x:c r="C496" s="14" t="n">
        <x:v>588</x:v>
      </x:c>
      <x:c r="D496" s="14" t="n">
        <x:v>51027</x:v>
      </x:c>
      <x:c r="E496" s="14" t="n">
        <x:v>602</x:v>
      </x:c>
      <x:c r="F496" s="14" t="n">
        <x:v>59365</x:v>
      </x:c>
      <x:c r="G496" s="14" t="n">
        <x:v>57578</x:v>
      </x:c>
      <x:c r="H496" s="14" t="n">
        <x:f>INT((F496-D496)*(A496-C496)/(E496-C496))+D496</x:f>
        <x:v>57578</x:v>
      </x:c>
      <x:c r="I496" s="68" t="n">
        <x:f>H496-G496</x:f>
        <x:v>0</x:v>
      </x:c>
      <x:c r="J496" s="14" t="n">
        <x:v>374849</x:v>
      </x:c>
      <x:c r="K496" s="14" t="n">
        <x:f>INT(H496*'공식·설정'!$B$10/'공식·설정'!$B$15)</x:f>
        <x:v>374849</x:v>
      </x:c>
      <x:c r="L496" s="68" t="n">
        <x:f>K496-J496</x:f>
        <x:v>0</x:v>
      </x:c>
      <x:c r="M496" s="65" t="n">
        <x:f>J496/'공식·설정'!$B$7</x:f>
        <x:v>1464.25390625</x:v>
      </x:c>
      <x:c r="N496" s="65" t="n">
        <x:f>K496/'공식·설정'!$B$7</x:f>
        <x:v>1464.25390625</x:v>
      </x:c>
      <x:c r="O496" s="14" t="n">
        <x:v>146</x:v>
      </x:c>
      <x:c r="P496" s="14" t="n">
        <x:f>MIN(32767,MAX(0,INT((K496+INT('공식·설정'!$B$12/2))/'공식·설정'!$B$12)))</x:f>
        <x:v>146</x:v>
      </x:c>
      <x:c r="Q496" s="68" t="n">
        <x:f>P496-O496</x:f>
        <x:v>0</x:v>
      </x:c>
      <x:c r="R496" s="14" t="n">
        <x:v>382208</x:v>
      </x:c>
      <x:c r="S496" s="14" t="n">
        <x:f>P496*'공식·설정'!$B$12+'공식·설정'!$B$14</x:f>
        <x:v>382208</x:v>
      </x:c>
      <x:c r="T496" s="68" t="n">
        <x:f>S496-R496</x:f>
        <x:v>0</x:v>
      </x:c>
      <x:c r="U496" s="65" t="n">
        <x:f>R496/'공식·설정'!$B$7</x:f>
        <x:v>1493</x:v>
      </x:c>
      <x:c r="V496" s="65" t="n">
        <x:f>S496/'공식·설정'!$B$7</x:f>
        <x:v>1493</x:v>
      </x:c>
      <x:c r="W496" s="14" t="n">
        <x:v>677</x:v>
      </x:c>
      <x:c r="X496" s="14" t="n">
        <x:f>INT(ABS(K497-K496)*'공식·설정'!$B$8/K496)</x:f>
        <x:v>677</x:v>
      </x:c>
      <x:c r="Y496" s="68" t="n">
        <x:f>X496-W496</x:f>
        <x:v>0</x:v>
      </x:c>
      <x:c r="Z496" s="66" t="n">
        <x:f>W496/'공식·설정'!$B$8</x:f>
        <x:v>0.0103302001953125</x:v>
      </x:c>
      <x:c r="AA496" s="66" t="n">
        <x:f>X496/'공식·설정'!$B$8</x:f>
        <x:v>0.0103302001953125</x:v>
      </x:c>
      <x:c r="AB496" s="67" t="str">
        <x:f>IF(AND(I496=0,L496=0,Q496=0,T496=0,Y496=0),"PASS","FAIL")</x:f>
        <x:v>PASS</x:v>
      </x:c>
    </x:row>
    <x:row r="497" ht="18" customHeight="1">
      <x:c r="A497" s="14" t="n">
        <x:v>600</x:v>
      </x:c>
      <x:c r="B497" s="14" t="n">
        <x:v>492</x:v>
      </x:c>
      <x:c r="C497" s="14" t="n">
        <x:v>588</x:v>
      </x:c>
      <x:c r="D497" s="14" t="n">
        <x:v>51027</x:v>
      </x:c>
      <x:c r="E497" s="14" t="n">
        <x:v>602</x:v>
      </x:c>
      <x:c r="F497" s="14" t="n">
        <x:v>59365</x:v>
      </x:c>
      <x:c r="G497" s="14" t="n">
        <x:v>58173</x:v>
      </x:c>
      <x:c r="H497" s="14" t="n">
        <x:f>INT((F497-D497)*(A497-C497)/(E497-C497))+D497</x:f>
        <x:v>58173</x:v>
      </x:c>
      <x:c r="I497" s="68" t="n">
        <x:f>H497-G497</x:f>
        <x:v>0</x:v>
      </x:c>
      <x:c r="J497" s="14" t="n">
        <x:v>378722</x:v>
      </x:c>
      <x:c r="K497" s="14" t="n">
        <x:f>INT(H497*'공식·설정'!$B$10/'공식·설정'!$B$15)</x:f>
        <x:v>378722</x:v>
      </x:c>
      <x:c r="L497" s="68" t="n">
        <x:f>K497-J497</x:f>
        <x:v>0</x:v>
      </x:c>
      <x:c r="M497" s="65" t="n">
        <x:f>J497/'공식·설정'!$B$7</x:f>
        <x:v>1479.3828125</x:v>
      </x:c>
      <x:c r="N497" s="65" t="n">
        <x:f>K497/'공식·설정'!$B$7</x:f>
        <x:v>1479.3828125</x:v>
      </x:c>
      <x:c r="O497" s="14" t="n">
        <x:v>148</x:v>
      </x:c>
      <x:c r="P497" s="14" t="n">
        <x:f>MIN(32767,MAX(0,INT((K497+INT('공식·설정'!$B$12/2))/'공식·설정'!$B$12)))</x:f>
        <x:v>148</x:v>
      </x:c>
      <x:c r="Q497" s="68" t="n">
        <x:f>P497-O497</x:f>
        <x:v>0</x:v>
      </x:c>
      <x:c r="R497" s="14" t="n">
        <x:v>387328</x:v>
      </x:c>
      <x:c r="S497" s="14" t="n">
        <x:f>P497*'공식·설정'!$B$12+'공식·설정'!$B$14</x:f>
        <x:v>387328</x:v>
      </x:c>
      <x:c r="T497" s="68" t="n">
        <x:f>S497-R497</x:f>
        <x:v>0</x:v>
      </x:c>
      <x:c r="U497" s="65" t="n">
        <x:f>R497/'공식·설정'!$B$7</x:f>
        <x:v>1513</x:v>
      </x:c>
      <x:c r="V497" s="65" t="n">
        <x:f>S497/'공식·설정'!$B$7</x:f>
        <x:v>1513</x:v>
      </x:c>
      <x:c r="W497" s="14" t="n">
        <x:v>671</x:v>
      </x:c>
      <x:c r="X497" s="14" t="n">
        <x:f>INT(ABS(K498-K497)*'공식·설정'!$B$8/K497)</x:f>
        <x:v>671</x:v>
      </x:c>
      <x:c r="Y497" s="68" t="n">
        <x:f>X497-W497</x:f>
        <x:v>0</x:v>
      </x:c>
      <x:c r="Z497" s="66" t="n">
        <x:f>W497/'공식·설정'!$B$8</x:f>
        <x:v>0.0102386474609375</x:v>
      </x:c>
      <x:c r="AA497" s="66" t="n">
        <x:f>X497/'공식·설정'!$B$8</x:f>
        <x:v>0.0102386474609375</x:v>
      </x:c>
      <x:c r="AB497" s="67" t="str">
        <x:f>IF(AND(I497=0,L497=0,Q497=0,T497=0,Y497=0),"PASS","FAIL")</x:f>
        <x:v>PASS</x:v>
      </x:c>
    </x:row>
    <x:row r="498" ht="18" customHeight="1">
      <x:c r="A498" s="14" t="n">
        <x:v>601</x:v>
      </x:c>
      <x:c r="B498" s="14" t="n">
        <x:v>493</x:v>
      </x:c>
      <x:c r="C498" s="14" t="n">
        <x:v>588</x:v>
      </x:c>
      <x:c r="D498" s="14" t="n">
        <x:v>51027</x:v>
      </x:c>
      <x:c r="E498" s="14" t="n">
        <x:v>602</x:v>
      </x:c>
      <x:c r="F498" s="14" t="n">
        <x:v>59365</x:v>
      </x:c>
      <x:c r="G498" s="14" t="n">
        <x:v>58769</x:v>
      </x:c>
      <x:c r="H498" s="14" t="n">
        <x:f>INT((F498-D498)*(A498-C498)/(E498-C498))+D498</x:f>
        <x:v>58769</x:v>
      </x:c>
      <x:c r="I498" s="68" t="n">
        <x:f>H498-G498</x:f>
        <x:v>0</x:v>
      </x:c>
      <x:c r="J498" s="14" t="n">
        <x:v>382602</x:v>
      </x:c>
      <x:c r="K498" s="14" t="n">
        <x:f>INT(H498*'공식·설정'!$B$10/'공식·설정'!$B$15)</x:f>
        <x:v>382602</x:v>
      </x:c>
      <x:c r="L498" s="68" t="n">
        <x:f>K498-J498</x:f>
        <x:v>0</x:v>
      </x:c>
      <x:c r="M498" s="65" t="n">
        <x:f>J498/'공식·설정'!$B$7</x:f>
        <x:v>1494.5390625</x:v>
      </x:c>
      <x:c r="N498" s="65" t="n">
        <x:f>K498/'공식·설정'!$B$7</x:f>
        <x:v>1494.5390625</x:v>
      </x:c>
      <x:c r="O498" s="14" t="n">
        <x:v>149</x:v>
      </x:c>
      <x:c r="P498" s="14" t="n">
        <x:f>MIN(32767,MAX(0,INT((K498+INT('공식·설정'!$B$12/2))/'공식·설정'!$B$12)))</x:f>
        <x:v>149</x:v>
      </x:c>
      <x:c r="Q498" s="68" t="n">
        <x:f>P498-O498</x:f>
        <x:v>0</x:v>
      </x:c>
      <x:c r="R498" s="14" t="n">
        <x:v>389888</x:v>
      </x:c>
      <x:c r="S498" s="14" t="n">
        <x:f>P498*'공식·설정'!$B$12+'공식·설정'!$B$14</x:f>
        <x:v>389888</x:v>
      </x:c>
      <x:c r="T498" s="68" t="n">
        <x:f>S498-R498</x:f>
        <x:v>0</x:v>
      </x:c>
      <x:c r="U498" s="65" t="n">
        <x:f>R498/'공식·설정'!$B$7</x:f>
        <x:v>1523</x:v>
      </x:c>
      <x:c r="V498" s="65" t="n">
        <x:f>S498/'공식·설정'!$B$7</x:f>
        <x:v>1523</x:v>
      </x:c>
      <x:c r="W498" s="14" t="n">
        <x:v>664</x:v>
      </x:c>
      <x:c r="X498" s="14" t="n">
        <x:f>INT(ABS(K499-K498)*'공식·설정'!$B$8/K498)</x:f>
        <x:v>664</x:v>
      </x:c>
      <x:c r="Y498" s="68" t="n">
        <x:f>X498-W498</x:f>
        <x:v>0</x:v>
      </x:c>
      <x:c r="Z498" s="66" t="n">
        <x:f>W498/'공식·설정'!$B$8</x:f>
        <x:v>0.0101318359375</x:v>
      </x:c>
      <x:c r="AA498" s="66" t="n">
        <x:f>X498/'공식·설정'!$B$8</x:f>
        <x:v>0.0101318359375</x:v>
      </x:c>
      <x:c r="AB498" s="67" t="str">
        <x:f>IF(AND(I498=0,L498=0,Q498=0,T498=0,Y498=0),"PASS","FAIL")</x:f>
        <x:v>PASS</x:v>
      </x:c>
    </x:row>
    <x:row r="499" ht="18" customHeight="1">
      <x:c r="A499" s="14" t="n">
        <x:v>602</x:v>
      </x:c>
      <x:c r="B499" s="14" t="n">
        <x:v>494</x:v>
      </x:c>
      <x:c r="C499" s="14" t="n">
        <x:v>602</x:v>
      </x:c>
      <x:c r="D499" s="14" t="n">
        <x:v>59365</x:v>
      </x:c>
      <x:c r="E499" s="14" t="n">
        <x:v>616</x:v>
      </x:c>
      <x:c r="F499" s="14" t="n">
        <x:v>69063</x:v>
      </x:c>
      <x:c r="G499" s="14" t="n">
        <x:v>59365</x:v>
      </x:c>
      <x:c r="H499" s="14" t="n">
        <x:f>INT((F499-D499)*(A499-C499)/(E499-C499))+D499</x:f>
        <x:v>59365</x:v>
      </x:c>
      <x:c r="I499" s="68" t="n">
        <x:f>H499-G499</x:f>
        <x:v>0</x:v>
      </x:c>
      <x:c r="J499" s="14" t="n">
        <x:v>386482</x:v>
      </x:c>
      <x:c r="K499" s="14" t="n">
        <x:f>INT(H499*'공식·설정'!$B$10/'공식·설정'!$B$15)</x:f>
        <x:v>386482</x:v>
      </x:c>
      <x:c r="L499" s="68" t="n">
        <x:f>K499-J499</x:f>
        <x:v>0</x:v>
      </x:c>
      <x:c r="M499" s="65" t="n">
        <x:f>J499/'공식·설정'!$B$7</x:f>
        <x:v>1509.6953125</x:v>
      </x:c>
      <x:c r="N499" s="65" t="n">
        <x:f>K499/'공식·설정'!$B$7</x:f>
        <x:v>1509.6953125</x:v>
      </x:c>
      <x:c r="O499" s="14" t="n">
        <x:v>151</x:v>
      </x:c>
      <x:c r="P499" s="14" t="n">
        <x:f>MIN(32767,MAX(0,INT((K499+INT('공식·설정'!$B$12/2))/'공식·설정'!$B$12)))</x:f>
        <x:v>151</x:v>
      </x:c>
      <x:c r="Q499" s="68" t="n">
        <x:f>P499-O499</x:f>
        <x:v>0</x:v>
      </x:c>
      <x:c r="R499" s="14" t="n">
        <x:v>395008</x:v>
      </x:c>
      <x:c r="S499" s="14" t="n">
        <x:f>P499*'공식·설정'!$B$12+'공식·설정'!$B$14</x:f>
        <x:v>395008</x:v>
      </x:c>
      <x:c r="T499" s="68" t="n">
        <x:f>S499-R499</x:f>
        <x:v>0</x:v>
      </x:c>
      <x:c r="U499" s="65" t="n">
        <x:f>R499/'공식·설정'!$B$7</x:f>
        <x:v>1543</x:v>
      </x:c>
      <x:c r="V499" s="65" t="n">
        <x:f>S499/'공식·설정'!$B$7</x:f>
        <x:v>1543</x:v>
      </x:c>
      <x:c r="W499" s="14" t="n">
        <x:v>764</x:v>
      </x:c>
      <x:c r="X499" s="14" t="n">
        <x:f>INT(ABS(K500-K499)*'공식·설정'!$B$8/K499)</x:f>
        <x:v>764</x:v>
      </x:c>
      <x:c r="Y499" s="68" t="n">
        <x:f>X499-W499</x:f>
        <x:v>0</x:v>
      </x:c>
      <x:c r="Z499" s="66" t="n">
        <x:f>W499/'공식·설정'!$B$8</x:f>
        <x:v>0.01165771484375</x:v>
      </x:c>
      <x:c r="AA499" s="66" t="n">
        <x:f>X499/'공식·설정'!$B$8</x:f>
        <x:v>0.01165771484375</x:v>
      </x:c>
      <x:c r="AB499" s="67" t="str">
        <x:f>IF(AND(I499=0,L499=0,Q499=0,T499=0,Y499=0),"PASS","FAIL")</x:f>
        <x:v>PASS</x:v>
      </x:c>
    </x:row>
    <x:row r="500" ht="18" customHeight="1">
      <x:c r="A500" s="14" t="n">
        <x:v>603</x:v>
      </x:c>
      <x:c r="B500" s="14" t="n">
        <x:v>495</x:v>
      </x:c>
      <x:c r="C500" s="14" t="n">
        <x:v>602</x:v>
      </x:c>
      <x:c r="D500" s="14" t="n">
        <x:v>59365</x:v>
      </x:c>
      <x:c r="E500" s="14" t="n">
        <x:v>616</x:v>
      </x:c>
      <x:c r="F500" s="14" t="n">
        <x:v>69063</x:v>
      </x:c>
      <x:c r="G500" s="14" t="n">
        <x:v>60057</x:v>
      </x:c>
      <x:c r="H500" s="14" t="n">
        <x:f>INT((F500-D500)*(A500-C500)/(E500-C500))+D500</x:f>
        <x:v>60057</x:v>
      </x:c>
      <x:c r="I500" s="68" t="n">
        <x:f>H500-G500</x:f>
        <x:v>0</x:v>
      </x:c>
      <x:c r="J500" s="14" t="n">
        <x:v>390988</x:v>
      </x:c>
      <x:c r="K500" s="14" t="n">
        <x:f>INT(H500*'공식·설정'!$B$10/'공식·설정'!$B$15)</x:f>
        <x:v>390988</x:v>
      </x:c>
      <x:c r="L500" s="68" t="n">
        <x:f>K500-J500</x:f>
        <x:v>0</x:v>
      </x:c>
      <x:c r="M500" s="65" t="n">
        <x:f>J500/'공식·설정'!$B$7</x:f>
        <x:v>1527.296875</x:v>
      </x:c>
      <x:c r="N500" s="65" t="n">
        <x:f>K500/'공식·설정'!$B$7</x:f>
        <x:v>1527.296875</x:v>
      </x:c>
      <x:c r="O500" s="14" t="n">
        <x:v>153</x:v>
      </x:c>
      <x:c r="P500" s="14" t="n">
        <x:f>MIN(32767,MAX(0,INT((K500+INT('공식·설정'!$B$12/2))/'공식·설정'!$B$12)))</x:f>
        <x:v>153</x:v>
      </x:c>
      <x:c r="Q500" s="68" t="n">
        <x:f>P500-O500</x:f>
        <x:v>0</x:v>
      </x:c>
      <x:c r="R500" s="14" t="n">
        <x:v>400128</x:v>
      </x:c>
      <x:c r="S500" s="14" t="n">
        <x:f>P500*'공식·설정'!$B$12+'공식·설정'!$B$14</x:f>
        <x:v>400128</x:v>
      </x:c>
      <x:c r="T500" s="68" t="n">
        <x:f>S500-R500</x:f>
        <x:v>0</x:v>
      </x:c>
      <x:c r="U500" s="65" t="n">
        <x:f>R500/'공식·설정'!$B$7</x:f>
        <x:v>1563</x:v>
      </x:c>
      <x:c r="V500" s="65" t="n">
        <x:f>S500/'공식·설정'!$B$7</x:f>
        <x:v>1563</x:v>
      </x:c>
      <x:c r="W500" s="14" t="n">
        <x:v>756</x:v>
      </x:c>
      <x:c r="X500" s="14" t="n">
        <x:f>INT(ABS(K501-K500)*'공식·설정'!$B$8/K500)</x:f>
        <x:v>756</x:v>
      </x:c>
      <x:c r="Y500" s="68" t="n">
        <x:f>X500-W500</x:f>
        <x:v>0</x:v>
      </x:c>
      <x:c r="Z500" s="66" t="n">
        <x:f>W500/'공식·설정'!$B$8</x:f>
        <x:v>0.01153564453125</x:v>
      </x:c>
      <x:c r="AA500" s="66" t="n">
        <x:f>X500/'공식·설정'!$B$8</x:f>
        <x:v>0.01153564453125</x:v>
      </x:c>
      <x:c r="AB500" s="67" t="str">
        <x:f>IF(AND(I500=0,L500=0,Q500=0,T500=0,Y500=0),"PASS","FAIL")</x:f>
        <x:v>PASS</x:v>
      </x:c>
    </x:row>
    <x:row r="501" ht="18" customHeight="1">
      <x:c r="A501" s="14" t="n">
        <x:v>604</x:v>
      </x:c>
      <x:c r="B501" s="14" t="n">
        <x:v>496</x:v>
      </x:c>
      <x:c r="C501" s="14" t="n">
        <x:v>602</x:v>
      </x:c>
      <x:c r="D501" s="14" t="n">
        <x:v>59365</x:v>
      </x:c>
      <x:c r="E501" s="14" t="n">
        <x:v>616</x:v>
      </x:c>
      <x:c r="F501" s="14" t="n">
        <x:v>69063</x:v>
      </x:c>
      <x:c r="G501" s="14" t="n">
        <x:v>60750</x:v>
      </x:c>
      <x:c r="H501" s="14" t="n">
        <x:f>INT((F501-D501)*(A501-C501)/(E501-C501))+D501</x:f>
        <x:v>60750</x:v>
      </x:c>
      <x:c r="I501" s="68" t="n">
        <x:f>H501-G501</x:f>
        <x:v>0</x:v>
      </x:c>
      <x:c r="J501" s="14" t="n">
        <x:v>395499</x:v>
      </x:c>
      <x:c r="K501" s="14" t="n">
        <x:f>INT(H501*'공식·설정'!$B$10/'공식·설정'!$B$15)</x:f>
        <x:v>395499</x:v>
      </x:c>
      <x:c r="L501" s="68" t="n">
        <x:f>K501-J501</x:f>
        <x:v>0</x:v>
      </x:c>
      <x:c r="M501" s="65" t="n">
        <x:f>J501/'공식·설정'!$B$7</x:f>
        <x:v>1544.91796875</x:v>
      </x:c>
      <x:c r="N501" s="65" t="n">
        <x:f>K501/'공식·설정'!$B$7</x:f>
        <x:v>1544.91796875</x:v>
      </x:c>
      <x:c r="O501" s="14" t="n">
        <x:v>154</x:v>
      </x:c>
      <x:c r="P501" s="14" t="n">
        <x:f>MIN(32767,MAX(0,INT((K501+INT('공식·설정'!$B$12/2))/'공식·설정'!$B$12)))</x:f>
        <x:v>154</x:v>
      </x:c>
      <x:c r="Q501" s="68" t="n">
        <x:f>P501-O501</x:f>
        <x:v>0</x:v>
      </x:c>
      <x:c r="R501" s="14" t="n">
        <x:v>402688</x:v>
      </x:c>
      <x:c r="S501" s="14" t="n">
        <x:f>P501*'공식·설정'!$B$12+'공식·설정'!$B$14</x:f>
        <x:v>402688</x:v>
      </x:c>
      <x:c r="T501" s="68" t="n">
        <x:f>S501-R501</x:f>
        <x:v>0</x:v>
      </x:c>
      <x:c r="U501" s="65" t="n">
        <x:f>R501/'공식·설정'!$B$7</x:f>
        <x:v>1573</x:v>
      </x:c>
      <x:c r="V501" s="65" t="n">
        <x:f>S501/'공식·설정'!$B$7</x:f>
        <x:v>1573</x:v>
      </x:c>
      <x:c r="W501" s="14" t="n">
        <x:v>747</x:v>
      </x:c>
      <x:c r="X501" s="14" t="n">
        <x:f>INT(ABS(K502-K501)*'공식·설정'!$B$8/K501)</x:f>
        <x:v>747</x:v>
      </x:c>
      <x:c r="Y501" s="68" t="n">
        <x:f>X501-W501</x:f>
        <x:v>0</x:v>
      </x:c>
      <x:c r="Z501" s="66" t="n">
        <x:f>W501/'공식·설정'!$B$8</x:f>
        <x:v>0.0113983154296875</x:v>
      </x:c>
      <x:c r="AA501" s="66" t="n">
        <x:f>X501/'공식·설정'!$B$8</x:f>
        <x:v>0.0113983154296875</x:v>
      </x:c>
      <x:c r="AB501" s="67" t="str">
        <x:f>IF(AND(I501=0,L501=0,Q501=0,T501=0,Y501=0),"PASS","FAIL")</x:f>
        <x:v>PASS</x:v>
      </x:c>
    </x:row>
    <x:row r="502" ht="18" customHeight="1">
      <x:c r="A502" s="14" t="n">
        <x:v>605</x:v>
      </x:c>
      <x:c r="B502" s="14" t="n">
        <x:v>497</x:v>
      </x:c>
      <x:c r="C502" s="14" t="n">
        <x:v>602</x:v>
      </x:c>
      <x:c r="D502" s="14" t="n">
        <x:v>59365</x:v>
      </x:c>
      <x:c r="E502" s="14" t="n">
        <x:v>616</x:v>
      </x:c>
      <x:c r="F502" s="14" t="n">
        <x:v>69063</x:v>
      </x:c>
      <x:c r="G502" s="14" t="n">
        <x:v>61443</x:v>
      </x:c>
      <x:c r="H502" s="14" t="n">
        <x:f>INT((F502-D502)*(A502-C502)/(E502-C502))+D502</x:f>
        <x:v>61443</x:v>
      </x:c>
      <x:c r="I502" s="68" t="n">
        <x:f>H502-G502</x:f>
        <x:v>0</x:v>
      </x:c>
      <x:c r="J502" s="14" t="n">
        <x:v>400011</x:v>
      </x:c>
      <x:c r="K502" s="14" t="n">
        <x:f>INT(H502*'공식·설정'!$B$10/'공식·설정'!$B$15)</x:f>
        <x:v>400011</x:v>
      </x:c>
      <x:c r="L502" s="68" t="n">
        <x:f>K502-J502</x:f>
        <x:v>0</x:v>
      </x:c>
      <x:c r="M502" s="65" t="n">
        <x:f>J502/'공식·설정'!$B$7</x:f>
        <x:v>1562.54296875</x:v>
      </x:c>
      <x:c r="N502" s="65" t="n">
        <x:f>K502/'공식·설정'!$B$7</x:f>
        <x:v>1562.54296875</x:v>
      </x:c>
      <x:c r="O502" s="14" t="n">
        <x:v>156</x:v>
      </x:c>
      <x:c r="P502" s="14" t="n">
        <x:f>MIN(32767,MAX(0,INT((K502+INT('공식·설정'!$B$12/2))/'공식·설정'!$B$12)))</x:f>
        <x:v>156</x:v>
      </x:c>
      <x:c r="Q502" s="68" t="n">
        <x:f>P502-O502</x:f>
        <x:v>0</x:v>
      </x:c>
      <x:c r="R502" s="14" t="n">
        <x:v>407808</x:v>
      </x:c>
      <x:c r="S502" s="14" t="n">
        <x:f>P502*'공식·설정'!$B$12+'공식·설정'!$B$14</x:f>
        <x:v>407808</x:v>
      </x:c>
      <x:c r="T502" s="68" t="n">
        <x:f>S502-R502</x:f>
        <x:v>0</x:v>
      </x:c>
      <x:c r="U502" s="65" t="n">
        <x:f>R502/'공식·설정'!$B$7</x:f>
        <x:v>1593</x:v>
      </x:c>
      <x:c r="V502" s="65" t="n">
        <x:f>S502/'공식·설정'!$B$7</x:f>
        <x:v>1593</x:v>
      </x:c>
      <x:c r="W502" s="14" t="n">
        <x:v>738</x:v>
      </x:c>
      <x:c r="X502" s="14" t="n">
        <x:f>INT(ABS(K503-K502)*'공식·설정'!$B$8/K502)</x:f>
        <x:v>738</x:v>
      </x:c>
      <x:c r="Y502" s="68" t="n">
        <x:f>X502-W502</x:f>
        <x:v>0</x:v>
      </x:c>
      <x:c r="Z502" s="66" t="n">
        <x:f>W502/'공식·설정'!$B$8</x:f>
        <x:v>0.011260986328125</x:v>
      </x:c>
      <x:c r="AA502" s="66" t="n">
        <x:f>X502/'공식·설정'!$B$8</x:f>
        <x:v>0.011260986328125</x:v>
      </x:c>
      <x:c r="AB502" s="67" t="str">
        <x:f>IF(AND(I502=0,L502=0,Q502=0,T502=0,Y502=0),"PASS","FAIL")</x:f>
        <x:v>PASS</x:v>
      </x:c>
    </x:row>
    <x:row r="503" ht="18" customHeight="1">
      <x:c r="A503" s="14" t="n">
        <x:v>606</x:v>
      </x:c>
      <x:c r="B503" s="14" t="n">
        <x:v>498</x:v>
      </x:c>
      <x:c r="C503" s="14" t="n">
        <x:v>602</x:v>
      </x:c>
      <x:c r="D503" s="14" t="n">
        <x:v>59365</x:v>
      </x:c>
      <x:c r="E503" s="14" t="n">
        <x:v>616</x:v>
      </x:c>
      <x:c r="F503" s="14" t="n">
        <x:v>69063</x:v>
      </x:c>
      <x:c r="G503" s="14" t="n">
        <x:v>62135</x:v>
      </x:c>
      <x:c r="H503" s="14" t="n">
        <x:f>INT((F503-D503)*(A503-C503)/(E503-C503))+D503</x:f>
        <x:v>62135</x:v>
      </x:c>
      <x:c r="I503" s="68" t="n">
        <x:f>H503-G503</x:f>
        <x:v>0</x:v>
      </x:c>
      <x:c r="J503" s="14" t="n">
        <x:v>404516</x:v>
      </x:c>
      <x:c r="K503" s="14" t="n">
        <x:f>INT(H503*'공식·설정'!$B$10/'공식·설정'!$B$15)</x:f>
        <x:v>404516</x:v>
      </x:c>
      <x:c r="L503" s="68" t="n">
        <x:f>K503-J503</x:f>
        <x:v>0</x:v>
      </x:c>
      <x:c r="M503" s="65" t="n">
        <x:f>J503/'공식·설정'!$B$7</x:f>
        <x:v>1580.140625</x:v>
      </x:c>
      <x:c r="N503" s="65" t="n">
        <x:f>K503/'공식·설정'!$B$7</x:f>
        <x:v>1580.140625</x:v>
      </x:c>
      <x:c r="O503" s="14" t="n">
        <x:v>158</x:v>
      </x:c>
      <x:c r="P503" s="14" t="n">
        <x:f>MIN(32767,MAX(0,INT((K503+INT('공식·설정'!$B$12/2))/'공식·설정'!$B$12)))</x:f>
        <x:v>158</x:v>
      </x:c>
      <x:c r="Q503" s="68" t="n">
        <x:f>P503-O503</x:f>
        <x:v>0</x:v>
      </x:c>
      <x:c r="R503" s="14" t="n">
        <x:v>412928</x:v>
      </x:c>
      <x:c r="S503" s="14" t="n">
        <x:f>P503*'공식·설정'!$B$12+'공식·설정'!$B$14</x:f>
        <x:v>412928</x:v>
      </x:c>
      <x:c r="T503" s="68" t="n">
        <x:f>S503-R503</x:f>
        <x:v>0</x:v>
      </x:c>
      <x:c r="U503" s="65" t="n">
        <x:f>R503/'공식·설정'!$B$7</x:f>
        <x:v>1613</x:v>
      </x:c>
      <x:c r="V503" s="65" t="n">
        <x:f>S503/'공식·설정'!$B$7</x:f>
        <x:v>1613</x:v>
      </x:c>
      <x:c r="W503" s="14" t="n">
        <x:v>730</x:v>
      </x:c>
      <x:c r="X503" s="14" t="n">
        <x:f>INT(ABS(K504-K503)*'공식·설정'!$B$8/K503)</x:f>
        <x:v>730</x:v>
      </x:c>
      <x:c r="Y503" s="68" t="n">
        <x:f>X503-W503</x:f>
        <x:v>0</x:v>
      </x:c>
      <x:c r="Z503" s="66" t="n">
        <x:f>W503/'공식·설정'!$B$8</x:f>
        <x:v>0.011138916015625</x:v>
      </x:c>
      <x:c r="AA503" s="66" t="n">
        <x:f>X503/'공식·설정'!$B$8</x:f>
        <x:v>0.011138916015625</x:v>
      </x:c>
      <x:c r="AB503" s="67" t="str">
        <x:f>IF(AND(I503=0,L503=0,Q503=0,T503=0,Y503=0),"PASS","FAIL")</x:f>
        <x:v>PASS</x:v>
      </x:c>
    </x:row>
    <x:row r="504" ht="18" customHeight="1">
      <x:c r="A504" s="14" t="n">
        <x:v>607</x:v>
      </x:c>
      <x:c r="B504" s="14" t="n">
        <x:v>499</x:v>
      </x:c>
      <x:c r="C504" s="14" t="n">
        <x:v>602</x:v>
      </x:c>
      <x:c r="D504" s="14" t="n">
        <x:v>59365</x:v>
      </x:c>
      <x:c r="E504" s="14" t="n">
        <x:v>616</x:v>
      </x:c>
      <x:c r="F504" s="14" t="n">
        <x:v>69063</x:v>
      </x:c>
      <x:c r="G504" s="14" t="n">
        <x:v>62828</x:v>
      </x:c>
      <x:c r="H504" s="14" t="n">
        <x:f>INT((F504-D504)*(A504-C504)/(E504-C504))+D504</x:f>
        <x:v>62828</x:v>
      </x:c>
      <x:c r="I504" s="68" t="n">
        <x:f>H504-G504</x:f>
        <x:v>0</x:v>
      </x:c>
      <x:c r="J504" s="14" t="n">
        <x:v>409027</x:v>
      </x:c>
      <x:c r="K504" s="14" t="n">
        <x:f>INT(H504*'공식·설정'!$B$10/'공식·설정'!$B$15)</x:f>
        <x:v>409027</x:v>
      </x:c>
      <x:c r="L504" s="68" t="n">
        <x:f>K504-J504</x:f>
        <x:v>0</x:v>
      </x:c>
      <x:c r="M504" s="65" t="n">
        <x:f>J504/'공식·설정'!$B$7</x:f>
        <x:v>1597.76171875</x:v>
      </x:c>
      <x:c r="N504" s="65" t="n">
        <x:f>K504/'공식·설정'!$B$7</x:f>
        <x:v>1597.76171875</x:v>
      </x:c>
      <x:c r="O504" s="14" t="n">
        <x:v>160</x:v>
      </x:c>
      <x:c r="P504" s="14" t="n">
        <x:f>MIN(32767,MAX(0,INT((K504+INT('공식·설정'!$B$12/2))/'공식·설정'!$B$12)))</x:f>
        <x:v>160</x:v>
      </x:c>
      <x:c r="Q504" s="68" t="n">
        <x:f>P504-O504</x:f>
        <x:v>0</x:v>
      </x:c>
      <x:c r="R504" s="14" t="n">
        <x:v>418048</x:v>
      </x:c>
      <x:c r="S504" s="14" t="n">
        <x:f>P504*'공식·설정'!$B$12+'공식·설정'!$B$14</x:f>
        <x:v>418048</x:v>
      </x:c>
      <x:c r="T504" s="68" t="n">
        <x:f>S504-R504</x:f>
        <x:v>0</x:v>
      </x:c>
      <x:c r="U504" s="65" t="n">
        <x:f>R504/'공식·설정'!$B$7</x:f>
        <x:v>1633</x:v>
      </x:c>
      <x:c r="V504" s="65" t="n">
        <x:f>S504/'공식·설정'!$B$7</x:f>
        <x:v>1633</x:v>
      </x:c>
      <x:c r="W504" s="14" t="n">
        <x:v>722</x:v>
      </x:c>
      <x:c r="X504" s="14" t="n">
        <x:f>INT(ABS(K505-K504)*'공식·설정'!$B$8/K504)</x:f>
        <x:v>722</x:v>
      </x:c>
      <x:c r="Y504" s="68" t="n">
        <x:f>X504-W504</x:f>
        <x:v>0</x:v>
      </x:c>
      <x:c r="Z504" s="66" t="n">
        <x:f>W504/'공식·설정'!$B$8</x:f>
        <x:v>0.011016845703125</x:v>
      </x:c>
      <x:c r="AA504" s="66" t="n">
        <x:f>X504/'공식·설정'!$B$8</x:f>
        <x:v>0.011016845703125</x:v>
      </x:c>
      <x:c r="AB504" s="67" t="str">
        <x:f>IF(AND(I504=0,L504=0,Q504=0,T504=0,Y504=0),"PASS","FAIL")</x:f>
        <x:v>PASS</x:v>
      </x:c>
    </x:row>
    <x:row r="505" ht="18" customHeight="1">
      <x:c r="A505" s="14" t="n">
        <x:v>608</x:v>
      </x:c>
      <x:c r="B505" s="14" t="n">
        <x:v>500</x:v>
      </x:c>
      <x:c r="C505" s="14" t="n">
        <x:v>602</x:v>
      </x:c>
      <x:c r="D505" s="14" t="n">
        <x:v>59365</x:v>
      </x:c>
      <x:c r="E505" s="14" t="n">
        <x:v>616</x:v>
      </x:c>
      <x:c r="F505" s="14" t="n">
        <x:v>69063</x:v>
      </x:c>
      <x:c r="G505" s="14" t="n">
        <x:v>63521</x:v>
      </x:c>
      <x:c r="H505" s="14" t="n">
        <x:f>INT((F505-D505)*(A505-C505)/(E505-C505))+D505</x:f>
        <x:v>63521</x:v>
      </x:c>
      <x:c r="I505" s="68" t="n">
        <x:f>H505-G505</x:f>
        <x:v>0</x:v>
      </x:c>
      <x:c r="J505" s="14" t="n">
        <x:v>413539</x:v>
      </x:c>
      <x:c r="K505" s="14" t="n">
        <x:f>INT(H505*'공식·설정'!$B$10/'공식·설정'!$B$15)</x:f>
        <x:v>413539</x:v>
      </x:c>
      <x:c r="L505" s="68" t="n">
        <x:f>K505-J505</x:f>
        <x:v>0</x:v>
      </x:c>
      <x:c r="M505" s="65" t="n">
        <x:f>J505/'공식·설정'!$B$7</x:f>
        <x:v>1615.38671875</x:v>
      </x:c>
      <x:c r="N505" s="65" t="n">
        <x:f>K505/'공식·설정'!$B$7</x:f>
        <x:v>1615.38671875</x:v>
      </x:c>
      <x:c r="O505" s="14" t="n">
        <x:v>162</x:v>
      </x:c>
      <x:c r="P505" s="14" t="n">
        <x:f>MIN(32767,MAX(0,INT((K505+INT('공식·설정'!$B$12/2))/'공식·설정'!$B$12)))</x:f>
        <x:v>162</x:v>
      </x:c>
      <x:c r="Q505" s="68" t="n">
        <x:f>P505-O505</x:f>
        <x:v>0</x:v>
      </x:c>
      <x:c r="R505" s="14" t="n">
        <x:v>423168</x:v>
      </x:c>
      <x:c r="S505" s="14" t="n">
        <x:f>P505*'공식·설정'!$B$12+'공식·설정'!$B$14</x:f>
        <x:v>423168</x:v>
      </x:c>
      <x:c r="T505" s="68" t="n">
        <x:f>S505-R505</x:f>
        <x:v>0</x:v>
      </x:c>
      <x:c r="U505" s="65" t="n">
        <x:f>R505/'공식·설정'!$B$7</x:f>
        <x:v>1653</x:v>
      </x:c>
      <x:c r="V505" s="65" t="n">
        <x:f>S505/'공식·설정'!$B$7</x:f>
        <x:v>1653</x:v>
      </x:c>
      <x:c r="W505" s="14" t="n">
        <x:v>715</x:v>
      </x:c>
      <x:c r="X505" s="14" t="n">
        <x:f>INT(ABS(K506-K505)*'공식·설정'!$B$8/K505)</x:f>
        <x:v>715</x:v>
      </x:c>
      <x:c r="Y505" s="68" t="n">
        <x:f>X505-W505</x:f>
        <x:v>0</x:v>
      </x:c>
      <x:c r="Z505" s="66" t="n">
        <x:f>W505/'공식·설정'!$B$8</x:f>
        <x:v>0.0109100341796875</x:v>
      </x:c>
      <x:c r="AA505" s="66" t="n">
        <x:f>X505/'공식·설정'!$B$8</x:f>
        <x:v>0.0109100341796875</x:v>
      </x:c>
      <x:c r="AB505" s="67" t="str">
        <x:f>IF(AND(I505=0,L505=0,Q505=0,T505=0,Y505=0),"PASS","FAIL")</x:f>
        <x:v>PASS</x:v>
      </x:c>
    </x:row>
    <x:row r="506" ht="18" customHeight="1">
      <x:c r="A506" s="14" t="n">
        <x:v>609</x:v>
      </x:c>
      <x:c r="B506" s="14" t="n">
        <x:v>501</x:v>
      </x:c>
      <x:c r="C506" s="14" t="n">
        <x:v>602</x:v>
      </x:c>
      <x:c r="D506" s="14" t="n">
        <x:v>59365</x:v>
      </x:c>
      <x:c r="E506" s="14" t="n">
        <x:v>616</x:v>
      </x:c>
      <x:c r="F506" s="14" t="n">
        <x:v>69063</x:v>
      </x:c>
      <x:c r="G506" s="14" t="n">
        <x:v>64214</x:v>
      </x:c>
      <x:c r="H506" s="14" t="n">
        <x:f>INT((F506-D506)*(A506-C506)/(E506-C506))+D506</x:f>
        <x:v>64214</x:v>
      </x:c>
      <x:c r="I506" s="68" t="n">
        <x:f>H506-G506</x:f>
        <x:v>0</x:v>
      </x:c>
      <x:c r="J506" s="14" t="n">
        <x:v>418051</x:v>
      </x:c>
      <x:c r="K506" s="14" t="n">
        <x:f>INT(H506*'공식·설정'!$B$10/'공식·설정'!$B$15)</x:f>
        <x:v>418051</x:v>
      </x:c>
      <x:c r="L506" s="68" t="n">
        <x:f>K506-J506</x:f>
        <x:v>0</x:v>
      </x:c>
      <x:c r="M506" s="65" t="n">
        <x:f>J506/'공식·설정'!$B$7</x:f>
        <x:v>1633.01171875</x:v>
      </x:c>
      <x:c r="N506" s="65" t="n">
        <x:f>K506/'공식·설정'!$B$7</x:f>
        <x:v>1633.01171875</x:v>
      </x:c>
      <x:c r="O506" s="14" t="n">
        <x:v>163</x:v>
      </x:c>
      <x:c r="P506" s="14" t="n">
        <x:f>MIN(32767,MAX(0,INT((K506+INT('공식·설정'!$B$12/2))/'공식·설정'!$B$12)))</x:f>
        <x:v>163</x:v>
      </x:c>
      <x:c r="Q506" s="68" t="n">
        <x:f>P506-O506</x:f>
        <x:v>0</x:v>
      </x:c>
      <x:c r="R506" s="14" t="n">
        <x:v>425728</x:v>
      </x:c>
      <x:c r="S506" s="14" t="n">
        <x:f>P506*'공식·설정'!$B$12+'공식·설정'!$B$14</x:f>
        <x:v>425728</x:v>
      </x:c>
      <x:c r="T506" s="68" t="n">
        <x:f>S506-R506</x:f>
        <x:v>0</x:v>
      </x:c>
      <x:c r="U506" s="65" t="n">
        <x:f>R506/'공식·설정'!$B$7</x:f>
        <x:v>1663</x:v>
      </x:c>
      <x:c r="V506" s="65" t="n">
        <x:f>S506/'공식·설정'!$B$7</x:f>
        <x:v>1663</x:v>
      </x:c>
      <x:c r="W506" s="14" t="n">
        <x:v>706</x:v>
      </x:c>
      <x:c r="X506" s="14" t="n">
        <x:f>INT(ABS(K507-K506)*'공식·설정'!$B$8/K506)</x:f>
        <x:v>706</x:v>
      </x:c>
      <x:c r="Y506" s="68" t="n">
        <x:f>X506-W506</x:f>
        <x:v>0</x:v>
      </x:c>
      <x:c r="Z506" s="66" t="n">
        <x:f>W506/'공식·설정'!$B$8</x:f>
        <x:v>0.010772705078125</x:v>
      </x:c>
      <x:c r="AA506" s="66" t="n">
        <x:f>X506/'공식·설정'!$B$8</x:f>
        <x:v>0.010772705078125</x:v>
      </x:c>
      <x:c r="AB506" s="67" t="str">
        <x:f>IF(AND(I506=0,L506=0,Q506=0,T506=0,Y506=0),"PASS","FAIL")</x:f>
        <x:v>PASS</x:v>
      </x:c>
    </x:row>
    <x:row r="507" ht="18" customHeight="1">
      <x:c r="A507" s="14" t="n">
        <x:v>610</x:v>
      </x:c>
      <x:c r="B507" s="14" t="n">
        <x:v>502</x:v>
      </x:c>
      <x:c r="C507" s="14" t="n">
        <x:v>602</x:v>
      </x:c>
      <x:c r="D507" s="14" t="n">
        <x:v>59365</x:v>
      </x:c>
      <x:c r="E507" s="14" t="n">
        <x:v>616</x:v>
      </x:c>
      <x:c r="F507" s="14" t="n">
        <x:v>69063</x:v>
      </x:c>
      <x:c r="G507" s="14" t="n">
        <x:v>64906</x:v>
      </x:c>
      <x:c r="H507" s="14" t="n">
        <x:f>INT((F507-D507)*(A507-C507)/(E507-C507))+D507</x:f>
        <x:v>64906</x:v>
      </x:c>
      <x:c r="I507" s="68" t="n">
        <x:f>H507-G507</x:f>
        <x:v>0</x:v>
      </x:c>
      <x:c r="J507" s="14" t="n">
        <x:v>422556</x:v>
      </x:c>
      <x:c r="K507" s="14" t="n">
        <x:f>INT(H507*'공식·설정'!$B$10/'공식·설정'!$B$15)</x:f>
        <x:v>422556</x:v>
      </x:c>
      <x:c r="L507" s="68" t="n">
        <x:f>K507-J507</x:f>
        <x:v>0</x:v>
      </x:c>
      <x:c r="M507" s="65" t="n">
        <x:f>J507/'공식·설정'!$B$7</x:f>
        <x:v>1650.609375</x:v>
      </x:c>
      <x:c r="N507" s="65" t="n">
        <x:f>K507/'공식·설정'!$B$7</x:f>
        <x:v>1650.609375</x:v>
      </x:c>
      <x:c r="O507" s="14" t="n">
        <x:v>165</x:v>
      </x:c>
      <x:c r="P507" s="14" t="n">
        <x:f>MIN(32767,MAX(0,INT((K507+INT('공식·설정'!$B$12/2))/'공식·설정'!$B$12)))</x:f>
        <x:v>165</x:v>
      </x:c>
      <x:c r="Q507" s="68" t="n">
        <x:f>P507-O507</x:f>
        <x:v>0</x:v>
      </x:c>
      <x:c r="R507" s="14" t="n">
        <x:v>430848</x:v>
      </x:c>
      <x:c r="S507" s="14" t="n">
        <x:f>P507*'공식·설정'!$B$12+'공식·설정'!$B$14</x:f>
        <x:v>430848</x:v>
      </x:c>
      <x:c r="T507" s="68" t="n">
        <x:f>S507-R507</x:f>
        <x:v>0</x:v>
      </x:c>
      <x:c r="U507" s="65" t="n">
        <x:f>R507/'공식·설정'!$B$7</x:f>
        <x:v>1683</x:v>
      </x:c>
      <x:c r="V507" s="65" t="n">
        <x:f>S507/'공식·설정'!$B$7</x:f>
        <x:v>1683</x:v>
      </x:c>
      <x:c r="W507" s="14" t="n">
        <x:v>699</x:v>
      </x:c>
      <x:c r="X507" s="14" t="n">
        <x:f>INT(ABS(K508-K507)*'공식·설정'!$B$8/K507)</x:f>
        <x:v>699</x:v>
      </x:c>
      <x:c r="Y507" s="68" t="n">
        <x:f>X507-W507</x:f>
        <x:v>0</x:v>
      </x:c>
      <x:c r="Z507" s="66" t="n">
        <x:f>W507/'공식·설정'!$B$8</x:f>
        <x:v>0.0106658935546875</x:v>
      </x:c>
      <x:c r="AA507" s="66" t="n">
        <x:f>X507/'공식·설정'!$B$8</x:f>
        <x:v>0.0106658935546875</x:v>
      </x:c>
      <x:c r="AB507" s="67" t="str">
        <x:f>IF(AND(I507=0,L507=0,Q507=0,T507=0,Y507=0),"PASS","FAIL")</x:f>
        <x:v>PASS</x:v>
      </x:c>
    </x:row>
    <x:row r="508" ht="18" customHeight="1">
      <x:c r="A508" s="14" t="n">
        <x:v>611</x:v>
      </x:c>
      <x:c r="B508" s="14" t="n">
        <x:v>503</x:v>
      </x:c>
      <x:c r="C508" s="14" t="n">
        <x:v>602</x:v>
      </x:c>
      <x:c r="D508" s="14" t="n">
        <x:v>59365</x:v>
      </x:c>
      <x:c r="E508" s="14" t="n">
        <x:v>616</x:v>
      </x:c>
      <x:c r="F508" s="14" t="n">
        <x:v>69063</x:v>
      </x:c>
      <x:c r="G508" s="14" t="n">
        <x:v>65599</x:v>
      </x:c>
      <x:c r="H508" s="14" t="n">
        <x:f>INT((F508-D508)*(A508-C508)/(E508-C508))+D508</x:f>
        <x:v>65599</x:v>
      </x:c>
      <x:c r="I508" s="68" t="n">
        <x:f>H508-G508</x:f>
        <x:v>0</x:v>
      </x:c>
      <x:c r="J508" s="14" t="n">
        <x:v>427067</x:v>
      </x:c>
      <x:c r="K508" s="14" t="n">
        <x:f>INT(H508*'공식·설정'!$B$10/'공식·설정'!$B$15)</x:f>
        <x:v>427067</x:v>
      </x:c>
      <x:c r="L508" s="68" t="n">
        <x:f>K508-J508</x:f>
        <x:v>0</x:v>
      </x:c>
      <x:c r="M508" s="65" t="n">
        <x:f>J508/'공식·설정'!$B$7</x:f>
        <x:v>1668.23046875</x:v>
      </x:c>
      <x:c r="N508" s="65" t="n">
        <x:f>K508/'공식·설정'!$B$7</x:f>
        <x:v>1668.23046875</x:v>
      </x:c>
      <x:c r="O508" s="14" t="n">
        <x:v>167</x:v>
      </x:c>
      <x:c r="P508" s="14" t="n">
        <x:f>MIN(32767,MAX(0,INT((K508+INT('공식·설정'!$B$12/2))/'공식·설정'!$B$12)))</x:f>
        <x:v>167</x:v>
      </x:c>
      <x:c r="Q508" s="68" t="n">
        <x:f>P508-O508</x:f>
        <x:v>0</x:v>
      </x:c>
      <x:c r="R508" s="14" t="n">
        <x:v>435968</x:v>
      </x:c>
      <x:c r="S508" s="14" t="n">
        <x:f>P508*'공식·설정'!$B$12+'공식·설정'!$B$14</x:f>
        <x:v>435968</x:v>
      </x:c>
      <x:c r="T508" s="68" t="n">
        <x:f>S508-R508</x:f>
        <x:v>0</x:v>
      </x:c>
      <x:c r="U508" s="65" t="n">
        <x:f>R508/'공식·설정'!$B$7</x:f>
        <x:v>1703</x:v>
      </x:c>
      <x:c r="V508" s="65" t="n">
        <x:f>S508/'공식·설정'!$B$7</x:f>
        <x:v>1703</x:v>
      </x:c>
      <x:c r="W508" s="14" t="n">
        <x:v>692</x:v>
      </x:c>
      <x:c r="X508" s="14" t="n">
        <x:f>INT(ABS(K509-K508)*'공식·설정'!$B$8/K508)</x:f>
        <x:v>692</x:v>
      </x:c>
      <x:c r="Y508" s="68" t="n">
        <x:f>X508-W508</x:f>
        <x:v>0</x:v>
      </x:c>
      <x:c r="Z508" s="66" t="n">
        <x:f>W508/'공식·설정'!$B$8</x:f>
        <x:v>0.01055908203125</x:v>
      </x:c>
      <x:c r="AA508" s="66" t="n">
        <x:f>X508/'공식·설정'!$B$8</x:f>
        <x:v>0.01055908203125</x:v>
      </x:c>
      <x:c r="AB508" s="67" t="str">
        <x:f>IF(AND(I508=0,L508=0,Q508=0,T508=0,Y508=0),"PASS","FAIL")</x:f>
        <x:v>PASS</x:v>
      </x:c>
    </x:row>
    <x:row r="509" ht="18" customHeight="1">
      <x:c r="A509" s="14" t="n">
        <x:v>612</x:v>
      </x:c>
      <x:c r="B509" s="14" t="n">
        <x:v>504</x:v>
      </x:c>
      <x:c r="C509" s="14" t="n">
        <x:v>602</x:v>
      </x:c>
      <x:c r="D509" s="14" t="n">
        <x:v>59365</x:v>
      </x:c>
      <x:c r="E509" s="14" t="n">
        <x:v>616</x:v>
      </x:c>
      <x:c r="F509" s="14" t="n">
        <x:v>69063</x:v>
      </x:c>
      <x:c r="G509" s="14" t="n">
        <x:v>66292</x:v>
      </x:c>
      <x:c r="H509" s="14" t="n">
        <x:f>INT((F509-D509)*(A509-C509)/(E509-C509))+D509</x:f>
        <x:v>66292</x:v>
      </x:c>
      <x:c r="I509" s="68" t="n">
        <x:f>H509-G509</x:f>
        <x:v>0</x:v>
      </x:c>
      <x:c r="J509" s="14" t="n">
        <x:v>431579</x:v>
      </x:c>
      <x:c r="K509" s="14" t="n">
        <x:f>INT(H509*'공식·설정'!$B$10/'공식·설정'!$B$15)</x:f>
        <x:v>431579</x:v>
      </x:c>
      <x:c r="L509" s="68" t="n">
        <x:f>K509-J509</x:f>
        <x:v>0</x:v>
      </x:c>
      <x:c r="M509" s="65" t="n">
        <x:f>J509/'공식·설정'!$B$7</x:f>
        <x:v>1685.85546875</x:v>
      </x:c>
      <x:c r="N509" s="65" t="n">
        <x:f>K509/'공식·설정'!$B$7</x:f>
        <x:v>1685.85546875</x:v>
      </x:c>
      <x:c r="O509" s="14" t="n">
        <x:v>169</x:v>
      </x:c>
      <x:c r="P509" s="14" t="n">
        <x:f>MIN(32767,MAX(0,INT((K509+INT('공식·설정'!$B$12/2))/'공식·설정'!$B$12)))</x:f>
        <x:v>169</x:v>
      </x:c>
      <x:c r="Q509" s="68" t="n">
        <x:f>P509-O509</x:f>
        <x:v>0</x:v>
      </x:c>
      <x:c r="R509" s="14" t="n">
        <x:v>441088</x:v>
      </x:c>
      <x:c r="S509" s="14" t="n">
        <x:f>P509*'공식·설정'!$B$12+'공식·설정'!$B$14</x:f>
        <x:v>441088</x:v>
      </x:c>
      <x:c r="T509" s="68" t="n">
        <x:f>S509-R509</x:f>
        <x:v>0</x:v>
      </x:c>
      <x:c r="U509" s="65" t="n">
        <x:f>R509/'공식·설정'!$B$7</x:f>
        <x:v>1723</x:v>
      </x:c>
      <x:c r="V509" s="65" t="n">
        <x:f>S509/'공식·설정'!$B$7</x:f>
        <x:v>1723</x:v>
      </x:c>
      <x:c r="W509" s="14" t="n">
        <x:v>684</x:v>
      </x:c>
      <x:c r="X509" s="14" t="n">
        <x:f>INT(ABS(K510-K509)*'공식·설정'!$B$8/K509)</x:f>
        <x:v>684</x:v>
      </x:c>
      <x:c r="Y509" s="68" t="n">
        <x:f>X509-W509</x:f>
        <x:v>0</x:v>
      </x:c>
      <x:c r="Z509" s="66" t="n">
        <x:f>W509/'공식·설정'!$B$8</x:f>
        <x:v>0.01043701171875</x:v>
      </x:c>
      <x:c r="AA509" s="66" t="n">
        <x:f>X509/'공식·설정'!$B$8</x:f>
        <x:v>0.01043701171875</x:v>
      </x:c>
      <x:c r="AB509" s="67" t="str">
        <x:f>IF(AND(I509=0,L509=0,Q509=0,T509=0,Y509=0),"PASS","FAIL")</x:f>
        <x:v>PASS</x:v>
      </x:c>
    </x:row>
    <x:row r="510" ht="18" customHeight="1">
      <x:c r="A510" s="14" t="n">
        <x:v>613</x:v>
      </x:c>
      <x:c r="B510" s="14" t="n">
        <x:v>505</x:v>
      </x:c>
      <x:c r="C510" s="14" t="n">
        <x:v>602</x:v>
      </x:c>
      <x:c r="D510" s="14" t="n">
        <x:v>59365</x:v>
      </x:c>
      <x:c r="E510" s="14" t="n">
        <x:v>616</x:v>
      </x:c>
      <x:c r="F510" s="14" t="n">
        <x:v>69063</x:v>
      </x:c>
      <x:c r="G510" s="14" t="n">
        <x:v>66984</x:v>
      </x:c>
      <x:c r="H510" s="14" t="n">
        <x:f>INT((F510-D510)*(A510-C510)/(E510-C510))+D510</x:f>
        <x:v>66984</x:v>
      </x:c>
      <x:c r="I510" s="68" t="n">
        <x:f>H510-G510</x:f>
        <x:v>0</x:v>
      </x:c>
      <x:c r="J510" s="14" t="n">
        <x:v>436084</x:v>
      </x:c>
      <x:c r="K510" s="14" t="n">
        <x:f>INT(H510*'공식·설정'!$B$10/'공식·설정'!$B$15)</x:f>
        <x:v>436084</x:v>
      </x:c>
      <x:c r="L510" s="68" t="n">
        <x:f>K510-J510</x:f>
        <x:v>0</x:v>
      </x:c>
      <x:c r="M510" s="65" t="n">
        <x:f>J510/'공식·설정'!$B$7</x:f>
        <x:v>1703.453125</x:v>
      </x:c>
      <x:c r="N510" s="65" t="n">
        <x:f>K510/'공식·설정'!$B$7</x:f>
        <x:v>1703.453125</x:v>
      </x:c>
      <x:c r="O510" s="14" t="n">
        <x:v>170</x:v>
      </x:c>
      <x:c r="P510" s="14" t="n">
        <x:f>MIN(32767,MAX(0,INT((K510+INT('공식·설정'!$B$12/2))/'공식·설정'!$B$12)))</x:f>
        <x:v>170</x:v>
      </x:c>
      <x:c r="Q510" s="68" t="n">
        <x:f>P510-O510</x:f>
        <x:v>0</x:v>
      </x:c>
      <x:c r="R510" s="14" t="n">
        <x:v>443648</x:v>
      </x:c>
      <x:c r="S510" s="14" t="n">
        <x:f>P510*'공식·설정'!$B$12+'공식·설정'!$B$14</x:f>
        <x:v>443648</x:v>
      </x:c>
      <x:c r="T510" s="68" t="n">
        <x:f>S510-R510</x:f>
        <x:v>0</x:v>
      </x:c>
      <x:c r="U510" s="65" t="n">
        <x:f>R510/'공식·설정'!$B$7</x:f>
        <x:v>1733</x:v>
      </x:c>
      <x:c r="V510" s="65" t="n">
        <x:f>S510/'공식·설정'!$B$7</x:f>
        <x:v>1733</x:v>
      </x:c>
      <x:c r="W510" s="14" t="n">
        <x:v>678</x:v>
      </x:c>
      <x:c r="X510" s="14" t="n">
        <x:f>INT(ABS(K511-K510)*'공식·설정'!$B$8/K510)</x:f>
        <x:v>678</x:v>
      </x:c>
      <x:c r="Y510" s="68" t="n">
        <x:f>X510-W510</x:f>
        <x:v>0</x:v>
      </x:c>
      <x:c r="Z510" s="66" t="n">
        <x:f>W510/'공식·설정'!$B$8</x:f>
        <x:v>0.010345458984375</x:v>
      </x:c>
      <x:c r="AA510" s="66" t="n">
        <x:f>X510/'공식·설정'!$B$8</x:f>
        <x:v>0.010345458984375</x:v>
      </x:c>
      <x:c r="AB510" s="67" t="str">
        <x:f>IF(AND(I510=0,L510=0,Q510=0,T510=0,Y510=0),"PASS","FAIL")</x:f>
        <x:v>PASS</x:v>
      </x:c>
    </x:row>
    <x:row r="511" ht="18" customHeight="1">
      <x:c r="A511" s="14" t="n">
        <x:v>614</x:v>
      </x:c>
      <x:c r="B511" s="14" t="n">
        <x:v>506</x:v>
      </x:c>
      <x:c r="C511" s="14" t="n">
        <x:v>602</x:v>
      </x:c>
      <x:c r="D511" s="14" t="n">
        <x:v>59365</x:v>
      </x:c>
      <x:c r="E511" s="14" t="n">
        <x:v>616</x:v>
      </x:c>
      <x:c r="F511" s="14" t="n">
        <x:v>69063</x:v>
      </x:c>
      <x:c r="G511" s="14" t="n">
        <x:v>67677</x:v>
      </x:c>
      <x:c r="H511" s="14" t="n">
        <x:f>INT((F511-D511)*(A511-C511)/(E511-C511))+D511</x:f>
        <x:v>67677</x:v>
      </x:c>
      <x:c r="I511" s="68" t="n">
        <x:f>H511-G511</x:f>
        <x:v>0</x:v>
      </x:c>
      <x:c r="J511" s="14" t="n">
        <x:v>440596</x:v>
      </x:c>
      <x:c r="K511" s="14" t="n">
        <x:f>INT(H511*'공식·설정'!$B$10/'공식·설정'!$B$15)</x:f>
        <x:v>440596</x:v>
      </x:c>
      <x:c r="L511" s="68" t="n">
        <x:f>K511-J511</x:f>
        <x:v>0</x:v>
      </x:c>
      <x:c r="M511" s="65" t="n">
        <x:f>J511/'공식·설정'!$B$7</x:f>
        <x:v>1721.078125</x:v>
      </x:c>
      <x:c r="N511" s="65" t="n">
        <x:f>K511/'공식·설정'!$B$7</x:f>
        <x:v>1721.078125</x:v>
      </x:c>
      <x:c r="O511" s="14" t="n">
        <x:v>172</x:v>
      </x:c>
      <x:c r="P511" s="14" t="n">
        <x:f>MIN(32767,MAX(0,INT((K511+INT('공식·설정'!$B$12/2))/'공식·설정'!$B$12)))</x:f>
        <x:v>172</x:v>
      </x:c>
      <x:c r="Q511" s="68" t="n">
        <x:f>P511-O511</x:f>
        <x:v>0</x:v>
      </x:c>
      <x:c r="R511" s="14" t="n">
        <x:v>448768</x:v>
      </x:c>
      <x:c r="S511" s="14" t="n">
        <x:f>P511*'공식·설정'!$B$12+'공식·설정'!$B$14</x:f>
        <x:v>448768</x:v>
      </x:c>
      <x:c r="T511" s="68" t="n">
        <x:f>S511-R511</x:f>
        <x:v>0</x:v>
      </x:c>
      <x:c r="U511" s="65" t="n">
        <x:f>R511/'공식·설정'!$B$7</x:f>
        <x:v>1753</x:v>
      </x:c>
      <x:c r="V511" s="65" t="n">
        <x:f>S511/'공식·설정'!$B$7</x:f>
        <x:v>1753</x:v>
      </x:c>
      <x:c r="W511" s="14" t="n">
        <x:v>670</x:v>
      </x:c>
      <x:c r="X511" s="14" t="n">
        <x:f>INT(ABS(K512-K511)*'공식·설정'!$B$8/K511)</x:f>
        <x:v>670</x:v>
      </x:c>
      <x:c r="Y511" s="68" t="n">
        <x:f>X511-W511</x:f>
        <x:v>0</x:v>
      </x:c>
      <x:c r="Z511" s="66" t="n">
        <x:f>W511/'공식·설정'!$B$8</x:f>
        <x:v>0.010223388671875</x:v>
      </x:c>
      <x:c r="AA511" s="66" t="n">
        <x:f>X511/'공식·설정'!$B$8</x:f>
        <x:v>0.010223388671875</x:v>
      </x:c>
      <x:c r="AB511" s="67" t="str">
        <x:f>IF(AND(I511=0,L511=0,Q511=0,T511=0,Y511=0),"PASS","FAIL")</x:f>
        <x:v>PASS</x:v>
      </x:c>
    </x:row>
    <x:row r="512" ht="18" customHeight="1">
      <x:c r="A512" s="14" t="n">
        <x:v>615</x:v>
      </x:c>
      <x:c r="B512" s="14" t="n">
        <x:v>507</x:v>
      </x:c>
      <x:c r="C512" s="14" t="n">
        <x:v>602</x:v>
      </x:c>
      <x:c r="D512" s="14" t="n">
        <x:v>59365</x:v>
      </x:c>
      <x:c r="E512" s="14" t="n">
        <x:v>616</x:v>
      </x:c>
      <x:c r="F512" s="14" t="n">
        <x:v>69063</x:v>
      </x:c>
      <x:c r="G512" s="14" t="n">
        <x:v>68370</x:v>
      </x:c>
      <x:c r="H512" s="14" t="n">
        <x:f>INT((F512-D512)*(A512-C512)/(E512-C512))+D512</x:f>
        <x:v>68370</x:v>
      </x:c>
      <x:c r="I512" s="68" t="n">
        <x:f>H512-G512</x:f>
        <x:v>0</x:v>
      </x:c>
      <x:c r="J512" s="14" t="n">
        <x:v>445107</x:v>
      </x:c>
      <x:c r="K512" s="14" t="n">
        <x:f>INT(H512*'공식·설정'!$B$10/'공식·설정'!$B$15)</x:f>
        <x:v>445107</x:v>
      </x:c>
      <x:c r="L512" s="68" t="n">
        <x:f>K512-J512</x:f>
        <x:v>0</x:v>
      </x:c>
      <x:c r="M512" s="65" t="n">
        <x:f>J512/'공식·설정'!$B$7</x:f>
        <x:v>1738.69921875</x:v>
      </x:c>
      <x:c r="N512" s="65" t="n">
        <x:f>K512/'공식·설정'!$B$7</x:f>
        <x:v>1738.69921875</x:v>
      </x:c>
      <x:c r="O512" s="14" t="n">
        <x:v>174</x:v>
      </x:c>
      <x:c r="P512" s="14" t="n">
        <x:f>MIN(32767,MAX(0,INT((K512+INT('공식·설정'!$B$12/2))/'공식·설정'!$B$12)))</x:f>
        <x:v>174</x:v>
      </x:c>
      <x:c r="Q512" s="68" t="n">
        <x:f>P512-O512</x:f>
        <x:v>0</x:v>
      </x:c>
      <x:c r="R512" s="14" t="n">
        <x:v>453888</x:v>
      </x:c>
      <x:c r="S512" s="14" t="n">
        <x:f>P512*'공식·설정'!$B$12+'공식·설정'!$B$14</x:f>
        <x:v>453888</x:v>
      </x:c>
      <x:c r="T512" s="68" t="n">
        <x:f>S512-R512</x:f>
        <x:v>0</x:v>
      </x:c>
      <x:c r="U512" s="65" t="n">
        <x:f>R512/'공식·설정'!$B$7</x:f>
        <x:v>1773</x:v>
      </x:c>
      <x:c r="V512" s="65" t="n">
        <x:f>S512/'공식·설정'!$B$7</x:f>
        <x:v>1773</x:v>
      </x:c>
      <x:c r="W512" s="14" t="n">
        <x:v>664</x:v>
      </x:c>
      <x:c r="X512" s="14" t="n">
        <x:f>INT(ABS(K513-K512)*'공식·설정'!$B$8/K512)</x:f>
        <x:v>664</x:v>
      </x:c>
      <x:c r="Y512" s="68" t="n">
        <x:f>X512-W512</x:f>
        <x:v>0</x:v>
      </x:c>
      <x:c r="Z512" s="66" t="n">
        <x:f>W512/'공식·설정'!$B$8</x:f>
        <x:v>0.0101318359375</x:v>
      </x:c>
      <x:c r="AA512" s="66" t="n">
        <x:f>X512/'공식·설정'!$B$8</x:f>
        <x:v>0.0101318359375</x:v>
      </x:c>
      <x:c r="AB512" s="67" t="str">
        <x:f>IF(AND(I512=0,L512=0,Q512=0,T512=0,Y512=0),"PASS","FAIL")</x:f>
        <x:v>PASS</x:v>
      </x:c>
    </x:row>
    <x:row r="513" ht="18" customHeight="1">
      <x:c r="A513" s="14" t="n">
        <x:v>616</x:v>
      </x:c>
      <x:c r="B513" s="14" t="n">
        <x:v>508</x:v>
      </x:c>
      <x:c r="C513" s="14" t="n">
        <x:v>616</x:v>
      </x:c>
      <x:c r="D513" s="14" t="n">
        <x:v>69063</x:v>
      </x:c>
      <x:c r="E513" s="14" t="n">
        <x:v>630</x:v>
      </x:c>
      <x:c r="F513" s="14" t="n">
        <x:v>80343</x:v>
      </x:c>
      <x:c r="G513" s="14" t="n">
        <x:v>69063</x:v>
      </x:c>
      <x:c r="H513" s="14" t="n">
        <x:f>INT((F513-D513)*(A513-C513)/(E513-C513))+D513</x:f>
        <x:v>69063</x:v>
      </x:c>
      <x:c r="I513" s="68" t="n">
        <x:f>H513-G513</x:f>
        <x:v>0</x:v>
      </x:c>
      <x:c r="J513" s="14" t="n">
        <x:v>449619</x:v>
      </x:c>
      <x:c r="K513" s="14" t="n">
        <x:f>INT(H513*'공식·설정'!$B$10/'공식·설정'!$B$15)</x:f>
        <x:v>449619</x:v>
      </x:c>
      <x:c r="L513" s="68" t="n">
        <x:f>K513-J513</x:f>
        <x:v>0</x:v>
      </x:c>
      <x:c r="M513" s="65" t="n">
        <x:f>J513/'공식·설정'!$B$7</x:f>
        <x:v>1756.32421875</x:v>
      </x:c>
      <x:c r="N513" s="65" t="n">
        <x:f>K513/'공식·설정'!$B$7</x:f>
        <x:v>1756.32421875</x:v>
      </x:c>
      <x:c r="O513" s="14" t="n">
        <x:v>176</x:v>
      </x:c>
      <x:c r="P513" s="14" t="n">
        <x:f>MIN(32767,MAX(0,INT((K513+INT('공식·설정'!$B$12/2))/'공식·설정'!$B$12)))</x:f>
        <x:v>176</x:v>
      </x:c>
      <x:c r="Q513" s="68" t="n">
        <x:f>P513-O513</x:f>
        <x:v>0</x:v>
      </x:c>
      <x:c r="R513" s="14" t="n">
        <x:v>459008</x:v>
      </x:c>
      <x:c r="S513" s="14" t="n">
        <x:f>P513*'공식·설정'!$B$12+'공식·설정'!$B$14</x:f>
        <x:v>459008</x:v>
      </x:c>
      <x:c r="T513" s="68" t="n">
        <x:f>S513-R513</x:f>
        <x:v>0</x:v>
      </x:c>
      <x:c r="U513" s="65" t="n">
        <x:f>R513/'공식·설정'!$B$7</x:f>
        <x:v>1793</x:v>
      </x:c>
      <x:c r="V513" s="65" t="n">
        <x:f>S513/'공식·설정'!$B$7</x:f>
        <x:v>1793</x:v>
      </x:c>
      <x:c r="W513" s="14" t="n">
        <x:v>763</x:v>
      </x:c>
      <x:c r="X513" s="14" t="n">
        <x:f>INT(ABS(K514-K513)*'공식·설정'!$B$8/K513)</x:f>
        <x:v>763</x:v>
      </x:c>
      <x:c r="Y513" s="68" t="n">
        <x:f>X513-W513</x:f>
        <x:v>0</x:v>
      </x:c>
      <x:c r="Z513" s="66" t="n">
        <x:f>W513/'공식·설정'!$B$8</x:f>
        <x:v>0.0116424560546875</x:v>
      </x:c>
      <x:c r="AA513" s="66" t="n">
        <x:f>X513/'공식·설정'!$B$8</x:f>
        <x:v>0.0116424560546875</x:v>
      </x:c>
      <x:c r="AB513" s="67" t="str">
        <x:f>IF(AND(I513=0,L513=0,Q513=0,T513=0,Y513=0),"PASS","FAIL")</x:f>
        <x:v>PASS</x:v>
      </x:c>
    </x:row>
    <x:row r="514" ht="18" customHeight="1">
      <x:c r="A514" s="14" t="n">
        <x:v>617</x:v>
      </x:c>
      <x:c r="B514" s="14" t="n">
        <x:v>509</x:v>
      </x:c>
      <x:c r="C514" s="14" t="n">
        <x:v>616</x:v>
      </x:c>
      <x:c r="D514" s="14" t="n">
        <x:v>69063</x:v>
      </x:c>
      <x:c r="E514" s="14" t="n">
        <x:v>630</x:v>
      </x:c>
      <x:c r="F514" s="14" t="n">
        <x:v>80343</x:v>
      </x:c>
      <x:c r="G514" s="14" t="n">
        <x:v>69868</x:v>
      </x:c>
      <x:c r="H514" s="14" t="n">
        <x:f>INT((F514-D514)*(A514-C514)/(E514-C514))+D514</x:f>
        <x:v>69868</x:v>
      </x:c>
      <x:c r="I514" s="68" t="n">
        <x:f>H514-G514</x:f>
        <x:v>0</x:v>
      </x:c>
      <x:c r="J514" s="14" t="n">
        <x:v>454860</x:v>
      </x:c>
      <x:c r="K514" s="14" t="n">
        <x:f>INT(H514*'공식·설정'!$B$10/'공식·설정'!$B$15)</x:f>
        <x:v>454860</x:v>
      </x:c>
      <x:c r="L514" s="68" t="n">
        <x:f>K514-J514</x:f>
        <x:v>0</x:v>
      </x:c>
      <x:c r="M514" s="65" t="n">
        <x:f>J514/'공식·설정'!$B$7</x:f>
        <x:v>1776.796875</x:v>
      </x:c>
      <x:c r="N514" s="65" t="n">
        <x:f>K514/'공식·설정'!$B$7</x:f>
        <x:v>1776.796875</x:v>
      </x:c>
      <x:c r="O514" s="14" t="n">
        <x:v>178</x:v>
      </x:c>
      <x:c r="P514" s="14" t="n">
        <x:f>MIN(32767,MAX(0,INT((K514+INT('공식·설정'!$B$12/2))/'공식·설정'!$B$12)))</x:f>
        <x:v>178</x:v>
      </x:c>
      <x:c r="Q514" s="68" t="n">
        <x:f>P514-O514</x:f>
        <x:v>0</x:v>
      </x:c>
      <x:c r="R514" s="14" t="n">
        <x:v>464128</x:v>
      </x:c>
      <x:c r="S514" s="14" t="n">
        <x:f>P514*'공식·설정'!$B$12+'공식·설정'!$B$14</x:f>
        <x:v>464128</x:v>
      </x:c>
      <x:c r="T514" s="68" t="n">
        <x:f>S514-R514</x:f>
        <x:v>0</x:v>
      </x:c>
      <x:c r="U514" s="65" t="n">
        <x:f>R514/'공식·설정'!$B$7</x:f>
        <x:v>1813</x:v>
      </x:c>
      <x:c r="V514" s="65" t="n">
        <x:f>S514/'공식·설정'!$B$7</x:f>
        <x:v>1813</x:v>
      </x:c>
      <x:c r="W514" s="14" t="n">
        <x:v>755</x:v>
      </x:c>
      <x:c r="X514" s="14" t="n">
        <x:f>INT(ABS(K515-K514)*'공식·설정'!$B$8/K514)</x:f>
        <x:v>755</x:v>
      </x:c>
      <x:c r="Y514" s="68" t="n">
        <x:f>X514-W514</x:f>
        <x:v>0</x:v>
      </x:c>
      <x:c r="Z514" s="66" t="n">
        <x:f>W514/'공식·설정'!$B$8</x:f>
        <x:v>0.0115203857421875</x:v>
      </x:c>
      <x:c r="AA514" s="66" t="n">
        <x:f>X514/'공식·설정'!$B$8</x:f>
        <x:v>0.0115203857421875</x:v>
      </x:c>
      <x:c r="AB514" s="67" t="str">
        <x:f>IF(AND(I514=0,L514=0,Q514=0,T514=0,Y514=0),"PASS","FAIL")</x:f>
        <x:v>PASS</x:v>
      </x:c>
    </x:row>
    <x:row r="515" ht="18" customHeight="1">
      <x:c r="A515" s="14" t="n">
        <x:v>618</x:v>
      </x:c>
      <x:c r="B515" s="14" t="n">
        <x:v>510</x:v>
      </x:c>
      <x:c r="C515" s="14" t="n">
        <x:v>616</x:v>
      </x:c>
      <x:c r="D515" s="14" t="n">
        <x:v>69063</x:v>
      </x:c>
      <x:c r="E515" s="14" t="n">
        <x:v>630</x:v>
      </x:c>
      <x:c r="F515" s="14" t="n">
        <x:v>80343</x:v>
      </x:c>
      <x:c r="G515" s="14" t="n">
        <x:v>70674</x:v>
      </x:c>
      <x:c r="H515" s="14" t="n">
        <x:f>INT((F515-D515)*(A515-C515)/(E515-C515))+D515</x:f>
        <x:v>70674</x:v>
      </x:c>
      <x:c r="I515" s="68" t="n">
        <x:f>H515-G515</x:f>
        <x:v>0</x:v>
      </x:c>
      <x:c r="J515" s="14" t="n">
        <x:v>460107</x:v>
      </x:c>
      <x:c r="K515" s="14" t="n">
        <x:f>INT(H515*'공식·설정'!$B$10/'공식·설정'!$B$15)</x:f>
        <x:v>460107</x:v>
      </x:c>
      <x:c r="L515" s="68" t="n">
        <x:f>K515-J515</x:f>
        <x:v>0</x:v>
      </x:c>
      <x:c r="M515" s="65" t="n">
        <x:f>J515/'공식·설정'!$B$7</x:f>
        <x:v>1797.29296875</x:v>
      </x:c>
      <x:c r="N515" s="65" t="n">
        <x:f>K515/'공식·설정'!$B$7</x:f>
        <x:v>1797.29296875</x:v>
      </x:c>
      <x:c r="O515" s="14" t="n">
        <x:v>180</x:v>
      </x:c>
      <x:c r="P515" s="14" t="n">
        <x:f>MIN(32767,MAX(0,INT((K515+INT('공식·설정'!$B$12/2))/'공식·설정'!$B$12)))</x:f>
        <x:v>180</x:v>
      </x:c>
      <x:c r="Q515" s="68" t="n">
        <x:f>P515-O515</x:f>
        <x:v>0</x:v>
      </x:c>
      <x:c r="R515" s="14" t="n">
        <x:v>469248</x:v>
      </x:c>
      <x:c r="S515" s="14" t="n">
        <x:f>P515*'공식·설정'!$B$12+'공식·설정'!$B$14</x:f>
        <x:v>469248</x:v>
      </x:c>
      <x:c r="T515" s="68" t="n">
        <x:f>S515-R515</x:f>
        <x:v>0</x:v>
      </x:c>
      <x:c r="U515" s="65" t="n">
        <x:f>R515/'공식·설정'!$B$7</x:f>
        <x:v>1833</x:v>
      </x:c>
      <x:c r="V515" s="65" t="n">
        <x:f>S515/'공식·설정'!$B$7</x:f>
        <x:v>1833</x:v>
      </x:c>
      <x:c r="W515" s="14" t="n">
        <x:v>747</x:v>
      </x:c>
      <x:c r="X515" s="14" t="n">
        <x:f>INT(ABS(K516-K515)*'공식·설정'!$B$8/K515)</x:f>
        <x:v>747</x:v>
      </x:c>
      <x:c r="Y515" s="68" t="n">
        <x:f>X515-W515</x:f>
        <x:v>0</x:v>
      </x:c>
      <x:c r="Z515" s="66" t="n">
        <x:f>W515/'공식·설정'!$B$8</x:f>
        <x:v>0.0113983154296875</x:v>
      </x:c>
      <x:c r="AA515" s="66" t="n">
        <x:f>X515/'공식·설정'!$B$8</x:f>
        <x:v>0.0113983154296875</x:v>
      </x:c>
      <x:c r="AB515" s="67" t="str">
        <x:f>IF(AND(I515=0,L515=0,Q515=0,T515=0,Y515=0),"PASS","FAIL")</x:f>
        <x:v>PASS</x:v>
      </x:c>
    </x:row>
    <x:row r="516" ht="18" customHeight="1">
      <x:c r="A516" s="14" t="n">
        <x:v>619</x:v>
      </x:c>
      <x:c r="B516" s="14" t="n">
        <x:v>511</x:v>
      </x:c>
      <x:c r="C516" s="14" t="n">
        <x:v>616</x:v>
      </x:c>
      <x:c r="D516" s="14" t="n">
        <x:v>69063</x:v>
      </x:c>
      <x:c r="E516" s="14" t="n">
        <x:v>630</x:v>
      </x:c>
      <x:c r="F516" s="14" t="n">
        <x:v>80343</x:v>
      </x:c>
      <x:c r="G516" s="14" t="n">
        <x:v>71480</x:v>
      </x:c>
      <x:c r="H516" s="14" t="n">
        <x:f>INT((F516-D516)*(A516-C516)/(E516-C516))+D516</x:f>
        <x:v>71480</x:v>
      </x:c>
      <x:c r="I516" s="68" t="n">
        <x:f>H516-G516</x:f>
        <x:v>0</x:v>
      </x:c>
      <x:c r="J516" s="14" t="n">
        <x:v>465354</x:v>
      </x:c>
      <x:c r="K516" s="14" t="n">
        <x:f>INT(H516*'공식·설정'!$B$10/'공식·설정'!$B$15)</x:f>
        <x:v>465354</x:v>
      </x:c>
      <x:c r="L516" s="68" t="n">
        <x:f>K516-J516</x:f>
        <x:v>0</x:v>
      </x:c>
      <x:c r="M516" s="65" t="n">
        <x:f>J516/'공식·설정'!$B$7</x:f>
        <x:v>1817.7890625</x:v>
      </x:c>
      <x:c r="N516" s="65" t="n">
        <x:f>K516/'공식·설정'!$B$7</x:f>
        <x:v>1817.7890625</x:v>
      </x:c>
      <x:c r="O516" s="14" t="n">
        <x:v>182</x:v>
      </x:c>
      <x:c r="P516" s="14" t="n">
        <x:f>MIN(32767,MAX(0,INT((K516+INT('공식·설정'!$B$12/2))/'공식·설정'!$B$12)))</x:f>
        <x:v>182</x:v>
      </x:c>
      <x:c r="Q516" s="68" t="n">
        <x:f>P516-O516</x:f>
        <x:v>0</x:v>
      </x:c>
      <x:c r="R516" s="14" t="n">
        <x:v>474368</x:v>
      </x:c>
      <x:c r="S516" s="14" t="n">
        <x:f>P516*'공식·설정'!$B$12+'공식·설정'!$B$14</x:f>
        <x:v>474368</x:v>
      </x:c>
      <x:c r="T516" s="68" t="n">
        <x:f>S516-R516</x:f>
        <x:v>0</x:v>
      </x:c>
      <x:c r="U516" s="65" t="n">
        <x:f>R516/'공식·설정'!$B$7</x:f>
        <x:v>1853</x:v>
      </x:c>
      <x:c r="V516" s="65" t="n">
        <x:f>S516/'공식·설정'!$B$7</x:f>
        <x:v>1853</x:v>
      </x:c>
      <x:c r="W516" s="14" t="n">
        <x:v>738</x:v>
      </x:c>
      <x:c r="X516" s="14" t="n">
        <x:f>INT(ABS(K517-K516)*'공식·설정'!$B$8/K516)</x:f>
        <x:v>738</x:v>
      </x:c>
      <x:c r="Y516" s="68" t="n">
        <x:f>X516-W516</x:f>
        <x:v>0</x:v>
      </x:c>
      <x:c r="Z516" s="66" t="n">
        <x:f>W516/'공식·설정'!$B$8</x:f>
        <x:v>0.011260986328125</x:v>
      </x:c>
      <x:c r="AA516" s="66" t="n">
        <x:f>X516/'공식·설정'!$B$8</x:f>
        <x:v>0.011260986328125</x:v>
      </x:c>
      <x:c r="AB516" s="67" t="str">
        <x:f>IF(AND(I516=0,L516=0,Q516=0,T516=0,Y516=0),"PASS","FAIL")</x:f>
        <x:v>PASS</x:v>
      </x:c>
    </x:row>
    <x:row r="517" ht="18" customHeight="1">
      <x:c r="A517" s="14" t="n">
        <x:v>620</x:v>
      </x:c>
      <x:c r="B517" s="14" t="n">
        <x:v>512</x:v>
      </x:c>
      <x:c r="C517" s="14" t="n">
        <x:v>616</x:v>
      </x:c>
      <x:c r="D517" s="14" t="n">
        <x:v>69063</x:v>
      </x:c>
      <x:c r="E517" s="14" t="n">
        <x:v>630</x:v>
      </x:c>
      <x:c r="F517" s="14" t="n">
        <x:v>80343</x:v>
      </x:c>
      <x:c r="G517" s="14" t="n">
        <x:v>72285</x:v>
      </x:c>
      <x:c r="H517" s="14" t="n">
        <x:f>INT((F517-D517)*(A517-C517)/(E517-C517))+D517</x:f>
        <x:v>72285</x:v>
      </x:c>
      <x:c r="I517" s="68" t="n">
        <x:f>H517-G517</x:f>
        <x:v>0</x:v>
      </x:c>
      <x:c r="J517" s="14" t="n">
        <x:v>470595</x:v>
      </x:c>
      <x:c r="K517" s="14" t="n">
        <x:f>INT(H517*'공식·설정'!$B$10/'공식·설정'!$B$15)</x:f>
        <x:v>470595</x:v>
      </x:c>
      <x:c r="L517" s="68" t="n">
        <x:f>K517-J517</x:f>
        <x:v>0</x:v>
      </x:c>
      <x:c r="M517" s="65" t="n">
        <x:f>J517/'공식·설정'!$B$7</x:f>
        <x:v>1838.26171875</x:v>
      </x:c>
      <x:c r="N517" s="65" t="n">
        <x:f>K517/'공식·설정'!$B$7</x:f>
        <x:v>1838.26171875</x:v>
      </x:c>
      <x:c r="O517" s="14" t="n">
        <x:v>184</x:v>
      </x:c>
      <x:c r="P517" s="14" t="n">
        <x:f>MIN(32767,MAX(0,INT((K517+INT('공식·설정'!$B$12/2))/'공식·설정'!$B$12)))</x:f>
        <x:v>184</x:v>
      </x:c>
      <x:c r="Q517" s="68" t="n">
        <x:f>P517-O517</x:f>
        <x:v>0</x:v>
      </x:c>
      <x:c r="R517" s="14" t="n">
        <x:v>479488</x:v>
      </x:c>
      <x:c r="S517" s="14" t="n">
        <x:f>P517*'공식·설정'!$B$12+'공식·설정'!$B$14</x:f>
        <x:v>479488</x:v>
      </x:c>
      <x:c r="T517" s="68" t="n">
        <x:f>S517-R517</x:f>
        <x:v>0</x:v>
      </x:c>
      <x:c r="U517" s="65" t="n">
        <x:f>R517/'공식·설정'!$B$7</x:f>
        <x:v>1873</x:v>
      </x:c>
      <x:c r="V517" s="65" t="n">
        <x:f>S517/'공식·설정'!$B$7</x:f>
        <x:v>1873</x:v>
      </x:c>
      <x:c r="W517" s="14" t="n">
        <x:v>730</x:v>
      </x:c>
      <x:c r="X517" s="14" t="n">
        <x:f>INT(ABS(K518-K517)*'공식·설정'!$B$8/K517)</x:f>
        <x:v>730</x:v>
      </x:c>
      <x:c r="Y517" s="68" t="n">
        <x:f>X517-W517</x:f>
        <x:v>0</x:v>
      </x:c>
      <x:c r="Z517" s="66" t="n">
        <x:f>W517/'공식·설정'!$B$8</x:f>
        <x:v>0.011138916015625</x:v>
      </x:c>
      <x:c r="AA517" s="66" t="n">
        <x:f>X517/'공식·설정'!$B$8</x:f>
        <x:v>0.011138916015625</x:v>
      </x:c>
      <x:c r="AB517" s="67" t="str">
        <x:f>IF(AND(I517=0,L517=0,Q517=0,T517=0,Y517=0),"PASS","FAIL")</x:f>
        <x:v>PASS</x:v>
      </x:c>
    </x:row>
    <x:row r="518" ht="18" customHeight="1">
      <x:c r="A518" s="14" t="n">
        <x:v>621</x:v>
      </x:c>
      <x:c r="B518" s="14" t="n">
        <x:v>513</x:v>
      </x:c>
      <x:c r="C518" s="14" t="n">
        <x:v>616</x:v>
      </x:c>
      <x:c r="D518" s="14" t="n">
        <x:v>69063</x:v>
      </x:c>
      <x:c r="E518" s="14" t="n">
        <x:v>630</x:v>
      </x:c>
      <x:c r="F518" s="14" t="n">
        <x:v>80343</x:v>
      </x:c>
      <x:c r="G518" s="14" t="n">
        <x:v>73091</x:v>
      </x:c>
      <x:c r="H518" s="14" t="n">
        <x:f>INT((F518-D518)*(A518-C518)/(E518-C518))+D518</x:f>
        <x:v>73091</x:v>
      </x:c>
      <x:c r="I518" s="68" t="n">
        <x:f>H518-G518</x:f>
        <x:v>0</x:v>
      </x:c>
      <x:c r="J518" s="14" t="n">
        <x:v>475843</x:v>
      </x:c>
      <x:c r="K518" s="14" t="n">
        <x:f>INT(H518*'공식·설정'!$B$10/'공식·설정'!$B$15)</x:f>
        <x:v>475843</x:v>
      </x:c>
      <x:c r="L518" s="68" t="n">
        <x:f>K518-J518</x:f>
        <x:v>0</x:v>
      </x:c>
      <x:c r="M518" s="65" t="n">
        <x:f>J518/'공식·설정'!$B$7</x:f>
        <x:v>1858.76171875</x:v>
      </x:c>
      <x:c r="N518" s="65" t="n">
        <x:f>K518/'공식·설정'!$B$7</x:f>
        <x:v>1858.76171875</x:v>
      </x:c>
      <x:c r="O518" s="14" t="n">
        <x:v>186</x:v>
      </x:c>
      <x:c r="P518" s="14" t="n">
        <x:f>MIN(32767,MAX(0,INT((K518+INT('공식·설정'!$B$12/2))/'공식·설정'!$B$12)))</x:f>
        <x:v>186</x:v>
      </x:c>
      <x:c r="Q518" s="68" t="n">
        <x:f>P518-O518</x:f>
        <x:v>0</x:v>
      </x:c>
      <x:c r="R518" s="14" t="n">
        <x:v>484608</x:v>
      </x:c>
      <x:c r="S518" s="14" t="n">
        <x:f>P518*'공식·설정'!$B$12+'공식·설정'!$B$14</x:f>
        <x:v>484608</x:v>
      </x:c>
      <x:c r="T518" s="68" t="n">
        <x:f>S518-R518</x:f>
        <x:v>0</x:v>
      </x:c>
      <x:c r="U518" s="65" t="n">
        <x:f>R518/'공식·설정'!$B$7</x:f>
        <x:v>1893</x:v>
      </x:c>
      <x:c r="V518" s="65" t="n">
        <x:f>S518/'공식·설정'!$B$7</x:f>
        <x:v>1893</x:v>
      </x:c>
      <x:c r="W518" s="14" t="n">
        <x:v>722</x:v>
      </x:c>
      <x:c r="X518" s="14" t="n">
        <x:f>INT(ABS(K519-K518)*'공식·설정'!$B$8/K518)</x:f>
        <x:v>722</x:v>
      </x:c>
      <x:c r="Y518" s="68" t="n">
        <x:f>X518-W518</x:f>
        <x:v>0</x:v>
      </x:c>
      <x:c r="Z518" s="66" t="n">
        <x:f>W518/'공식·설정'!$B$8</x:f>
        <x:v>0.011016845703125</x:v>
      </x:c>
      <x:c r="AA518" s="66" t="n">
        <x:f>X518/'공식·설정'!$B$8</x:f>
        <x:v>0.011016845703125</x:v>
      </x:c>
      <x:c r="AB518" s="67" t="str">
        <x:f>IF(AND(I518=0,L518=0,Q518=0,T518=0,Y518=0),"PASS","FAIL")</x:f>
        <x:v>PASS</x:v>
      </x:c>
    </x:row>
    <x:row r="519" ht="18" customHeight="1">
      <x:c r="A519" s="14" t="n">
        <x:v>622</x:v>
      </x:c>
      <x:c r="B519" s="14" t="n">
        <x:v>514</x:v>
      </x:c>
      <x:c r="C519" s="14" t="n">
        <x:v>616</x:v>
      </x:c>
      <x:c r="D519" s="14" t="n">
        <x:v>69063</x:v>
      </x:c>
      <x:c r="E519" s="14" t="n">
        <x:v>630</x:v>
      </x:c>
      <x:c r="F519" s="14" t="n">
        <x:v>80343</x:v>
      </x:c>
      <x:c r="G519" s="14" t="n">
        <x:v>73897</x:v>
      </x:c>
      <x:c r="H519" s="14" t="n">
        <x:f>INT((F519-D519)*(A519-C519)/(E519-C519))+D519</x:f>
        <x:v>73897</x:v>
      </x:c>
      <x:c r="I519" s="68" t="n">
        <x:f>H519-G519</x:f>
        <x:v>0</x:v>
      </x:c>
      <x:c r="J519" s="14" t="n">
        <x:v>481090</x:v>
      </x:c>
      <x:c r="K519" s="14" t="n">
        <x:f>INT(H519*'공식·설정'!$B$10/'공식·설정'!$B$15)</x:f>
        <x:v>481090</x:v>
      </x:c>
      <x:c r="L519" s="68" t="n">
        <x:f>K519-J519</x:f>
        <x:v>0</x:v>
      </x:c>
      <x:c r="M519" s="65" t="n">
        <x:f>J519/'공식·설정'!$B$7</x:f>
        <x:v>1879.2578125</x:v>
      </x:c>
      <x:c r="N519" s="65" t="n">
        <x:f>K519/'공식·설정'!$B$7</x:f>
        <x:v>1879.2578125</x:v>
      </x:c>
      <x:c r="O519" s="14" t="n">
        <x:v>188</x:v>
      </x:c>
      <x:c r="P519" s="14" t="n">
        <x:f>MIN(32767,MAX(0,INT((K519+INT('공식·설정'!$B$12/2))/'공식·설정'!$B$12)))</x:f>
        <x:v>188</x:v>
      </x:c>
      <x:c r="Q519" s="68" t="n">
        <x:f>P519-O519</x:f>
        <x:v>0</x:v>
      </x:c>
      <x:c r="R519" s="14" t="n">
        <x:v>489728</x:v>
      </x:c>
      <x:c r="S519" s="14" t="n">
        <x:f>P519*'공식·설정'!$B$12+'공식·설정'!$B$14</x:f>
        <x:v>489728</x:v>
      </x:c>
      <x:c r="T519" s="68" t="n">
        <x:f>S519-R519</x:f>
        <x:v>0</x:v>
      </x:c>
      <x:c r="U519" s="65" t="n">
        <x:f>R519/'공식·설정'!$B$7</x:f>
        <x:v>1913</x:v>
      </x:c>
      <x:c r="V519" s="65" t="n">
        <x:f>S519/'공식·설정'!$B$7</x:f>
        <x:v>1913</x:v>
      </x:c>
      <x:c r="W519" s="14" t="n">
        <x:v>714</x:v>
      </x:c>
      <x:c r="X519" s="14" t="n">
        <x:f>INT(ABS(K520-K519)*'공식·설정'!$B$8/K519)</x:f>
        <x:v>714</x:v>
      </x:c>
      <x:c r="Y519" s="68" t="n">
        <x:f>X519-W519</x:f>
        <x:v>0</x:v>
      </x:c>
      <x:c r="Z519" s="66" t="n">
        <x:f>W519/'공식·설정'!$B$8</x:f>
        <x:v>0.010894775390625</x:v>
      </x:c>
      <x:c r="AA519" s="66" t="n">
        <x:f>X519/'공식·설정'!$B$8</x:f>
        <x:v>0.010894775390625</x:v>
      </x:c>
      <x:c r="AB519" s="67" t="str">
        <x:f>IF(AND(I519=0,L519=0,Q519=0,T519=0,Y519=0),"PASS","FAIL")</x:f>
        <x:v>PASS</x:v>
      </x:c>
    </x:row>
    <x:row r="520" ht="18" customHeight="1">
      <x:c r="A520" s="14" t="n">
        <x:v>623</x:v>
      </x:c>
      <x:c r="B520" s="14" t="n">
        <x:v>515</x:v>
      </x:c>
      <x:c r="C520" s="14" t="n">
        <x:v>616</x:v>
      </x:c>
      <x:c r="D520" s="14" t="n">
        <x:v>69063</x:v>
      </x:c>
      <x:c r="E520" s="14" t="n">
        <x:v>630</x:v>
      </x:c>
      <x:c r="F520" s="14" t="n">
        <x:v>80343</x:v>
      </x:c>
      <x:c r="G520" s="14" t="n">
        <x:v>74703</x:v>
      </x:c>
      <x:c r="H520" s="14" t="n">
        <x:f>INT((F520-D520)*(A520-C520)/(E520-C520))+D520</x:f>
        <x:v>74703</x:v>
      </x:c>
      <x:c r="I520" s="68" t="n">
        <x:f>H520-G520</x:f>
        <x:v>0</x:v>
      </x:c>
      <x:c r="J520" s="14" t="n">
        <x:v>486337</x:v>
      </x:c>
      <x:c r="K520" s="14" t="n">
        <x:f>INT(H520*'공식·설정'!$B$10/'공식·설정'!$B$15)</x:f>
        <x:v>486337</x:v>
      </x:c>
      <x:c r="L520" s="68" t="n">
        <x:f>K520-J520</x:f>
        <x:v>0</x:v>
      </x:c>
      <x:c r="M520" s="65" t="n">
        <x:f>J520/'공식·설정'!$B$7</x:f>
        <x:v>1899.75390625</x:v>
      </x:c>
      <x:c r="N520" s="65" t="n">
        <x:f>K520/'공식·설정'!$B$7</x:f>
        <x:v>1899.75390625</x:v>
      </x:c>
      <x:c r="O520" s="14" t="n">
        <x:v>190</x:v>
      </x:c>
      <x:c r="P520" s="14" t="n">
        <x:f>MIN(32767,MAX(0,INT((K520+INT('공식·설정'!$B$12/2))/'공식·설정'!$B$12)))</x:f>
        <x:v>190</x:v>
      </x:c>
      <x:c r="Q520" s="68" t="n">
        <x:f>P520-O520</x:f>
        <x:v>0</x:v>
      </x:c>
      <x:c r="R520" s="14" t="n">
        <x:v>494848</x:v>
      </x:c>
      <x:c r="S520" s="14" t="n">
        <x:f>P520*'공식·설정'!$B$12+'공식·설정'!$B$14</x:f>
        <x:v>494848</x:v>
      </x:c>
      <x:c r="T520" s="68" t="n">
        <x:f>S520-R520</x:f>
        <x:v>0</x:v>
      </x:c>
      <x:c r="U520" s="65" t="n">
        <x:f>R520/'공식·설정'!$B$7</x:f>
        <x:v>1933</x:v>
      </x:c>
      <x:c r="V520" s="65" t="n">
        <x:f>S520/'공식·설정'!$B$7</x:f>
        <x:v>1933</x:v>
      </x:c>
      <x:c r="W520" s="14" t="n">
        <x:v>706</x:v>
      </x:c>
      <x:c r="X520" s="14" t="n">
        <x:f>INT(ABS(K521-K520)*'공식·설정'!$B$8/K520)</x:f>
        <x:v>706</x:v>
      </x:c>
      <x:c r="Y520" s="68" t="n">
        <x:f>X520-W520</x:f>
        <x:v>0</x:v>
      </x:c>
      <x:c r="Z520" s="66" t="n">
        <x:f>W520/'공식·설정'!$B$8</x:f>
        <x:v>0.010772705078125</x:v>
      </x:c>
      <x:c r="AA520" s="66" t="n">
        <x:f>X520/'공식·설정'!$B$8</x:f>
        <x:v>0.010772705078125</x:v>
      </x:c>
      <x:c r="AB520" s="67" t="str">
        <x:f>IF(AND(I520=0,L520=0,Q520=0,T520=0,Y520=0),"PASS","FAIL")</x:f>
        <x:v>PASS</x:v>
      </x:c>
    </x:row>
    <x:row r="521" ht="18" customHeight="1">
      <x:c r="A521" s="14" t="n">
        <x:v>624</x:v>
      </x:c>
      <x:c r="B521" s="14" t="n">
        <x:v>516</x:v>
      </x:c>
      <x:c r="C521" s="14" t="n">
        <x:v>616</x:v>
      </x:c>
      <x:c r="D521" s="14" t="n">
        <x:v>69063</x:v>
      </x:c>
      <x:c r="E521" s="14" t="n">
        <x:v>630</x:v>
      </x:c>
      <x:c r="F521" s="14" t="n">
        <x:v>80343</x:v>
      </x:c>
      <x:c r="G521" s="14" t="n">
        <x:v>75508</x:v>
      </x:c>
      <x:c r="H521" s="14" t="n">
        <x:f>INT((F521-D521)*(A521-C521)/(E521-C521))+D521</x:f>
        <x:v>75508</x:v>
      </x:c>
      <x:c r="I521" s="68" t="n">
        <x:f>H521-G521</x:f>
        <x:v>0</x:v>
      </x:c>
      <x:c r="J521" s="14" t="n">
        <x:v>491578</x:v>
      </x:c>
      <x:c r="K521" s="14" t="n">
        <x:f>INT(H521*'공식·설정'!$B$10/'공식·설정'!$B$15)</x:f>
        <x:v>491578</x:v>
      </x:c>
      <x:c r="L521" s="68" t="n">
        <x:f>K521-J521</x:f>
        <x:v>0</x:v>
      </x:c>
      <x:c r="M521" s="65" t="n">
        <x:f>J521/'공식·설정'!$B$7</x:f>
        <x:v>1920.2265625</x:v>
      </x:c>
      <x:c r="N521" s="65" t="n">
        <x:f>K521/'공식·설정'!$B$7</x:f>
        <x:v>1920.2265625</x:v>
      </x:c>
      <x:c r="O521" s="14" t="n">
        <x:v>192</x:v>
      </x:c>
      <x:c r="P521" s="14" t="n">
        <x:f>MIN(32767,MAX(0,INT((K521+INT('공식·설정'!$B$12/2))/'공식·설정'!$B$12)))</x:f>
        <x:v>192</x:v>
      </x:c>
      <x:c r="Q521" s="68" t="n">
        <x:f>P521-O521</x:f>
        <x:v>0</x:v>
      </x:c>
      <x:c r="R521" s="14" t="n">
        <x:v>499968</x:v>
      </x:c>
      <x:c r="S521" s="14" t="n">
        <x:f>P521*'공식·설정'!$B$12+'공식·설정'!$B$14</x:f>
        <x:v>499968</x:v>
      </x:c>
      <x:c r="T521" s="68" t="n">
        <x:f>S521-R521</x:f>
        <x:v>0</x:v>
      </x:c>
      <x:c r="U521" s="65" t="n">
        <x:f>R521/'공식·설정'!$B$7</x:f>
        <x:v>1953</x:v>
      </x:c>
      <x:c r="V521" s="65" t="n">
        <x:f>S521/'공식·설정'!$B$7</x:f>
        <x:v>1953</x:v>
      </x:c>
      <x:c r="W521" s="14" t="n">
        <x:v>699</x:v>
      </x:c>
      <x:c r="X521" s="14" t="n">
        <x:f>INT(ABS(K522-K521)*'공식·설정'!$B$8/K521)</x:f>
        <x:v>699</x:v>
      </x:c>
      <x:c r="Y521" s="68" t="n">
        <x:f>X521-W521</x:f>
        <x:v>0</x:v>
      </x:c>
      <x:c r="Z521" s="66" t="n">
        <x:f>W521/'공식·설정'!$B$8</x:f>
        <x:v>0.0106658935546875</x:v>
      </x:c>
      <x:c r="AA521" s="66" t="n">
        <x:f>X521/'공식·설정'!$B$8</x:f>
        <x:v>0.0106658935546875</x:v>
      </x:c>
      <x:c r="AB521" s="67" t="str">
        <x:f>IF(AND(I521=0,L521=0,Q521=0,T521=0,Y521=0),"PASS","FAIL")</x:f>
        <x:v>PASS</x:v>
      </x:c>
    </x:row>
    <x:row r="522" ht="18" customHeight="1">
      <x:c r="A522" s="14" t="n">
        <x:v>625</x:v>
      </x:c>
      <x:c r="B522" s="14" t="n">
        <x:v>517</x:v>
      </x:c>
      <x:c r="C522" s="14" t="n">
        <x:v>616</x:v>
      </x:c>
      <x:c r="D522" s="14" t="n">
        <x:v>69063</x:v>
      </x:c>
      <x:c r="E522" s="14" t="n">
        <x:v>630</x:v>
      </x:c>
      <x:c r="F522" s="14" t="n">
        <x:v>80343</x:v>
      </x:c>
      <x:c r="G522" s="14" t="n">
        <x:v>76314</x:v>
      </x:c>
      <x:c r="H522" s="14" t="n">
        <x:f>INT((F522-D522)*(A522-C522)/(E522-C522))+D522</x:f>
        <x:v>76314</x:v>
      </x:c>
      <x:c r="I522" s="68" t="n">
        <x:f>H522-G522</x:f>
        <x:v>0</x:v>
      </x:c>
      <x:c r="J522" s="14" t="n">
        <x:v>496825</x:v>
      </x:c>
      <x:c r="K522" s="14" t="n">
        <x:f>INT(H522*'공식·설정'!$B$10/'공식·설정'!$B$15)</x:f>
        <x:v>496825</x:v>
      </x:c>
      <x:c r="L522" s="68" t="n">
        <x:f>K522-J522</x:f>
        <x:v>0</x:v>
      </x:c>
      <x:c r="M522" s="65" t="n">
        <x:f>J522/'공식·설정'!$B$7</x:f>
        <x:v>1940.72265625</x:v>
      </x:c>
      <x:c r="N522" s="65" t="n">
        <x:f>K522/'공식·설정'!$B$7</x:f>
        <x:v>1940.72265625</x:v>
      </x:c>
      <x:c r="O522" s="14" t="n">
        <x:v>194</x:v>
      </x:c>
      <x:c r="P522" s="14" t="n">
        <x:f>MIN(32767,MAX(0,INT((K522+INT('공식·설정'!$B$12/2))/'공식·설정'!$B$12)))</x:f>
        <x:v>194</x:v>
      </x:c>
      <x:c r="Q522" s="68" t="n">
        <x:f>P522-O522</x:f>
        <x:v>0</x:v>
      </x:c>
      <x:c r="R522" s="14" t="n">
        <x:v>505088</x:v>
      </x:c>
      <x:c r="S522" s="14" t="n">
        <x:f>P522*'공식·설정'!$B$12+'공식·설정'!$B$14</x:f>
        <x:v>505088</x:v>
      </x:c>
      <x:c r="T522" s="68" t="n">
        <x:f>S522-R522</x:f>
        <x:v>0</x:v>
      </x:c>
      <x:c r="U522" s="65" t="n">
        <x:f>R522/'공식·설정'!$B$7</x:f>
        <x:v>1973</x:v>
      </x:c>
      <x:c r="V522" s="65" t="n">
        <x:f>S522/'공식·설정'!$B$7</x:f>
        <x:v>1973</x:v>
      </x:c>
      <x:c r="W522" s="14" t="n">
        <x:v>692</x:v>
      </x:c>
      <x:c r="X522" s="14" t="n">
        <x:f>INT(ABS(K523-K522)*'공식·설정'!$B$8/K522)</x:f>
        <x:v>692</x:v>
      </x:c>
      <x:c r="Y522" s="68" t="n">
        <x:f>X522-W522</x:f>
        <x:v>0</x:v>
      </x:c>
      <x:c r="Z522" s="66" t="n">
        <x:f>W522/'공식·설정'!$B$8</x:f>
        <x:v>0.01055908203125</x:v>
      </x:c>
      <x:c r="AA522" s="66" t="n">
        <x:f>X522/'공식·설정'!$B$8</x:f>
        <x:v>0.01055908203125</x:v>
      </x:c>
      <x:c r="AB522" s="67" t="str">
        <x:f>IF(AND(I522=0,L522=0,Q522=0,T522=0,Y522=0),"PASS","FAIL")</x:f>
        <x:v>PASS</x:v>
      </x:c>
    </x:row>
    <x:row r="523" ht="18" customHeight="1">
      <x:c r="A523" s="14" t="n">
        <x:v>626</x:v>
      </x:c>
      <x:c r="B523" s="14" t="n">
        <x:v>518</x:v>
      </x:c>
      <x:c r="C523" s="14" t="n">
        <x:v>616</x:v>
      </x:c>
      <x:c r="D523" s="14" t="n">
        <x:v>69063</x:v>
      </x:c>
      <x:c r="E523" s="14" t="n">
        <x:v>630</x:v>
      </x:c>
      <x:c r="F523" s="14" t="n">
        <x:v>80343</x:v>
      </x:c>
      <x:c r="G523" s="14" t="n">
        <x:v>77120</x:v>
      </x:c>
      <x:c r="H523" s="14" t="n">
        <x:f>INT((F523-D523)*(A523-C523)/(E523-C523))+D523</x:f>
        <x:v>77120</x:v>
      </x:c>
      <x:c r="I523" s="68" t="n">
        <x:f>H523-G523</x:f>
        <x:v>0</x:v>
      </x:c>
      <x:c r="J523" s="14" t="n">
        <x:v>502072</x:v>
      </x:c>
      <x:c r="K523" s="14" t="n">
        <x:f>INT(H523*'공식·설정'!$B$10/'공식·설정'!$B$15)</x:f>
        <x:v>502072</x:v>
      </x:c>
      <x:c r="L523" s="68" t="n">
        <x:f>K523-J523</x:f>
        <x:v>0</x:v>
      </x:c>
      <x:c r="M523" s="65" t="n">
        <x:f>J523/'공식·설정'!$B$7</x:f>
        <x:v>1961.21875</x:v>
      </x:c>
      <x:c r="N523" s="65" t="n">
        <x:f>K523/'공식·설정'!$B$7</x:f>
        <x:v>1961.21875</x:v>
      </x:c>
      <x:c r="O523" s="14" t="n">
        <x:v>196</x:v>
      </x:c>
      <x:c r="P523" s="14" t="n">
        <x:f>MIN(32767,MAX(0,INT((K523+INT('공식·설정'!$B$12/2))/'공식·설정'!$B$12)))</x:f>
        <x:v>196</x:v>
      </x:c>
      <x:c r="Q523" s="68" t="n">
        <x:f>P523-O523</x:f>
        <x:v>0</x:v>
      </x:c>
      <x:c r="R523" s="14" t="n">
        <x:v>510208</x:v>
      </x:c>
      <x:c r="S523" s="14" t="n">
        <x:f>P523*'공식·설정'!$B$12+'공식·설정'!$B$14</x:f>
        <x:v>510208</x:v>
      </x:c>
      <x:c r="T523" s="68" t="n">
        <x:f>S523-R523</x:f>
        <x:v>0</x:v>
      </x:c>
      <x:c r="U523" s="65" t="n">
        <x:f>R523/'공식·설정'!$B$7</x:f>
        <x:v>1993</x:v>
      </x:c>
      <x:c r="V523" s="65" t="n">
        <x:f>S523/'공식·설정'!$B$7</x:f>
        <x:v>1993</x:v>
      </x:c>
      <x:c r="W523" s="14" t="n">
        <x:v>684</x:v>
      </x:c>
      <x:c r="X523" s="14" t="n">
        <x:f>INT(ABS(K524-K523)*'공식·설정'!$B$8/K523)</x:f>
        <x:v>684</x:v>
      </x:c>
      <x:c r="Y523" s="68" t="n">
        <x:f>X523-W523</x:f>
        <x:v>0</x:v>
      </x:c>
      <x:c r="Z523" s="66" t="n">
        <x:f>W523/'공식·설정'!$B$8</x:f>
        <x:v>0.01043701171875</x:v>
      </x:c>
      <x:c r="AA523" s="66" t="n">
        <x:f>X523/'공식·설정'!$B$8</x:f>
        <x:v>0.01043701171875</x:v>
      </x:c>
      <x:c r="AB523" s="67" t="str">
        <x:f>IF(AND(I523=0,L523=0,Q523=0,T523=0,Y523=0),"PASS","FAIL")</x:f>
        <x:v>PASS</x:v>
      </x:c>
    </x:row>
    <x:row r="524" ht="18" customHeight="1">
      <x:c r="A524" s="14" t="n">
        <x:v>627</x:v>
      </x:c>
      <x:c r="B524" s="14" t="n">
        <x:v>519</x:v>
      </x:c>
      <x:c r="C524" s="14" t="n">
        <x:v>616</x:v>
      </x:c>
      <x:c r="D524" s="14" t="n">
        <x:v>69063</x:v>
      </x:c>
      <x:c r="E524" s="14" t="n">
        <x:v>630</x:v>
      </x:c>
      <x:c r="F524" s="14" t="n">
        <x:v>80343</x:v>
      </x:c>
      <x:c r="G524" s="14" t="n">
        <x:v>77925</x:v>
      </x:c>
      <x:c r="H524" s="14" t="n">
        <x:f>INT((F524-D524)*(A524-C524)/(E524-C524))+D524</x:f>
        <x:v>77925</x:v>
      </x:c>
      <x:c r="I524" s="68" t="n">
        <x:f>H524-G524</x:f>
        <x:v>0</x:v>
      </x:c>
      <x:c r="J524" s="14" t="n">
        <x:v>507313</x:v>
      </x:c>
      <x:c r="K524" s="14" t="n">
        <x:f>INT(H524*'공식·설정'!$B$10/'공식·설정'!$B$15)</x:f>
        <x:v>507313</x:v>
      </x:c>
      <x:c r="L524" s="68" t="n">
        <x:f>K524-J524</x:f>
        <x:v>0</x:v>
      </x:c>
      <x:c r="M524" s="65" t="n">
        <x:f>J524/'공식·설정'!$B$7</x:f>
        <x:v>1981.69140625</x:v>
      </x:c>
      <x:c r="N524" s="65" t="n">
        <x:f>K524/'공식·설정'!$B$7</x:f>
        <x:v>1981.69140625</x:v>
      </x:c>
      <x:c r="O524" s="14" t="n">
        <x:v>198</x:v>
      </x:c>
      <x:c r="P524" s="14" t="n">
        <x:f>MIN(32767,MAX(0,INT((K524+INT('공식·설정'!$B$12/2))/'공식·설정'!$B$12)))</x:f>
        <x:v>198</x:v>
      </x:c>
      <x:c r="Q524" s="68" t="n">
        <x:f>P524-O524</x:f>
        <x:v>0</x:v>
      </x:c>
      <x:c r="R524" s="14" t="n">
        <x:v>515328</x:v>
      </x:c>
      <x:c r="S524" s="14" t="n">
        <x:f>P524*'공식·설정'!$B$12+'공식·설정'!$B$14</x:f>
        <x:v>515328</x:v>
      </x:c>
      <x:c r="T524" s="68" t="n">
        <x:f>S524-R524</x:f>
        <x:v>0</x:v>
      </x:c>
      <x:c r="U524" s="65" t="n">
        <x:f>R524/'공식·설정'!$B$7</x:f>
        <x:v>2013</x:v>
      </x:c>
      <x:c r="V524" s="65" t="n">
        <x:f>S524/'공식·설정'!$B$7</x:f>
        <x:v>2013</x:v>
      </x:c>
      <x:c r="W524" s="14" t="n">
        <x:v>677</x:v>
      </x:c>
      <x:c r="X524" s="14" t="n">
        <x:f>INT(ABS(K525-K524)*'공식·설정'!$B$8/K524)</x:f>
        <x:v>677</x:v>
      </x:c>
      <x:c r="Y524" s="68" t="n">
        <x:f>X524-W524</x:f>
        <x:v>0</x:v>
      </x:c>
      <x:c r="Z524" s="66" t="n">
        <x:f>W524/'공식·설정'!$B$8</x:f>
        <x:v>0.0103302001953125</x:v>
      </x:c>
      <x:c r="AA524" s="66" t="n">
        <x:f>X524/'공식·설정'!$B$8</x:f>
        <x:v>0.0103302001953125</x:v>
      </x:c>
      <x:c r="AB524" s="67" t="str">
        <x:f>IF(AND(I524=0,L524=0,Q524=0,T524=0,Y524=0),"PASS","FAIL")</x:f>
        <x:v>PASS</x:v>
      </x:c>
    </x:row>
    <x:row r="525" ht="18" customHeight="1">
      <x:c r="A525" s="14" t="n">
        <x:v>628</x:v>
      </x:c>
      <x:c r="B525" s="14" t="n">
        <x:v>520</x:v>
      </x:c>
      <x:c r="C525" s="14" t="n">
        <x:v>616</x:v>
      </x:c>
      <x:c r="D525" s="14" t="n">
        <x:v>69063</x:v>
      </x:c>
      <x:c r="E525" s="14" t="n">
        <x:v>630</x:v>
      </x:c>
      <x:c r="F525" s="14" t="n">
        <x:v>80343</x:v>
      </x:c>
      <x:c r="G525" s="14" t="n">
        <x:v>78731</x:v>
      </x:c>
      <x:c r="H525" s="14" t="n">
        <x:f>INT((F525-D525)*(A525-C525)/(E525-C525))+D525</x:f>
        <x:v>78731</x:v>
      </x:c>
      <x:c r="I525" s="68" t="n">
        <x:f>H525-G525</x:f>
        <x:v>0</x:v>
      </x:c>
      <x:c r="J525" s="14" t="n">
        <x:v>512561</x:v>
      </x:c>
      <x:c r="K525" s="14" t="n">
        <x:f>INT(H525*'공식·설정'!$B$10/'공식·설정'!$B$15)</x:f>
        <x:v>512561</x:v>
      </x:c>
      <x:c r="L525" s="68" t="n">
        <x:f>K525-J525</x:f>
        <x:v>0</x:v>
      </x:c>
      <x:c r="M525" s="65" t="n">
        <x:f>J525/'공식·설정'!$B$7</x:f>
        <x:v>2002.19140625</x:v>
      </x:c>
      <x:c r="N525" s="65" t="n">
        <x:f>K525/'공식·설정'!$B$7</x:f>
        <x:v>2002.19140625</x:v>
      </x:c>
      <x:c r="O525" s="14" t="n">
        <x:v>200</x:v>
      </x:c>
      <x:c r="P525" s="14" t="n">
        <x:f>MIN(32767,MAX(0,INT((K525+INT('공식·설정'!$B$12/2))/'공식·설정'!$B$12)))</x:f>
        <x:v>200</x:v>
      </x:c>
      <x:c r="Q525" s="68" t="n">
        <x:f>P525-O525</x:f>
        <x:v>0</x:v>
      </x:c>
      <x:c r="R525" s="14" t="n">
        <x:v>520448</x:v>
      </x:c>
      <x:c r="S525" s="14" t="n">
        <x:f>P525*'공식·설정'!$B$12+'공식·설정'!$B$14</x:f>
        <x:v>520448</x:v>
      </x:c>
      <x:c r="T525" s="68" t="n">
        <x:f>S525-R525</x:f>
        <x:v>0</x:v>
      </x:c>
      <x:c r="U525" s="65" t="n">
        <x:f>R525/'공식·설정'!$B$7</x:f>
        <x:v>2033</x:v>
      </x:c>
      <x:c r="V525" s="65" t="n">
        <x:f>S525/'공식·설정'!$B$7</x:f>
        <x:v>2033</x:v>
      </x:c>
      <x:c r="W525" s="14" t="n">
        <x:v>670</x:v>
      </x:c>
      <x:c r="X525" s="14" t="n">
        <x:f>INT(ABS(K526-K525)*'공식·설정'!$B$8/K525)</x:f>
        <x:v>670</x:v>
      </x:c>
      <x:c r="Y525" s="68" t="n">
        <x:f>X525-W525</x:f>
        <x:v>0</x:v>
      </x:c>
      <x:c r="Z525" s="66" t="n">
        <x:f>W525/'공식·설정'!$B$8</x:f>
        <x:v>0.010223388671875</x:v>
      </x:c>
      <x:c r="AA525" s="66" t="n">
        <x:f>X525/'공식·설정'!$B$8</x:f>
        <x:v>0.010223388671875</x:v>
      </x:c>
      <x:c r="AB525" s="67" t="str">
        <x:f>IF(AND(I525=0,L525=0,Q525=0,T525=0,Y525=0),"PASS","FAIL")</x:f>
        <x:v>PASS</x:v>
      </x:c>
    </x:row>
    <x:row r="526" ht="18" customHeight="1">
      <x:c r="A526" s="14" t="n">
        <x:v>629</x:v>
      </x:c>
      <x:c r="B526" s="14" t="n">
        <x:v>521</x:v>
      </x:c>
      <x:c r="C526" s="14" t="n">
        <x:v>616</x:v>
      </x:c>
      <x:c r="D526" s="14" t="n">
        <x:v>69063</x:v>
      </x:c>
      <x:c r="E526" s="14" t="n">
        <x:v>630</x:v>
      </x:c>
      <x:c r="F526" s="14" t="n">
        <x:v>80343</x:v>
      </x:c>
      <x:c r="G526" s="14" t="n">
        <x:v>79537</x:v>
      </x:c>
      <x:c r="H526" s="14" t="n">
        <x:f>INT((F526-D526)*(A526-C526)/(E526-C526))+D526</x:f>
        <x:v>79537</x:v>
      </x:c>
      <x:c r="I526" s="68" t="n">
        <x:f>H526-G526</x:f>
        <x:v>0</x:v>
      </x:c>
      <x:c r="J526" s="14" t="n">
        <x:v>517808</x:v>
      </x:c>
      <x:c r="K526" s="14" t="n">
        <x:f>INT(H526*'공식·설정'!$B$10/'공식·설정'!$B$15)</x:f>
        <x:v>517808</x:v>
      </x:c>
      <x:c r="L526" s="68" t="n">
        <x:f>K526-J526</x:f>
        <x:v>0</x:v>
      </x:c>
      <x:c r="M526" s="65" t="n">
        <x:f>J526/'공식·설정'!$B$7</x:f>
        <x:v>2022.6875</x:v>
      </x:c>
      <x:c r="N526" s="65" t="n">
        <x:f>K526/'공식·설정'!$B$7</x:f>
        <x:v>2022.6875</x:v>
      </x:c>
      <x:c r="O526" s="14" t="n">
        <x:v>202</x:v>
      </x:c>
      <x:c r="P526" s="14" t="n">
        <x:f>MIN(32767,MAX(0,INT((K526+INT('공식·설정'!$B$12/2))/'공식·설정'!$B$12)))</x:f>
        <x:v>202</x:v>
      </x:c>
      <x:c r="Q526" s="68" t="n">
        <x:f>P526-O526</x:f>
        <x:v>0</x:v>
      </x:c>
      <x:c r="R526" s="14" t="n">
        <x:v>525568</x:v>
      </x:c>
      <x:c r="S526" s="14" t="n">
        <x:f>P526*'공식·설정'!$B$12+'공식·설정'!$B$14</x:f>
        <x:v>525568</x:v>
      </x:c>
      <x:c r="T526" s="68" t="n">
        <x:f>S526-R526</x:f>
        <x:v>0</x:v>
      </x:c>
      <x:c r="U526" s="65" t="n">
        <x:f>R526/'공식·설정'!$B$7</x:f>
        <x:v>2053</x:v>
      </x:c>
      <x:c r="V526" s="65" t="n">
        <x:f>S526/'공식·설정'!$B$7</x:f>
        <x:v>2053</x:v>
      </x:c>
      <x:c r="W526" s="14" t="n">
        <x:v>664</x:v>
      </x:c>
      <x:c r="X526" s="14" t="n">
        <x:f>INT(ABS(K527-K526)*'공식·설정'!$B$8/K526)</x:f>
        <x:v>664</x:v>
      </x:c>
      <x:c r="Y526" s="68" t="n">
        <x:f>X526-W526</x:f>
        <x:v>0</x:v>
      </x:c>
      <x:c r="Z526" s="66" t="n">
        <x:f>W526/'공식·설정'!$B$8</x:f>
        <x:v>0.0101318359375</x:v>
      </x:c>
      <x:c r="AA526" s="66" t="n">
        <x:f>X526/'공식·설정'!$B$8</x:f>
        <x:v>0.0101318359375</x:v>
      </x:c>
      <x:c r="AB526" s="67" t="str">
        <x:f>IF(AND(I526=0,L526=0,Q526=0,T526=0,Y526=0),"PASS","FAIL")</x:f>
        <x:v>PASS</x:v>
      </x:c>
    </x:row>
    <x:row r="527" ht="18" customHeight="1">
      <x:c r="A527" s="14" t="n">
        <x:v>630</x:v>
      </x:c>
      <x:c r="B527" s="14" t="n">
        <x:v>522</x:v>
      </x:c>
      <x:c r="C527" s="14" t="n">
        <x:v>630</x:v>
      </x:c>
      <x:c r="D527" s="14" t="n">
        <x:v>80343</x:v>
      </x:c>
      <x:c r="E527" s="14" t="n">
        <x:v>644</x:v>
      </x:c>
      <x:c r="F527" s="14" t="n">
        <x:v>93463</x:v>
      </x:c>
      <x:c r="G527" s="14" t="n">
        <x:v>80343</x:v>
      </x:c>
      <x:c r="H527" s="14" t="n">
        <x:f>INT((F527-D527)*(A527-C527)/(E527-C527))+D527</x:f>
        <x:v>80343</x:v>
      </x:c>
      <x:c r="I527" s="68" t="n">
        <x:f>H527-G527</x:f>
        <x:v>0</x:v>
      </x:c>
      <x:c r="J527" s="14" t="n">
        <x:v>523055</x:v>
      </x:c>
      <x:c r="K527" s="14" t="n">
        <x:f>INT(H527*'공식·설정'!$B$10/'공식·설정'!$B$15)</x:f>
        <x:v>523055</x:v>
      </x:c>
      <x:c r="L527" s="68" t="n">
        <x:f>K527-J527</x:f>
        <x:v>0</x:v>
      </x:c>
      <x:c r="M527" s="65" t="n">
        <x:f>J527/'공식·설정'!$B$7</x:f>
        <x:v>2043.18359375</x:v>
      </x:c>
      <x:c r="N527" s="65" t="n">
        <x:f>K527/'공식·설정'!$B$7</x:f>
        <x:v>2043.18359375</x:v>
      </x:c>
      <x:c r="O527" s="14" t="n">
        <x:v>204</x:v>
      </x:c>
      <x:c r="P527" s="14" t="n">
        <x:f>MIN(32767,MAX(0,INT((K527+INT('공식·설정'!$B$12/2))/'공식·설정'!$B$12)))</x:f>
        <x:v>204</x:v>
      </x:c>
      <x:c r="Q527" s="68" t="n">
        <x:f>P527-O527</x:f>
        <x:v>0</x:v>
      </x:c>
      <x:c r="R527" s="14" t="n">
        <x:v>530688</x:v>
      </x:c>
      <x:c r="S527" s="14" t="n">
        <x:f>P527*'공식·설정'!$B$12+'공식·설정'!$B$14</x:f>
        <x:v>530688</x:v>
      </x:c>
      <x:c r="T527" s="68" t="n">
        <x:f>S527-R527</x:f>
        <x:v>0</x:v>
      </x:c>
      <x:c r="U527" s="65" t="n">
        <x:f>R527/'공식·설정'!$B$7</x:f>
        <x:v>2073</x:v>
      </x:c>
      <x:c r="V527" s="65" t="n">
        <x:f>S527/'공식·설정'!$B$7</x:f>
        <x:v>2073</x:v>
      </x:c>
      <x:c r="W527" s="14" t="n">
        <x:v>764</x:v>
      </x:c>
      <x:c r="X527" s="14" t="n">
        <x:f>INT(ABS(K528-K527)*'공식·설정'!$B$8/K527)</x:f>
        <x:v>764</x:v>
      </x:c>
      <x:c r="Y527" s="68" t="n">
        <x:f>X527-W527</x:f>
        <x:v>0</x:v>
      </x:c>
      <x:c r="Z527" s="66" t="n">
        <x:f>W527/'공식·설정'!$B$8</x:f>
        <x:v>0.01165771484375</x:v>
      </x:c>
      <x:c r="AA527" s="66" t="n">
        <x:f>X527/'공식·설정'!$B$8</x:f>
        <x:v>0.01165771484375</x:v>
      </x:c>
      <x:c r="AB527" s="67" t="str">
        <x:f>IF(AND(I527=0,L527=0,Q527=0,T527=0,Y527=0),"PASS","FAIL")</x:f>
        <x:v>PASS</x:v>
      </x:c>
    </x:row>
    <x:row r="528" ht="18" customHeight="1">
      <x:c r="A528" s="14" t="n">
        <x:v>631</x:v>
      </x:c>
      <x:c r="B528" s="14" t="n">
        <x:v>523</x:v>
      </x:c>
      <x:c r="C528" s="14" t="n">
        <x:v>630</x:v>
      </x:c>
      <x:c r="D528" s="14" t="n">
        <x:v>80343</x:v>
      </x:c>
      <x:c r="E528" s="14" t="n">
        <x:v>644</x:v>
      </x:c>
      <x:c r="F528" s="14" t="n">
        <x:v>93463</x:v>
      </x:c>
      <x:c r="G528" s="14" t="n">
        <x:v>81280</x:v>
      </x:c>
      <x:c r="H528" s="14" t="n">
        <x:f>INT((F528-D528)*(A528-C528)/(E528-C528))+D528</x:f>
        <x:v>81280</x:v>
      </x:c>
      <x:c r="I528" s="68" t="n">
        <x:f>H528-G528</x:f>
        <x:v>0</x:v>
      </x:c>
      <x:c r="J528" s="14" t="n">
        <x:v>529155</x:v>
      </x:c>
      <x:c r="K528" s="14" t="n">
        <x:f>INT(H528*'공식·설정'!$B$10/'공식·설정'!$B$15)</x:f>
        <x:v>529155</x:v>
      </x:c>
      <x:c r="L528" s="68" t="n">
        <x:f>K528-J528</x:f>
        <x:v>0</x:v>
      </x:c>
      <x:c r="M528" s="65" t="n">
        <x:f>J528/'공식·설정'!$B$7</x:f>
        <x:v>2067.01171875</x:v>
      </x:c>
      <x:c r="N528" s="65" t="n">
        <x:f>K528/'공식·설정'!$B$7</x:f>
        <x:v>2067.01171875</x:v>
      </x:c>
      <x:c r="O528" s="14" t="n">
        <x:v>207</x:v>
      </x:c>
      <x:c r="P528" s="14" t="n">
        <x:f>MIN(32767,MAX(0,INT((K528+INT('공식·설정'!$B$12/2))/'공식·설정'!$B$12)))</x:f>
        <x:v>207</x:v>
      </x:c>
      <x:c r="Q528" s="68" t="n">
        <x:f>P528-O528</x:f>
        <x:v>0</x:v>
      </x:c>
      <x:c r="R528" s="14" t="n">
        <x:v>538368</x:v>
      </x:c>
      <x:c r="S528" s="14" t="n">
        <x:f>P528*'공식·설정'!$B$12+'공식·설정'!$B$14</x:f>
        <x:v>538368</x:v>
      </x:c>
      <x:c r="T528" s="68" t="n">
        <x:f>S528-R528</x:f>
        <x:v>0</x:v>
      </x:c>
      <x:c r="U528" s="65" t="n">
        <x:f>R528/'공식·설정'!$B$7</x:f>
        <x:v>2103</x:v>
      </x:c>
      <x:c r="V528" s="65" t="n">
        <x:f>S528/'공식·설정'!$B$7</x:f>
        <x:v>2103</x:v>
      </x:c>
      <x:c r="W528" s="14" t="n">
        <x:v>755</x:v>
      </x:c>
      <x:c r="X528" s="14" t="n">
        <x:f>INT(ABS(K529-K528)*'공식·설정'!$B$8/K528)</x:f>
        <x:v>755</x:v>
      </x:c>
      <x:c r="Y528" s="68" t="n">
        <x:f>X528-W528</x:f>
        <x:v>0</x:v>
      </x:c>
      <x:c r="Z528" s="66" t="n">
        <x:f>W528/'공식·설정'!$B$8</x:f>
        <x:v>0.0115203857421875</x:v>
      </x:c>
      <x:c r="AA528" s="66" t="n">
        <x:f>X528/'공식·설정'!$B$8</x:f>
        <x:v>0.0115203857421875</x:v>
      </x:c>
      <x:c r="AB528" s="67" t="str">
        <x:f>IF(AND(I528=0,L528=0,Q528=0,T528=0,Y528=0),"PASS","FAIL")</x:f>
        <x:v>PASS</x:v>
      </x:c>
    </x:row>
    <x:row r="529" ht="18" customHeight="1">
      <x:c r="A529" s="14" t="n">
        <x:v>632</x:v>
      </x:c>
      <x:c r="B529" s="14" t="n">
        <x:v>524</x:v>
      </x:c>
      <x:c r="C529" s="14" t="n">
        <x:v>630</x:v>
      </x:c>
      <x:c r="D529" s="14" t="n">
        <x:v>80343</x:v>
      </x:c>
      <x:c r="E529" s="14" t="n">
        <x:v>644</x:v>
      </x:c>
      <x:c r="F529" s="14" t="n">
        <x:v>93463</x:v>
      </x:c>
      <x:c r="G529" s="14" t="n">
        <x:v>82217</x:v>
      </x:c>
      <x:c r="H529" s="14" t="n">
        <x:f>INT((F529-D529)*(A529-C529)/(E529-C529))+D529</x:f>
        <x:v>82217</x:v>
      </x:c>
      <x:c r="I529" s="68" t="n">
        <x:f>H529-G529</x:f>
        <x:v>0</x:v>
      </x:c>
      <x:c r="J529" s="14" t="n">
        <x:v>535255</x:v>
      </x:c>
      <x:c r="K529" s="14" t="n">
        <x:f>INT(H529*'공식·설정'!$B$10/'공식·설정'!$B$15)</x:f>
        <x:v>535255</x:v>
      </x:c>
      <x:c r="L529" s="68" t="n">
        <x:f>K529-J529</x:f>
        <x:v>0</x:v>
      </x:c>
      <x:c r="M529" s="65" t="n">
        <x:f>J529/'공식·설정'!$B$7</x:f>
        <x:v>2090.83984375</x:v>
      </x:c>
      <x:c r="N529" s="65" t="n">
        <x:f>K529/'공식·설정'!$B$7</x:f>
        <x:v>2090.83984375</x:v>
      </x:c>
      <x:c r="O529" s="14" t="n">
        <x:v>209</x:v>
      </x:c>
      <x:c r="P529" s="14" t="n">
        <x:f>MIN(32767,MAX(0,INT((K529+INT('공식·설정'!$B$12/2))/'공식·설정'!$B$12)))</x:f>
        <x:v>209</x:v>
      </x:c>
      <x:c r="Q529" s="68" t="n">
        <x:f>P529-O529</x:f>
        <x:v>0</x:v>
      </x:c>
      <x:c r="R529" s="14" t="n">
        <x:v>543488</x:v>
      </x:c>
      <x:c r="S529" s="14" t="n">
        <x:f>P529*'공식·설정'!$B$12+'공식·설정'!$B$14</x:f>
        <x:v>543488</x:v>
      </x:c>
      <x:c r="T529" s="68" t="n">
        <x:f>S529-R529</x:f>
        <x:v>0</x:v>
      </x:c>
      <x:c r="U529" s="65" t="n">
        <x:f>R529/'공식·설정'!$B$7</x:f>
        <x:v>2123</x:v>
      </x:c>
      <x:c r="V529" s="65" t="n">
        <x:f>S529/'공식·설정'!$B$7</x:f>
        <x:v>2123</x:v>
      </x:c>
      <x:c r="W529" s="14" t="n">
        <x:v>746</x:v>
      </x:c>
      <x:c r="X529" s="14" t="n">
        <x:f>INT(ABS(K530-K529)*'공식·설정'!$B$8/K529)</x:f>
        <x:v>746</x:v>
      </x:c>
      <x:c r="Y529" s="68" t="n">
        <x:f>X529-W529</x:f>
        <x:v>0</x:v>
      </x:c>
      <x:c r="Z529" s="66" t="n">
        <x:f>W529/'공식·설정'!$B$8</x:f>
        <x:v>0.011383056640625</x:v>
      </x:c>
      <x:c r="AA529" s="66" t="n">
        <x:f>X529/'공식·설정'!$B$8</x:f>
        <x:v>0.011383056640625</x:v>
      </x:c>
      <x:c r="AB529" s="67" t="str">
        <x:f>IF(AND(I529=0,L529=0,Q529=0,T529=0,Y529=0),"PASS","FAIL")</x:f>
        <x:v>PASS</x:v>
      </x:c>
    </x:row>
    <x:row r="530" ht="18" customHeight="1">
      <x:c r="A530" s="14" t="n">
        <x:v>633</x:v>
      </x:c>
      <x:c r="B530" s="14" t="n">
        <x:v>525</x:v>
      </x:c>
      <x:c r="C530" s="14" t="n">
        <x:v>630</x:v>
      </x:c>
      <x:c r="D530" s="14" t="n">
        <x:v>80343</x:v>
      </x:c>
      <x:c r="E530" s="14" t="n">
        <x:v>644</x:v>
      </x:c>
      <x:c r="F530" s="14" t="n">
        <x:v>93463</x:v>
      </x:c>
      <x:c r="G530" s="14" t="n">
        <x:v>83154</x:v>
      </x:c>
      <x:c r="H530" s="14" t="n">
        <x:f>INT((F530-D530)*(A530-C530)/(E530-C530))+D530</x:f>
        <x:v>83154</x:v>
      </x:c>
      <x:c r="I530" s="68" t="n">
        <x:f>H530-G530</x:f>
        <x:v>0</x:v>
      </x:c>
      <x:c r="J530" s="14" t="n">
        <x:v>541355</x:v>
      </x:c>
      <x:c r="K530" s="14" t="n">
        <x:f>INT(H530*'공식·설정'!$B$10/'공식·설정'!$B$15)</x:f>
        <x:v>541355</x:v>
      </x:c>
      <x:c r="L530" s="68" t="n">
        <x:f>K530-J530</x:f>
        <x:v>0</x:v>
      </x:c>
      <x:c r="M530" s="65" t="n">
        <x:f>J530/'공식·설정'!$B$7</x:f>
        <x:v>2114.66796875</x:v>
      </x:c>
      <x:c r="N530" s="65" t="n">
        <x:f>K530/'공식·설정'!$B$7</x:f>
        <x:v>2114.66796875</x:v>
      </x:c>
      <x:c r="O530" s="14" t="n">
        <x:v>211</x:v>
      </x:c>
      <x:c r="P530" s="14" t="n">
        <x:f>MIN(32767,MAX(0,INT((K530+INT('공식·설정'!$B$12/2))/'공식·설정'!$B$12)))</x:f>
        <x:v>211</x:v>
      </x:c>
      <x:c r="Q530" s="68" t="n">
        <x:f>P530-O530</x:f>
        <x:v>0</x:v>
      </x:c>
      <x:c r="R530" s="14" t="n">
        <x:v>548608</x:v>
      </x:c>
      <x:c r="S530" s="14" t="n">
        <x:f>P530*'공식·설정'!$B$12+'공식·설정'!$B$14</x:f>
        <x:v>548608</x:v>
      </x:c>
      <x:c r="T530" s="68" t="n">
        <x:f>S530-R530</x:f>
        <x:v>0</x:v>
      </x:c>
      <x:c r="U530" s="65" t="n">
        <x:f>R530/'공식·설정'!$B$7</x:f>
        <x:v>2143</x:v>
      </x:c>
      <x:c r="V530" s="65" t="n">
        <x:f>S530/'공식·설정'!$B$7</x:f>
        <x:v>2143</x:v>
      </x:c>
      <x:c r="W530" s="14" t="n">
        <x:v>738</x:v>
      </x:c>
      <x:c r="X530" s="14" t="n">
        <x:f>INT(ABS(K531-K530)*'공식·설정'!$B$8/K530)</x:f>
        <x:v>738</x:v>
      </x:c>
      <x:c r="Y530" s="68" t="n">
        <x:f>X530-W530</x:f>
        <x:v>0</x:v>
      </x:c>
      <x:c r="Z530" s="66" t="n">
        <x:f>W530/'공식·설정'!$B$8</x:f>
        <x:v>0.011260986328125</x:v>
      </x:c>
      <x:c r="AA530" s="66" t="n">
        <x:f>X530/'공식·설정'!$B$8</x:f>
        <x:v>0.011260986328125</x:v>
      </x:c>
      <x:c r="AB530" s="67" t="str">
        <x:f>IF(AND(I530=0,L530=0,Q530=0,T530=0,Y530=0),"PASS","FAIL")</x:f>
        <x:v>PASS</x:v>
      </x:c>
    </x:row>
    <x:row r="531" ht="18" customHeight="1">
      <x:c r="A531" s="14" t="n">
        <x:v>634</x:v>
      </x:c>
      <x:c r="B531" s="14" t="n">
        <x:v>526</x:v>
      </x:c>
      <x:c r="C531" s="14" t="n">
        <x:v>630</x:v>
      </x:c>
      <x:c r="D531" s="14" t="n">
        <x:v>80343</x:v>
      </x:c>
      <x:c r="E531" s="14" t="n">
        <x:v>644</x:v>
      </x:c>
      <x:c r="F531" s="14" t="n">
        <x:v>93463</x:v>
      </x:c>
      <x:c r="G531" s="14" t="n">
        <x:v>84091</x:v>
      </x:c>
      <x:c r="H531" s="14" t="n">
        <x:f>INT((F531-D531)*(A531-C531)/(E531-C531))+D531</x:f>
        <x:v>84091</x:v>
      </x:c>
      <x:c r="I531" s="68" t="n">
        <x:f>H531-G531</x:f>
        <x:v>0</x:v>
      </x:c>
      <x:c r="J531" s="14" t="n">
        <x:v>547456</x:v>
      </x:c>
      <x:c r="K531" s="14" t="n">
        <x:f>INT(H531*'공식·설정'!$B$10/'공식·설정'!$B$15)</x:f>
        <x:v>547456</x:v>
      </x:c>
      <x:c r="L531" s="68" t="n">
        <x:f>K531-J531</x:f>
        <x:v>0</x:v>
      </x:c>
      <x:c r="M531" s="65" t="n">
        <x:f>J531/'공식·설정'!$B$7</x:f>
        <x:v>2138.5</x:v>
      </x:c>
      <x:c r="N531" s="65" t="n">
        <x:f>K531/'공식·설정'!$B$7</x:f>
        <x:v>2138.5</x:v>
      </x:c>
      <x:c r="O531" s="14" t="n">
        <x:v>214</x:v>
      </x:c>
      <x:c r="P531" s="14" t="n">
        <x:f>MIN(32767,MAX(0,INT((K531+INT('공식·설정'!$B$12/2))/'공식·설정'!$B$12)))</x:f>
        <x:v>214</x:v>
      </x:c>
      <x:c r="Q531" s="68" t="n">
        <x:f>P531-O531</x:f>
        <x:v>0</x:v>
      </x:c>
      <x:c r="R531" s="14" t="n">
        <x:v>556288</x:v>
      </x:c>
      <x:c r="S531" s="14" t="n">
        <x:f>P531*'공식·설정'!$B$12+'공식·설정'!$B$14</x:f>
        <x:v>556288</x:v>
      </x:c>
      <x:c r="T531" s="68" t="n">
        <x:f>S531-R531</x:f>
        <x:v>0</x:v>
      </x:c>
      <x:c r="U531" s="65" t="n">
        <x:f>R531/'공식·설정'!$B$7</x:f>
        <x:v>2173</x:v>
      </x:c>
      <x:c r="V531" s="65" t="n">
        <x:f>S531/'공식·설정'!$B$7</x:f>
        <x:v>2173</x:v>
      </x:c>
      <x:c r="W531" s="14" t="n">
        <x:v>730</x:v>
      </x:c>
      <x:c r="X531" s="14" t="n">
        <x:f>INT(ABS(K532-K531)*'공식·설정'!$B$8/K531)</x:f>
        <x:v>730</x:v>
      </x:c>
      <x:c r="Y531" s="68" t="n">
        <x:f>X531-W531</x:f>
        <x:v>0</x:v>
      </x:c>
      <x:c r="Z531" s="66" t="n">
        <x:f>W531/'공식·설정'!$B$8</x:f>
        <x:v>0.011138916015625</x:v>
      </x:c>
      <x:c r="AA531" s="66" t="n">
        <x:f>X531/'공식·설정'!$B$8</x:f>
        <x:v>0.011138916015625</x:v>
      </x:c>
      <x:c r="AB531" s="67" t="str">
        <x:f>IF(AND(I531=0,L531=0,Q531=0,T531=0,Y531=0),"PASS","FAIL")</x:f>
        <x:v>PASS</x:v>
      </x:c>
    </x:row>
    <x:row r="532" ht="18" customHeight="1">
      <x:c r="A532" s="14" t="n">
        <x:v>635</x:v>
      </x:c>
      <x:c r="B532" s="14" t="n">
        <x:v>527</x:v>
      </x:c>
      <x:c r="C532" s="14" t="n">
        <x:v>630</x:v>
      </x:c>
      <x:c r="D532" s="14" t="n">
        <x:v>80343</x:v>
      </x:c>
      <x:c r="E532" s="14" t="n">
        <x:v>644</x:v>
      </x:c>
      <x:c r="F532" s="14" t="n">
        <x:v>93463</x:v>
      </x:c>
      <x:c r="G532" s="14" t="n">
        <x:v>85028</x:v>
      </x:c>
      <x:c r="H532" s="14" t="n">
        <x:f>INT((F532-D532)*(A532-C532)/(E532-C532))+D532</x:f>
        <x:v>85028</x:v>
      </x:c>
      <x:c r="I532" s="68" t="n">
        <x:f>H532-G532</x:f>
        <x:v>0</x:v>
      </x:c>
      <x:c r="J532" s="14" t="n">
        <x:v>553556</x:v>
      </x:c>
      <x:c r="K532" s="14" t="n">
        <x:f>INT(H532*'공식·설정'!$B$10/'공식·설정'!$B$15)</x:f>
        <x:v>553556</x:v>
      </x:c>
      <x:c r="L532" s="68" t="n">
        <x:f>K532-J532</x:f>
        <x:v>0</x:v>
      </x:c>
      <x:c r="M532" s="65" t="n">
        <x:f>J532/'공식·설정'!$B$7</x:f>
        <x:v>2162.328125</x:v>
      </x:c>
      <x:c r="N532" s="65" t="n">
        <x:f>K532/'공식·설정'!$B$7</x:f>
        <x:v>2162.328125</x:v>
      </x:c>
      <x:c r="O532" s="14" t="n">
        <x:v>216</x:v>
      </x:c>
      <x:c r="P532" s="14" t="n">
        <x:f>MIN(32767,MAX(0,INT((K532+INT('공식·설정'!$B$12/2))/'공식·설정'!$B$12)))</x:f>
        <x:v>216</x:v>
      </x:c>
      <x:c r="Q532" s="68" t="n">
        <x:f>P532-O532</x:f>
        <x:v>0</x:v>
      </x:c>
      <x:c r="R532" s="14" t="n">
        <x:v>561408</x:v>
      </x:c>
      <x:c r="S532" s="14" t="n">
        <x:f>P532*'공식·설정'!$B$12+'공식·설정'!$B$14</x:f>
        <x:v>561408</x:v>
      </x:c>
      <x:c r="T532" s="68" t="n">
        <x:f>S532-R532</x:f>
        <x:v>0</x:v>
      </x:c>
      <x:c r="U532" s="65" t="n">
        <x:f>R532/'공식·설정'!$B$7</x:f>
        <x:v>2193</x:v>
      </x:c>
      <x:c r="V532" s="65" t="n">
        <x:f>S532/'공식·설정'!$B$7</x:f>
        <x:v>2193</x:v>
      </x:c>
      <x:c r="W532" s="14" t="n">
        <x:v>722</x:v>
      </x:c>
      <x:c r="X532" s="14" t="n">
        <x:f>INT(ABS(K533-K532)*'공식·설정'!$B$8/K532)</x:f>
        <x:v>722</x:v>
      </x:c>
      <x:c r="Y532" s="68" t="n">
        <x:f>X532-W532</x:f>
        <x:v>0</x:v>
      </x:c>
      <x:c r="Z532" s="66" t="n">
        <x:f>W532/'공식·설정'!$B$8</x:f>
        <x:v>0.011016845703125</x:v>
      </x:c>
      <x:c r="AA532" s="66" t="n">
        <x:f>X532/'공식·설정'!$B$8</x:f>
        <x:v>0.011016845703125</x:v>
      </x:c>
      <x:c r="AB532" s="67" t="str">
        <x:f>IF(AND(I532=0,L532=0,Q532=0,T532=0,Y532=0),"PASS","FAIL")</x:f>
        <x:v>PASS</x:v>
      </x:c>
    </x:row>
    <x:row r="533" ht="18" customHeight="1">
      <x:c r="A533" s="14" t="n">
        <x:v>636</x:v>
      </x:c>
      <x:c r="B533" s="14" t="n">
        <x:v>528</x:v>
      </x:c>
      <x:c r="C533" s="14" t="n">
        <x:v>630</x:v>
      </x:c>
      <x:c r="D533" s="14" t="n">
        <x:v>80343</x:v>
      </x:c>
      <x:c r="E533" s="14" t="n">
        <x:v>644</x:v>
      </x:c>
      <x:c r="F533" s="14" t="n">
        <x:v>93463</x:v>
      </x:c>
      <x:c r="G533" s="14" t="n">
        <x:v>85965</x:v>
      </x:c>
      <x:c r="H533" s="14" t="n">
        <x:f>INT((F533-D533)*(A533-C533)/(E533-C533))+D533</x:f>
        <x:v>85965</x:v>
      </x:c>
      <x:c r="I533" s="68" t="n">
        <x:f>H533-G533</x:f>
        <x:v>0</x:v>
      </x:c>
      <x:c r="J533" s="14" t="n">
        <x:v>559656</x:v>
      </x:c>
      <x:c r="K533" s="14" t="n">
        <x:f>INT(H533*'공식·설정'!$B$10/'공식·설정'!$B$15)</x:f>
        <x:v>559656</x:v>
      </x:c>
      <x:c r="L533" s="68" t="n">
        <x:f>K533-J533</x:f>
        <x:v>0</x:v>
      </x:c>
      <x:c r="M533" s="65" t="n">
        <x:f>J533/'공식·설정'!$B$7</x:f>
        <x:v>2186.15625</x:v>
      </x:c>
      <x:c r="N533" s="65" t="n">
        <x:f>K533/'공식·설정'!$B$7</x:f>
        <x:v>2186.15625</x:v>
      </x:c>
      <x:c r="O533" s="14" t="n">
        <x:v>219</x:v>
      </x:c>
      <x:c r="P533" s="14" t="n">
        <x:f>MIN(32767,MAX(0,INT((K533+INT('공식·설정'!$B$12/2))/'공식·설정'!$B$12)))</x:f>
        <x:v>219</x:v>
      </x:c>
      <x:c r="Q533" s="68" t="n">
        <x:f>P533-O533</x:f>
        <x:v>0</x:v>
      </x:c>
      <x:c r="R533" s="14" t="n">
        <x:v>569088</x:v>
      </x:c>
      <x:c r="S533" s="14" t="n">
        <x:f>P533*'공식·설정'!$B$12+'공식·설정'!$B$14</x:f>
        <x:v>569088</x:v>
      </x:c>
      <x:c r="T533" s="68" t="n">
        <x:f>S533-R533</x:f>
        <x:v>0</x:v>
      </x:c>
      <x:c r="U533" s="65" t="n">
        <x:f>R533/'공식·설정'!$B$7</x:f>
        <x:v>2223</x:v>
      </x:c>
      <x:c r="V533" s="65" t="n">
        <x:f>S533/'공식·설정'!$B$7</x:f>
        <x:v>2223</x:v>
      </x:c>
      <x:c r="W533" s="14" t="n">
        <x:v>715</x:v>
      </x:c>
      <x:c r="X533" s="14" t="n">
        <x:f>INT(ABS(K534-K533)*'공식·설정'!$B$8/K533)</x:f>
        <x:v>715</x:v>
      </x:c>
      <x:c r="Y533" s="68" t="n">
        <x:f>X533-W533</x:f>
        <x:v>0</x:v>
      </x:c>
      <x:c r="Z533" s="66" t="n">
        <x:f>W533/'공식·설정'!$B$8</x:f>
        <x:v>0.0109100341796875</x:v>
      </x:c>
      <x:c r="AA533" s="66" t="n">
        <x:f>X533/'공식·설정'!$B$8</x:f>
        <x:v>0.0109100341796875</x:v>
      </x:c>
      <x:c r="AB533" s="67" t="str">
        <x:f>IF(AND(I533=0,L533=0,Q533=0,T533=0,Y533=0),"PASS","FAIL")</x:f>
        <x:v>PASS</x:v>
      </x:c>
    </x:row>
    <x:row r="534" ht="18" customHeight="1">
      <x:c r="A534" s="14" t="n">
        <x:v>637</x:v>
      </x:c>
      <x:c r="B534" s="14" t="n">
        <x:v>529</x:v>
      </x:c>
      <x:c r="C534" s="14" t="n">
        <x:v>630</x:v>
      </x:c>
      <x:c r="D534" s="14" t="n">
        <x:v>80343</x:v>
      </x:c>
      <x:c r="E534" s="14" t="n">
        <x:v>644</x:v>
      </x:c>
      <x:c r="F534" s="14" t="n">
        <x:v>93463</x:v>
      </x:c>
      <x:c r="G534" s="14" t="n">
        <x:v>86903</x:v>
      </x:c>
      <x:c r="H534" s="14" t="n">
        <x:f>INT((F534-D534)*(A534-C534)/(E534-C534))+D534</x:f>
        <x:v>86903</x:v>
      </x:c>
      <x:c r="I534" s="68" t="n">
        <x:f>H534-G534</x:f>
        <x:v>0</x:v>
      </x:c>
      <x:c r="J534" s="14" t="n">
        <x:v>565763</x:v>
      </x:c>
      <x:c r="K534" s="14" t="n">
        <x:f>INT(H534*'공식·설정'!$B$10/'공식·설정'!$B$15)</x:f>
        <x:v>565763</x:v>
      </x:c>
      <x:c r="L534" s="68" t="n">
        <x:f>K534-J534</x:f>
        <x:v>0</x:v>
      </x:c>
      <x:c r="M534" s="65" t="n">
        <x:f>J534/'공식·설정'!$B$7</x:f>
        <x:v>2210.01171875</x:v>
      </x:c>
      <x:c r="N534" s="65" t="n">
        <x:f>K534/'공식·설정'!$B$7</x:f>
        <x:v>2210.01171875</x:v>
      </x:c>
      <x:c r="O534" s="14" t="n">
        <x:v>221</x:v>
      </x:c>
      <x:c r="P534" s="14" t="n">
        <x:f>MIN(32767,MAX(0,INT((K534+INT('공식·설정'!$B$12/2))/'공식·설정'!$B$12)))</x:f>
        <x:v>221</x:v>
      </x:c>
      <x:c r="Q534" s="68" t="n">
        <x:f>P534-O534</x:f>
        <x:v>0</x:v>
      </x:c>
      <x:c r="R534" s="14" t="n">
        <x:v>574208</x:v>
      </x:c>
      <x:c r="S534" s="14" t="n">
        <x:f>P534*'공식·설정'!$B$12+'공식·설정'!$B$14</x:f>
        <x:v>574208</x:v>
      </x:c>
      <x:c r="T534" s="68" t="n">
        <x:f>S534-R534</x:f>
        <x:v>0</x:v>
      </x:c>
      <x:c r="U534" s="65" t="n">
        <x:f>R534/'공식·설정'!$B$7</x:f>
        <x:v>2243</x:v>
      </x:c>
      <x:c r="V534" s="65" t="n">
        <x:f>S534/'공식·설정'!$B$7</x:f>
        <x:v>2243</x:v>
      </x:c>
      <x:c r="W534" s="14" t="n">
        <x:v>706</x:v>
      </x:c>
      <x:c r="X534" s="14" t="n">
        <x:f>INT(ABS(K535-K534)*'공식·설정'!$B$8/K534)</x:f>
        <x:v>706</x:v>
      </x:c>
      <x:c r="Y534" s="68" t="n">
        <x:f>X534-W534</x:f>
        <x:v>0</x:v>
      </x:c>
      <x:c r="Z534" s="66" t="n">
        <x:f>W534/'공식·설정'!$B$8</x:f>
        <x:v>0.010772705078125</x:v>
      </x:c>
      <x:c r="AA534" s="66" t="n">
        <x:f>X534/'공식·설정'!$B$8</x:f>
        <x:v>0.010772705078125</x:v>
      </x:c>
      <x:c r="AB534" s="67" t="str">
        <x:f>IF(AND(I534=0,L534=0,Q534=0,T534=0,Y534=0),"PASS","FAIL")</x:f>
        <x:v>PASS</x:v>
      </x:c>
    </x:row>
    <x:row r="535" ht="18" customHeight="1">
      <x:c r="A535" s="14" t="n">
        <x:v>638</x:v>
      </x:c>
      <x:c r="B535" s="14" t="n">
        <x:v>530</x:v>
      </x:c>
      <x:c r="C535" s="14" t="n">
        <x:v>630</x:v>
      </x:c>
      <x:c r="D535" s="14" t="n">
        <x:v>80343</x:v>
      </x:c>
      <x:c r="E535" s="14" t="n">
        <x:v>644</x:v>
      </x:c>
      <x:c r="F535" s="14" t="n">
        <x:v>93463</x:v>
      </x:c>
      <x:c r="G535" s="14" t="n">
        <x:v>87840</x:v>
      </x:c>
      <x:c r="H535" s="14" t="n">
        <x:f>INT((F535-D535)*(A535-C535)/(E535-C535))+D535</x:f>
        <x:v>87840</x:v>
      </x:c>
      <x:c r="I535" s="68" t="n">
        <x:f>H535-G535</x:f>
        <x:v>0</x:v>
      </x:c>
      <x:c r="J535" s="14" t="n">
        <x:v>571863</x:v>
      </x:c>
      <x:c r="K535" s="14" t="n">
        <x:f>INT(H535*'공식·설정'!$B$10/'공식·설정'!$B$15)</x:f>
        <x:v>571863</x:v>
      </x:c>
      <x:c r="L535" s="68" t="n">
        <x:f>K535-J535</x:f>
        <x:v>0</x:v>
      </x:c>
      <x:c r="M535" s="65" t="n">
        <x:f>J535/'공식·설정'!$B$7</x:f>
        <x:v>2233.83984375</x:v>
      </x:c>
      <x:c r="N535" s="65" t="n">
        <x:f>K535/'공식·설정'!$B$7</x:f>
        <x:v>2233.83984375</x:v>
      </x:c>
      <x:c r="O535" s="14" t="n">
        <x:v>223</x:v>
      </x:c>
      <x:c r="P535" s="14" t="n">
        <x:f>MIN(32767,MAX(0,INT((K535+INT('공식·설정'!$B$12/2))/'공식·설정'!$B$12)))</x:f>
        <x:v>223</x:v>
      </x:c>
      <x:c r="Q535" s="68" t="n">
        <x:f>P535-O535</x:f>
        <x:v>0</x:v>
      </x:c>
      <x:c r="R535" s="14" t="n">
        <x:v>579328</x:v>
      </x:c>
      <x:c r="S535" s="14" t="n">
        <x:f>P535*'공식·설정'!$B$12+'공식·설정'!$B$14</x:f>
        <x:v>579328</x:v>
      </x:c>
      <x:c r="T535" s="68" t="n">
        <x:f>S535-R535</x:f>
        <x:v>0</x:v>
      </x:c>
      <x:c r="U535" s="65" t="n">
        <x:f>R535/'공식·설정'!$B$7</x:f>
        <x:v>2263</x:v>
      </x:c>
      <x:c r="V535" s="65" t="n">
        <x:f>S535/'공식·설정'!$B$7</x:f>
        <x:v>2263</x:v>
      </x:c>
      <x:c r="W535" s="14" t="n">
        <x:v>699</x:v>
      </x:c>
      <x:c r="X535" s="14" t="n">
        <x:f>INT(ABS(K536-K535)*'공식·설정'!$B$8/K535)</x:f>
        <x:v>699</x:v>
      </x:c>
      <x:c r="Y535" s="68" t="n">
        <x:f>X535-W535</x:f>
        <x:v>0</x:v>
      </x:c>
      <x:c r="Z535" s="66" t="n">
        <x:f>W535/'공식·설정'!$B$8</x:f>
        <x:v>0.0106658935546875</x:v>
      </x:c>
      <x:c r="AA535" s="66" t="n">
        <x:f>X535/'공식·설정'!$B$8</x:f>
        <x:v>0.0106658935546875</x:v>
      </x:c>
      <x:c r="AB535" s="67" t="str">
        <x:f>IF(AND(I535=0,L535=0,Q535=0,T535=0,Y535=0),"PASS","FAIL")</x:f>
        <x:v>PASS</x:v>
      </x:c>
    </x:row>
    <x:row r="536" ht="18" customHeight="1">
      <x:c r="A536" s="14" t="n">
        <x:v>639</x:v>
      </x:c>
      <x:c r="B536" s="14" t="n">
        <x:v>531</x:v>
      </x:c>
      <x:c r="C536" s="14" t="n">
        <x:v>630</x:v>
      </x:c>
      <x:c r="D536" s="14" t="n">
        <x:v>80343</x:v>
      </x:c>
      <x:c r="E536" s="14" t="n">
        <x:v>644</x:v>
      </x:c>
      <x:c r="F536" s="14" t="n">
        <x:v>93463</x:v>
      </x:c>
      <x:c r="G536" s="14" t="n">
        <x:v>88777</x:v>
      </x:c>
      <x:c r="H536" s="14" t="n">
        <x:f>INT((F536-D536)*(A536-C536)/(E536-C536))+D536</x:f>
        <x:v>88777</x:v>
      </x:c>
      <x:c r="I536" s="68" t="n">
        <x:f>H536-G536</x:f>
        <x:v>0</x:v>
      </x:c>
      <x:c r="J536" s="14" t="n">
        <x:v>577963</x:v>
      </x:c>
      <x:c r="K536" s="14" t="n">
        <x:f>INT(H536*'공식·설정'!$B$10/'공식·설정'!$B$15)</x:f>
        <x:v>577963</x:v>
      </x:c>
      <x:c r="L536" s="68" t="n">
        <x:f>K536-J536</x:f>
        <x:v>0</x:v>
      </x:c>
      <x:c r="M536" s="65" t="n">
        <x:f>J536/'공식·설정'!$B$7</x:f>
        <x:v>2257.66796875</x:v>
      </x:c>
      <x:c r="N536" s="65" t="n">
        <x:f>K536/'공식·설정'!$B$7</x:f>
        <x:v>2257.66796875</x:v>
      </x:c>
      <x:c r="O536" s="14" t="n">
        <x:v>226</x:v>
      </x:c>
      <x:c r="P536" s="14" t="n">
        <x:f>MIN(32767,MAX(0,INT((K536+INT('공식·설정'!$B$12/2))/'공식·설정'!$B$12)))</x:f>
        <x:v>226</x:v>
      </x:c>
      <x:c r="Q536" s="68" t="n">
        <x:f>P536-O536</x:f>
        <x:v>0</x:v>
      </x:c>
      <x:c r="R536" s="14" t="n">
        <x:v>587008</x:v>
      </x:c>
      <x:c r="S536" s="14" t="n">
        <x:f>P536*'공식·설정'!$B$12+'공식·설정'!$B$14</x:f>
        <x:v>587008</x:v>
      </x:c>
      <x:c r="T536" s="68" t="n">
        <x:f>S536-R536</x:f>
        <x:v>0</x:v>
      </x:c>
      <x:c r="U536" s="65" t="n">
        <x:f>R536/'공식·설정'!$B$7</x:f>
        <x:v>2293</x:v>
      </x:c>
      <x:c r="V536" s="65" t="n">
        <x:f>S536/'공식·설정'!$B$7</x:f>
        <x:v>2293</x:v>
      </x:c>
      <x:c r="W536" s="14" t="n">
        <x:v>691</x:v>
      </x:c>
      <x:c r="X536" s="14" t="n">
        <x:f>INT(ABS(K537-K536)*'공식·설정'!$B$8/K536)</x:f>
        <x:v>691</x:v>
      </x:c>
      <x:c r="Y536" s="68" t="n">
        <x:f>X536-W536</x:f>
        <x:v>0</x:v>
      </x:c>
      <x:c r="Z536" s="66" t="n">
        <x:f>W536/'공식·설정'!$B$8</x:f>
        <x:v>0.0105438232421875</x:v>
      </x:c>
      <x:c r="AA536" s="66" t="n">
        <x:f>X536/'공식·설정'!$B$8</x:f>
        <x:v>0.0105438232421875</x:v>
      </x:c>
      <x:c r="AB536" s="67" t="str">
        <x:f>IF(AND(I536=0,L536=0,Q536=0,T536=0,Y536=0),"PASS","FAIL")</x:f>
        <x:v>PASS</x:v>
      </x:c>
    </x:row>
    <x:row r="537" ht="18" customHeight="1">
      <x:c r="A537" s="14" t="n">
        <x:v>640</x:v>
      </x:c>
      <x:c r="B537" s="14" t="n">
        <x:v>532</x:v>
      </x:c>
      <x:c r="C537" s="14" t="n">
        <x:v>630</x:v>
      </x:c>
      <x:c r="D537" s="14" t="n">
        <x:v>80343</x:v>
      </x:c>
      <x:c r="E537" s="14" t="n">
        <x:v>644</x:v>
      </x:c>
      <x:c r="F537" s="14" t="n">
        <x:v>93463</x:v>
      </x:c>
      <x:c r="G537" s="14" t="n">
        <x:v>89714</x:v>
      </x:c>
      <x:c r="H537" s="14" t="n">
        <x:f>INT((F537-D537)*(A537-C537)/(E537-C537))+D537</x:f>
        <x:v>89714</x:v>
      </x:c>
      <x:c r="I537" s="68" t="n">
        <x:f>H537-G537</x:f>
        <x:v>0</x:v>
      </x:c>
      <x:c r="J537" s="14" t="n">
        <x:v>584063</x:v>
      </x:c>
      <x:c r="K537" s="14" t="n">
        <x:f>INT(H537*'공식·설정'!$B$10/'공식·설정'!$B$15)</x:f>
        <x:v>584063</x:v>
      </x:c>
      <x:c r="L537" s="68" t="n">
        <x:f>K537-J537</x:f>
        <x:v>0</x:v>
      </x:c>
      <x:c r="M537" s="65" t="n">
        <x:f>J537/'공식·설정'!$B$7</x:f>
        <x:v>2281.49609375</x:v>
      </x:c>
      <x:c r="N537" s="65" t="n">
        <x:f>K537/'공식·설정'!$B$7</x:f>
        <x:v>2281.49609375</x:v>
      </x:c>
      <x:c r="O537" s="14" t="n">
        <x:v>228</x:v>
      </x:c>
      <x:c r="P537" s="14" t="n">
        <x:f>MIN(32767,MAX(0,INT((K537+INT('공식·설정'!$B$12/2))/'공식·설정'!$B$12)))</x:f>
        <x:v>228</x:v>
      </x:c>
      <x:c r="Q537" s="68" t="n">
        <x:f>P537-O537</x:f>
        <x:v>0</x:v>
      </x:c>
      <x:c r="R537" s="14" t="n">
        <x:v>592128</x:v>
      </x:c>
      <x:c r="S537" s="14" t="n">
        <x:f>P537*'공식·설정'!$B$12+'공식·설정'!$B$14</x:f>
        <x:v>592128</x:v>
      </x:c>
      <x:c r="T537" s="68" t="n">
        <x:f>S537-R537</x:f>
        <x:v>0</x:v>
      </x:c>
      <x:c r="U537" s="65" t="n">
        <x:f>R537/'공식·설정'!$B$7</x:f>
        <x:v>2313</x:v>
      </x:c>
      <x:c r="V537" s="65" t="n">
        <x:f>S537/'공식·설정'!$B$7</x:f>
        <x:v>2313</x:v>
      </x:c>
      <x:c r="W537" s="14" t="n">
        <x:v>684</x:v>
      </x:c>
      <x:c r="X537" s="14" t="n">
        <x:f>INT(ABS(K538-K537)*'공식·설정'!$B$8/K537)</x:f>
        <x:v>684</x:v>
      </x:c>
      <x:c r="Y537" s="68" t="n">
        <x:f>X537-W537</x:f>
        <x:v>0</x:v>
      </x:c>
      <x:c r="Z537" s="66" t="n">
        <x:f>W537/'공식·설정'!$B$8</x:f>
        <x:v>0.01043701171875</x:v>
      </x:c>
      <x:c r="AA537" s="66" t="n">
        <x:f>X537/'공식·설정'!$B$8</x:f>
        <x:v>0.01043701171875</x:v>
      </x:c>
      <x:c r="AB537" s="67" t="str">
        <x:f>IF(AND(I537=0,L537=0,Q537=0,T537=0,Y537=0),"PASS","FAIL")</x:f>
        <x:v>PASS</x:v>
      </x:c>
    </x:row>
    <x:row r="538" ht="18" customHeight="1">
      <x:c r="A538" s="14" t="n">
        <x:v>641</x:v>
      </x:c>
      <x:c r="B538" s="14" t="n">
        <x:v>533</x:v>
      </x:c>
      <x:c r="C538" s="14" t="n">
        <x:v>630</x:v>
      </x:c>
      <x:c r="D538" s="14" t="n">
        <x:v>80343</x:v>
      </x:c>
      <x:c r="E538" s="14" t="n">
        <x:v>644</x:v>
      </x:c>
      <x:c r="F538" s="14" t="n">
        <x:v>93463</x:v>
      </x:c>
      <x:c r="G538" s="14" t="n">
        <x:v>90651</x:v>
      </x:c>
      <x:c r="H538" s="14" t="n">
        <x:f>INT((F538-D538)*(A538-C538)/(E538-C538))+D538</x:f>
        <x:v>90651</x:v>
      </x:c>
      <x:c r="I538" s="68" t="n">
        <x:f>H538-G538</x:f>
        <x:v>0</x:v>
      </x:c>
      <x:c r="J538" s="14" t="n">
        <x:v>590163</x:v>
      </x:c>
      <x:c r="K538" s="14" t="n">
        <x:f>INT(H538*'공식·설정'!$B$10/'공식·설정'!$B$15)</x:f>
        <x:v>590163</x:v>
      </x:c>
      <x:c r="L538" s="68" t="n">
        <x:f>K538-J538</x:f>
        <x:v>0</x:v>
      </x:c>
      <x:c r="M538" s="65" t="n">
        <x:f>J538/'공식·설정'!$B$7</x:f>
        <x:v>2305.32421875</x:v>
      </x:c>
      <x:c r="N538" s="65" t="n">
        <x:f>K538/'공식·설정'!$B$7</x:f>
        <x:v>2305.32421875</x:v>
      </x:c>
      <x:c r="O538" s="14" t="n">
        <x:v>231</x:v>
      </x:c>
      <x:c r="P538" s="14" t="n">
        <x:f>MIN(32767,MAX(0,INT((K538+INT('공식·설정'!$B$12/2))/'공식·설정'!$B$12)))</x:f>
        <x:v>231</x:v>
      </x:c>
      <x:c r="Q538" s="68" t="n">
        <x:f>P538-O538</x:f>
        <x:v>0</x:v>
      </x:c>
      <x:c r="R538" s="14" t="n">
        <x:v>599808</x:v>
      </x:c>
      <x:c r="S538" s="14" t="n">
        <x:f>P538*'공식·설정'!$B$12+'공식·설정'!$B$14</x:f>
        <x:v>599808</x:v>
      </x:c>
      <x:c r="T538" s="68" t="n">
        <x:f>S538-R538</x:f>
        <x:v>0</x:v>
      </x:c>
      <x:c r="U538" s="65" t="n">
        <x:f>R538/'공식·설정'!$B$7</x:f>
        <x:v>2343</x:v>
      </x:c>
      <x:c r="V538" s="65" t="n">
        <x:f>S538/'공식·설정'!$B$7</x:f>
        <x:v>2343</x:v>
      </x:c>
      <x:c r="W538" s="14" t="n">
        <x:v>677</x:v>
      </x:c>
      <x:c r="X538" s="14" t="n">
        <x:f>INT(ABS(K539-K538)*'공식·설정'!$B$8/K538)</x:f>
        <x:v>677</x:v>
      </x:c>
      <x:c r="Y538" s="68" t="n">
        <x:f>X538-W538</x:f>
        <x:v>0</x:v>
      </x:c>
      <x:c r="Z538" s="66" t="n">
        <x:f>W538/'공식·설정'!$B$8</x:f>
        <x:v>0.0103302001953125</x:v>
      </x:c>
      <x:c r="AA538" s="66" t="n">
        <x:f>X538/'공식·설정'!$B$8</x:f>
        <x:v>0.0103302001953125</x:v>
      </x:c>
      <x:c r="AB538" s="67" t="str">
        <x:f>IF(AND(I538=0,L538=0,Q538=0,T538=0,Y538=0),"PASS","FAIL")</x:f>
        <x:v>PASS</x:v>
      </x:c>
    </x:row>
    <x:row r="539" ht="18" customHeight="1">
      <x:c r="A539" s="14" t="n">
        <x:v>642</x:v>
      </x:c>
      <x:c r="B539" s="14" t="n">
        <x:v>534</x:v>
      </x:c>
      <x:c r="C539" s="14" t="n">
        <x:v>630</x:v>
      </x:c>
      <x:c r="D539" s="14" t="n">
        <x:v>80343</x:v>
      </x:c>
      <x:c r="E539" s="14" t="n">
        <x:v>644</x:v>
      </x:c>
      <x:c r="F539" s="14" t="n">
        <x:v>93463</x:v>
      </x:c>
      <x:c r="G539" s="14" t="n">
        <x:v>91588</x:v>
      </x:c>
      <x:c r="H539" s="14" t="n">
        <x:f>INT((F539-D539)*(A539-C539)/(E539-C539))+D539</x:f>
        <x:v>91588</x:v>
      </x:c>
      <x:c r="I539" s="68" t="n">
        <x:f>H539-G539</x:f>
        <x:v>0</x:v>
      </x:c>
      <x:c r="J539" s="14" t="n">
        <x:v>596263</x:v>
      </x:c>
      <x:c r="K539" s="14" t="n">
        <x:f>INT(H539*'공식·설정'!$B$10/'공식·설정'!$B$15)</x:f>
        <x:v>596263</x:v>
      </x:c>
      <x:c r="L539" s="68" t="n">
        <x:f>K539-J539</x:f>
        <x:v>0</x:v>
      </x:c>
      <x:c r="M539" s="65" t="n">
        <x:f>J539/'공식·설정'!$B$7</x:f>
        <x:v>2329.15234375</x:v>
      </x:c>
      <x:c r="N539" s="65" t="n">
        <x:f>K539/'공식·설정'!$B$7</x:f>
        <x:v>2329.15234375</x:v>
      </x:c>
      <x:c r="O539" s="14" t="n">
        <x:v>233</x:v>
      </x:c>
      <x:c r="P539" s="14" t="n">
        <x:f>MIN(32767,MAX(0,INT((K539+INT('공식·설정'!$B$12/2))/'공식·설정'!$B$12)))</x:f>
        <x:v>233</x:v>
      </x:c>
      <x:c r="Q539" s="68" t="n">
        <x:f>P539-O539</x:f>
        <x:v>0</x:v>
      </x:c>
      <x:c r="R539" s="14" t="n">
        <x:v>604928</x:v>
      </x:c>
      <x:c r="S539" s="14" t="n">
        <x:f>P539*'공식·설정'!$B$12+'공식·설정'!$B$14</x:f>
        <x:v>604928</x:v>
      </x:c>
      <x:c r="T539" s="68" t="n">
        <x:f>S539-R539</x:f>
        <x:v>0</x:v>
      </x:c>
      <x:c r="U539" s="65" t="n">
        <x:f>R539/'공식·설정'!$B$7</x:f>
        <x:v>2363</x:v>
      </x:c>
      <x:c r="V539" s="65" t="n">
        <x:f>S539/'공식·설정'!$B$7</x:f>
        <x:v>2363</x:v>
      </x:c>
      <x:c r="W539" s="14" t="n">
        <x:v>670</x:v>
      </x:c>
      <x:c r="X539" s="14" t="n">
        <x:f>INT(ABS(K540-K539)*'공식·설정'!$B$8/K539)</x:f>
        <x:v>670</x:v>
      </x:c>
      <x:c r="Y539" s="68" t="n">
        <x:f>X539-W539</x:f>
        <x:v>0</x:v>
      </x:c>
      <x:c r="Z539" s="66" t="n">
        <x:f>W539/'공식·설정'!$B$8</x:f>
        <x:v>0.010223388671875</x:v>
      </x:c>
      <x:c r="AA539" s="66" t="n">
        <x:f>X539/'공식·설정'!$B$8</x:f>
        <x:v>0.010223388671875</x:v>
      </x:c>
      <x:c r="AB539" s="67" t="str">
        <x:f>IF(AND(I539=0,L539=0,Q539=0,T539=0,Y539=0),"PASS","FAIL")</x:f>
        <x:v>PASS</x:v>
      </x:c>
    </x:row>
    <x:row r="540" ht="18" customHeight="1">
      <x:c r="A540" s="14" t="n">
        <x:v>643</x:v>
      </x:c>
      <x:c r="B540" s="14" t="n">
        <x:v>535</x:v>
      </x:c>
      <x:c r="C540" s="14" t="n">
        <x:v>630</x:v>
      </x:c>
      <x:c r="D540" s="14" t="n">
        <x:v>80343</x:v>
      </x:c>
      <x:c r="E540" s="14" t="n">
        <x:v>644</x:v>
      </x:c>
      <x:c r="F540" s="14" t="n">
        <x:v>93463</x:v>
      </x:c>
      <x:c r="G540" s="14" t="n">
        <x:v>92525</x:v>
      </x:c>
      <x:c r="H540" s="14" t="n">
        <x:f>INT((F540-D540)*(A540-C540)/(E540-C540))+D540</x:f>
        <x:v>92525</x:v>
      </x:c>
      <x:c r="I540" s="68" t="n">
        <x:f>H540-G540</x:f>
        <x:v>0</x:v>
      </x:c>
      <x:c r="J540" s="14" t="n">
        <x:v>602363</x:v>
      </x:c>
      <x:c r="K540" s="14" t="n">
        <x:f>INT(H540*'공식·설정'!$B$10/'공식·설정'!$B$15)</x:f>
        <x:v>602363</x:v>
      </x:c>
      <x:c r="L540" s="68" t="n">
        <x:f>K540-J540</x:f>
        <x:v>0</x:v>
      </x:c>
      <x:c r="M540" s="65" t="n">
        <x:f>J540/'공식·설정'!$B$7</x:f>
        <x:v>2352.98046875</x:v>
      </x:c>
      <x:c r="N540" s="65" t="n">
        <x:f>K540/'공식·설정'!$B$7</x:f>
        <x:v>2352.98046875</x:v>
      </x:c>
      <x:c r="O540" s="14" t="n">
        <x:v>235</x:v>
      </x:c>
      <x:c r="P540" s="14" t="n">
        <x:f>MIN(32767,MAX(0,INT((K540+INT('공식·설정'!$B$12/2))/'공식·설정'!$B$12)))</x:f>
        <x:v>235</x:v>
      </x:c>
      <x:c r="Q540" s="68" t="n">
        <x:f>P540-O540</x:f>
        <x:v>0</x:v>
      </x:c>
      <x:c r="R540" s="14" t="n">
        <x:v>610048</x:v>
      </x:c>
      <x:c r="S540" s="14" t="n">
        <x:f>P540*'공식·설정'!$B$12+'공식·설정'!$B$14</x:f>
        <x:v>610048</x:v>
      </x:c>
      <x:c r="T540" s="68" t="n">
        <x:f>S540-R540</x:f>
        <x:v>0</x:v>
      </x:c>
      <x:c r="U540" s="65" t="n">
        <x:f>R540/'공식·설정'!$B$7</x:f>
        <x:v>2383</x:v>
      </x:c>
      <x:c r="V540" s="65" t="n">
        <x:f>S540/'공식·설정'!$B$7</x:f>
        <x:v>2383</x:v>
      </x:c>
      <x:c r="W540" s="14" t="n">
        <x:v>664</x:v>
      </x:c>
      <x:c r="X540" s="14" t="n">
        <x:f>INT(ABS(K541-K540)*'공식·설정'!$B$8/K540)</x:f>
        <x:v>664</x:v>
      </x:c>
      <x:c r="Y540" s="68" t="n">
        <x:f>X540-W540</x:f>
        <x:v>0</x:v>
      </x:c>
      <x:c r="Z540" s="66" t="n">
        <x:f>W540/'공식·설정'!$B$8</x:f>
        <x:v>0.0101318359375</x:v>
      </x:c>
      <x:c r="AA540" s="66" t="n">
        <x:f>X540/'공식·설정'!$B$8</x:f>
        <x:v>0.0101318359375</x:v>
      </x:c>
      <x:c r="AB540" s="67" t="str">
        <x:f>IF(AND(I540=0,L540=0,Q540=0,T540=0,Y540=0),"PASS","FAIL")</x:f>
        <x:v>PASS</x:v>
      </x:c>
    </x:row>
    <x:row r="541" ht="18" customHeight="1">
      <x:c r="A541" s="14" t="n">
        <x:v>644</x:v>
      </x:c>
      <x:c r="B541" s="14" t="n">
        <x:v>536</x:v>
      </x:c>
      <x:c r="C541" s="14" t="n">
        <x:v>644</x:v>
      </x:c>
      <x:c r="D541" s="14" t="n">
        <x:v>93463</x:v>
      </x:c>
      <x:c r="E541" s="14" t="n">
        <x:v>658</x:v>
      </x:c>
      <x:c r="F541" s="14" t="n">
        <x:v>108724</x:v>
      </x:c>
      <x:c r="G541" s="14" t="n">
        <x:v>93463</x:v>
      </x:c>
      <x:c r="H541" s="14" t="n">
        <x:f>INT((F541-D541)*(A541-C541)/(E541-C541))+D541</x:f>
        <x:v>93463</x:v>
      </x:c>
      <x:c r="I541" s="68" t="n">
        <x:f>H541-G541</x:f>
        <x:v>0</x:v>
      </x:c>
      <x:c r="J541" s="14" t="n">
        <x:v>608470</x:v>
      </x:c>
      <x:c r="K541" s="14" t="n">
        <x:f>INT(H541*'공식·설정'!$B$10/'공식·설정'!$B$15)</x:f>
        <x:v>608470</x:v>
      </x:c>
      <x:c r="L541" s="68" t="n">
        <x:f>K541-J541</x:f>
        <x:v>0</x:v>
      </x:c>
      <x:c r="M541" s="65" t="n">
        <x:f>J541/'공식·설정'!$B$7</x:f>
        <x:v>2376.8359375</x:v>
      </x:c>
      <x:c r="N541" s="65" t="n">
        <x:f>K541/'공식·설정'!$B$7</x:f>
        <x:v>2376.8359375</x:v>
      </x:c>
      <x:c r="O541" s="14" t="n">
        <x:v>238</x:v>
      </x:c>
      <x:c r="P541" s="14" t="n">
        <x:f>MIN(32767,MAX(0,INT((K541+INT('공식·설정'!$B$12/2))/'공식·설정'!$B$12)))</x:f>
        <x:v>238</x:v>
      </x:c>
      <x:c r="Q541" s="68" t="n">
        <x:f>P541-O541</x:f>
        <x:v>0</x:v>
      </x:c>
      <x:c r="R541" s="14" t="n">
        <x:v>617728</x:v>
      </x:c>
      <x:c r="S541" s="14" t="n">
        <x:f>P541*'공식·설정'!$B$12+'공식·설정'!$B$14</x:f>
        <x:v>617728</x:v>
      </x:c>
      <x:c r="T541" s="68" t="n">
        <x:f>S541-R541</x:f>
        <x:v>0</x:v>
      </x:c>
      <x:c r="U541" s="65" t="n">
        <x:f>R541/'공식·설정'!$B$7</x:f>
        <x:v>2413</x:v>
      </x:c>
      <x:c r="V541" s="65" t="n">
        <x:f>S541/'공식·설정'!$B$7</x:f>
        <x:v>2413</x:v>
      </x:c>
      <x:c r="W541" s="14" t="n">
        <x:v>764</x:v>
      </x:c>
      <x:c r="X541" s="14" t="n">
        <x:f>INT(ABS(K542-K541)*'공식·설정'!$B$8/K541)</x:f>
        <x:v>764</x:v>
      </x:c>
      <x:c r="Y541" s="68" t="n">
        <x:f>X541-W541</x:f>
        <x:v>0</x:v>
      </x:c>
      <x:c r="Z541" s="66" t="n">
        <x:f>W541/'공식·설정'!$B$8</x:f>
        <x:v>0.01165771484375</x:v>
      </x:c>
      <x:c r="AA541" s="66" t="n">
        <x:f>X541/'공식·설정'!$B$8</x:f>
        <x:v>0.01165771484375</x:v>
      </x:c>
      <x:c r="AB541" s="67" t="str">
        <x:f>IF(AND(I541=0,L541=0,Q541=0,T541=0,Y541=0),"PASS","FAIL")</x:f>
        <x:v>PASS</x:v>
      </x:c>
    </x:row>
    <x:row r="542" ht="18" customHeight="1">
      <x:c r="A542" s="14" t="n">
        <x:v>645</x:v>
      </x:c>
      <x:c r="B542" s="14" t="n">
        <x:v>537</x:v>
      </x:c>
      <x:c r="C542" s="14" t="n">
        <x:v>644</x:v>
      </x:c>
      <x:c r="D542" s="14" t="n">
        <x:v>93463</x:v>
      </x:c>
      <x:c r="E542" s="14" t="n">
        <x:v>658</x:v>
      </x:c>
      <x:c r="F542" s="14" t="n">
        <x:v>108724</x:v>
      </x:c>
      <x:c r="G542" s="14" t="n">
        <x:v>94553</x:v>
      </x:c>
      <x:c r="H542" s="14" t="n">
        <x:f>INT((F542-D542)*(A542-C542)/(E542-C542))+D542</x:f>
        <x:v>94553</x:v>
      </x:c>
      <x:c r="I542" s="68" t="n">
        <x:f>H542-G542</x:f>
        <x:v>0</x:v>
      </x:c>
      <x:c r="J542" s="14" t="n">
        <x:v>615566</x:v>
      </x:c>
      <x:c r="K542" s="14" t="n">
        <x:f>INT(H542*'공식·설정'!$B$10/'공식·설정'!$B$15)</x:f>
        <x:v>615566</x:v>
      </x:c>
      <x:c r="L542" s="68" t="n">
        <x:f>K542-J542</x:f>
        <x:v>0</x:v>
      </x:c>
      <x:c r="M542" s="65" t="n">
        <x:f>J542/'공식·설정'!$B$7</x:f>
        <x:v>2404.5546875</x:v>
      </x:c>
      <x:c r="N542" s="65" t="n">
        <x:f>K542/'공식·설정'!$B$7</x:f>
        <x:v>2404.5546875</x:v>
      </x:c>
      <x:c r="O542" s="14" t="n">
        <x:v>240</x:v>
      </x:c>
      <x:c r="P542" s="14" t="n">
        <x:f>MIN(32767,MAX(0,INT((K542+INT('공식·설정'!$B$12/2))/'공식·설정'!$B$12)))</x:f>
        <x:v>240</x:v>
      </x:c>
      <x:c r="Q542" s="68" t="n">
        <x:f>P542-O542</x:f>
        <x:v>0</x:v>
      </x:c>
      <x:c r="R542" s="14" t="n">
        <x:v>622848</x:v>
      </x:c>
      <x:c r="S542" s="14" t="n">
        <x:f>P542*'공식·설정'!$B$12+'공식·설정'!$B$14</x:f>
        <x:v>622848</x:v>
      </x:c>
      <x:c r="T542" s="68" t="n">
        <x:f>S542-R542</x:f>
        <x:v>0</x:v>
      </x:c>
      <x:c r="U542" s="65" t="n">
        <x:f>R542/'공식·설정'!$B$7</x:f>
        <x:v>2433</x:v>
      </x:c>
      <x:c r="V542" s="65" t="n">
        <x:f>S542/'공식·설정'!$B$7</x:f>
        <x:v>2433</x:v>
      </x:c>
      <x:c r="W542" s="14" t="n">
        <x:v>755</x:v>
      </x:c>
      <x:c r="X542" s="14" t="n">
        <x:f>INT(ABS(K543-K542)*'공식·설정'!$B$8/K542)</x:f>
        <x:v>755</x:v>
      </x:c>
      <x:c r="Y542" s="68" t="n">
        <x:f>X542-W542</x:f>
        <x:v>0</x:v>
      </x:c>
      <x:c r="Z542" s="66" t="n">
        <x:f>W542/'공식·설정'!$B$8</x:f>
        <x:v>0.0115203857421875</x:v>
      </x:c>
      <x:c r="AA542" s="66" t="n">
        <x:f>X542/'공식·설정'!$B$8</x:f>
        <x:v>0.0115203857421875</x:v>
      </x:c>
      <x:c r="AB542" s="67" t="str">
        <x:f>IF(AND(I542=0,L542=0,Q542=0,T542=0,Y542=0),"PASS","FAIL")</x:f>
        <x:v>PASS</x:v>
      </x:c>
    </x:row>
    <x:row r="543" ht="18" customHeight="1">
      <x:c r="A543" s="14" t="n">
        <x:v>646</x:v>
      </x:c>
      <x:c r="B543" s="14" t="n">
        <x:v>538</x:v>
      </x:c>
      <x:c r="C543" s="14" t="n">
        <x:v>644</x:v>
      </x:c>
      <x:c r="D543" s="14" t="n">
        <x:v>93463</x:v>
      </x:c>
      <x:c r="E543" s="14" t="n">
        <x:v>658</x:v>
      </x:c>
      <x:c r="F543" s="14" t="n">
        <x:v>108724</x:v>
      </x:c>
      <x:c r="G543" s="14" t="n">
        <x:v>95643</x:v>
      </x:c>
      <x:c r="H543" s="14" t="n">
        <x:f>INT((F543-D543)*(A543-C543)/(E543-C543))+D543</x:f>
        <x:v>95643</x:v>
      </x:c>
      <x:c r="I543" s="68" t="n">
        <x:f>H543-G543</x:f>
        <x:v>0</x:v>
      </x:c>
      <x:c r="J543" s="14" t="n">
        <x:v>622662</x:v>
      </x:c>
      <x:c r="K543" s="14" t="n">
        <x:f>INT(H543*'공식·설정'!$B$10/'공식·설정'!$B$15)</x:f>
        <x:v>622662</x:v>
      </x:c>
      <x:c r="L543" s="68" t="n">
        <x:f>K543-J543</x:f>
        <x:v>0</x:v>
      </x:c>
      <x:c r="M543" s="65" t="n">
        <x:f>J543/'공식·설정'!$B$7</x:f>
        <x:v>2432.2734375</x:v>
      </x:c>
      <x:c r="N543" s="65" t="n">
        <x:f>K543/'공식·설정'!$B$7</x:f>
        <x:v>2432.2734375</x:v>
      </x:c>
      <x:c r="O543" s="14" t="n">
        <x:v>243</x:v>
      </x:c>
      <x:c r="P543" s="14" t="n">
        <x:f>MIN(32767,MAX(0,INT((K543+INT('공식·설정'!$B$12/2))/'공식·설정'!$B$12)))</x:f>
        <x:v>243</x:v>
      </x:c>
      <x:c r="Q543" s="68" t="n">
        <x:f>P543-O543</x:f>
        <x:v>0</x:v>
      </x:c>
      <x:c r="R543" s="14" t="n">
        <x:v>630528</x:v>
      </x:c>
      <x:c r="S543" s="14" t="n">
        <x:f>P543*'공식·설정'!$B$12+'공식·설정'!$B$14</x:f>
        <x:v>630528</x:v>
      </x:c>
      <x:c r="T543" s="68" t="n">
        <x:f>S543-R543</x:f>
        <x:v>0</x:v>
      </x:c>
      <x:c r="U543" s="65" t="n">
        <x:f>R543/'공식·설정'!$B$7</x:f>
        <x:v>2463</x:v>
      </x:c>
      <x:c r="V543" s="65" t="n">
        <x:f>S543/'공식·설정'!$B$7</x:f>
        <x:v>2463</x:v>
      </x:c>
      <x:c r="W543" s="14" t="n">
        <x:v>746</x:v>
      </x:c>
      <x:c r="X543" s="14" t="n">
        <x:f>INT(ABS(K544-K543)*'공식·설정'!$B$8/K543)</x:f>
        <x:v>746</x:v>
      </x:c>
      <x:c r="Y543" s="68" t="n">
        <x:f>X543-W543</x:f>
        <x:v>0</x:v>
      </x:c>
      <x:c r="Z543" s="66" t="n">
        <x:f>W543/'공식·설정'!$B$8</x:f>
        <x:v>0.011383056640625</x:v>
      </x:c>
      <x:c r="AA543" s="66" t="n">
        <x:f>X543/'공식·설정'!$B$8</x:f>
        <x:v>0.011383056640625</x:v>
      </x:c>
      <x:c r="AB543" s="67" t="str">
        <x:f>IF(AND(I543=0,L543=0,Q543=0,T543=0,Y543=0),"PASS","FAIL")</x:f>
        <x:v>PASS</x:v>
      </x:c>
    </x:row>
    <x:row r="544" ht="18" customHeight="1">
      <x:c r="A544" s="14" t="n">
        <x:v>647</x:v>
      </x:c>
      <x:c r="B544" s="14" t="n">
        <x:v>539</x:v>
      </x:c>
      <x:c r="C544" s="14" t="n">
        <x:v>644</x:v>
      </x:c>
      <x:c r="D544" s="14" t="n">
        <x:v>93463</x:v>
      </x:c>
      <x:c r="E544" s="14" t="n">
        <x:v>658</x:v>
      </x:c>
      <x:c r="F544" s="14" t="n">
        <x:v>108724</x:v>
      </x:c>
      <x:c r="G544" s="14" t="n">
        <x:v>96733</x:v>
      </x:c>
      <x:c r="H544" s="14" t="n">
        <x:f>INT((F544-D544)*(A544-C544)/(E544-C544))+D544</x:f>
        <x:v>96733</x:v>
      </x:c>
      <x:c r="I544" s="68" t="n">
        <x:f>H544-G544</x:f>
        <x:v>0</x:v>
      </x:c>
      <x:c r="J544" s="14" t="n">
        <x:v>629759</x:v>
      </x:c>
      <x:c r="K544" s="14" t="n">
        <x:f>INT(H544*'공식·설정'!$B$10/'공식·설정'!$B$15)</x:f>
        <x:v>629759</x:v>
      </x:c>
      <x:c r="L544" s="68" t="n">
        <x:f>K544-J544</x:f>
        <x:v>0</x:v>
      </x:c>
      <x:c r="M544" s="65" t="n">
        <x:f>J544/'공식·설정'!$B$7</x:f>
        <x:v>2459.99609375</x:v>
      </x:c>
      <x:c r="N544" s="65" t="n">
        <x:f>K544/'공식·설정'!$B$7</x:f>
        <x:v>2459.99609375</x:v>
      </x:c>
      <x:c r="O544" s="14" t="n">
        <x:v>246</x:v>
      </x:c>
      <x:c r="P544" s="14" t="n">
        <x:f>MIN(32767,MAX(0,INT((K544+INT('공식·설정'!$B$12/2))/'공식·설정'!$B$12)))</x:f>
        <x:v>246</x:v>
      </x:c>
      <x:c r="Q544" s="68" t="n">
        <x:f>P544-O544</x:f>
        <x:v>0</x:v>
      </x:c>
      <x:c r="R544" s="14" t="n">
        <x:v>638208</x:v>
      </x:c>
      <x:c r="S544" s="14" t="n">
        <x:f>P544*'공식·설정'!$B$12+'공식·설정'!$B$14</x:f>
        <x:v>638208</x:v>
      </x:c>
      <x:c r="T544" s="68" t="n">
        <x:f>S544-R544</x:f>
        <x:v>0</x:v>
      </x:c>
      <x:c r="U544" s="65" t="n">
        <x:f>R544/'공식·설정'!$B$7</x:f>
        <x:v>2493</x:v>
      </x:c>
      <x:c r="V544" s="65" t="n">
        <x:f>S544/'공식·설정'!$B$7</x:f>
        <x:v>2493</x:v>
      </x:c>
      <x:c r="W544" s="14" t="n">
        <x:v>738</x:v>
      </x:c>
      <x:c r="X544" s="14" t="n">
        <x:f>INT(ABS(K545-K544)*'공식·설정'!$B$8/K544)</x:f>
        <x:v>738</x:v>
      </x:c>
      <x:c r="Y544" s="68" t="n">
        <x:f>X544-W544</x:f>
        <x:v>0</x:v>
      </x:c>
      <x:c r="Z544" s="66" t="n">
        <x:f>W544/'공식·설정'!$B$8</x:f>
        <x:v>0.011260986328125</x:v>
      </x:c>
      <x:c r="AA544" s="66" t="n">
        <x:f>X544/'공식·설정'!$B$8</x:f>
        <x:v>0.011260986328125</x:v>
      </x:c>
      <x:c r="AB544" s="67" t="str">
        <x:f>IF(AND(I544=0,L544=0,Q544=0,T544=0,Y544=0),"PASS","FAIL")</x:f>
        <x:v>PASS</x:v>
      </x:c>
    </x:row>
    <x:row r="545" ht="18" customHeight="1">
      <x:c r="A545" s="14" t="n">
        <x:v>648</x:v>
      </x:c>
      <x:c r="B545" s="14" t="n">
        <x:v>540</x:v>
      </x:c>
      <x:c r="C545" s="14" t="n">
        <x:v>644</x:v>
      </x:c>
      <x:c r="D545" s="14" t="n">
        <x:v>93463</x:v>
      </x:c>
      <x:c r="E545" s="14" t="n">
        <x:v>658</x:v>
      </x:c>
      <x:c r="F545" s="14" t="n">
        <x:v>108724</x:v>
      </x:c>
      <x:c r="G545" s="14" t="n">
        <x:v>97823</x:v>
      </x:c>
      <x:c r="H545" s="14" t="n">
        <x:f>INT((F545-D545)*(A545-C545)/(E545-C545))+D545</x:f>
        <x:v>97823</x:v>
      </x:c>
      <x:c r="I545" s="68" t="n">
        <x:f>H545-G545</x:f>
        <x:v>0</x:v>
      </x:c>
      <x:c r="J545" s="14" t="n">
        <x:v>636855</x:v>
      </x:c>
      <x:c r="K545" s="14" t="n">
        <x:f>INT(H545*'공식·설정'!$B$10/'공식·설정'!$B$15)</x:f>
        <x:v>636855</x:v>
      </x:c>
      <x:c r="L545" s="68" t="n">
        <x:f>K545-J545</x:f>
        <x:v>0</x:v>
      </x:c>
      <x:c r="M545" s="65" t="n">
        <x:f>J545/'공식·설정'!$B$7</x:f>
        <x:v>2487.71484375</x:v>
      </x:c>
      <x:c r="N545" s="65" t="n">
        <x:f>K545/'공식·설정'!$B$7</x:f>
        <x:v>2487.71484375</x:v>
      </x:c>
      <x:c r="O545" s="14" t="n">
        <x:v>249</x:v>
      </x:c>
      <x:c r="P545" s="14" t="n">
        <x:f>MIN(32767,MAX(0,INT((K545+INT('공식·설정'!$B$12/2))/'공식·설정'!$B$12)))</x:f>
        <x:v>249</x:v>
      </x:c>
      <x:c r="Q545" s="68" t="n">
        <x:f>P545-O545</x:f>
        <x:v>0</x:v>
      </x:c>
      <x:c r="R545" s="14" t="n">
        <x:v>645888</x:v>
      </x:c>
      <x:c r="S545" s="14" t="n">
        <x:f>P545*'공식·설정'!$B$12+'공식·설정'!$B$14</x:f>
        <x:v>645888</x:v>
      </x:c>
      <x:c r="T545" s="68" t="n">
        <x:f>S545-R545</x:f>
        <x:v>0</x:v>
      </x:c>
      <x:c r="U545" s="65" t="n">
        <x:f>R545/'공식·설정'!$B$7</x:f>
        <x:v>2523</x:v>
      </x:c>
      <x:c r="V545" s="65" t="n">
        <x:f>S545/'공식·설정'!$B$7</x:f>
        <x:v>2523</x:v>
      </x:c>
      <x:c r="W545" s="14" t="n">
        <x:v>730</x:v>
      </x:c>
      <x:c r="X545" s="14" t="n">
        <x:f>INT(ABS(K546-K545)*'공식·설정'!$B$8/K545)</x:f>
        <x:v>730</x:v>
      </x:c>
      <x:c r="Y545" s="68" t="n">
        <x:f>X545-W545</x:f>
        <x:v>0</x:v>
      </x:c>
      <x:c r="Z545" s="66" t="n">
        <x:f>W545/'공식·설정'!$B$8</x:f>
        <x:v>0.011138916015625</x:v>
      </x:c>
      <x:c r="AA545" s="66" t="n">
        <x:f>X545/'공식·설정'!$B$8</x:f>
        <x:v>0.011138916015625</x:v>
      </x:c>
      <x:c r="AB545" s="67" t="str">
        <x:f>IF(AND(I545=0,L545=0,Q545=0,T545=0,Y545=0),"PASS","FAIL")</x:f>
        <x:v>PASS</x:v>
      </x:c>
    </x:row>
    <x:row r="546" ht="18" customHeight="1">
      <x:c r="A546" s="14" t="n">
        <x:v>649</x:v>
      </x:c>
      <x:c r="B546" s="14" t="n">
        <x:v>541</x:v>
      </x:c>
      <x:c r="C546" s="14" t="n">
        <x:v>644</x:v>
      </x:c>
      <x:c r="D546" s="14" t="n">
        <x:v>93463</x:v>
      </x:c>
      <x:c r="E546" s="14" t="n">
        <x:v>658</x:v>
      </x:c>
      <x:c r="F546" s="14" t="n">
        <x:v>108724</x:v>
      </x:c>
      <x:c r="G546" s="14" t="n">
        <x:v>98913</x:v>
      </x:c>
      <x:c r="H546" s="14" t="n">
        <x:f>INT((F546-D546)*(A546-C546)/(E546-C546))+D546</x:f>
        <x:v>98913</x:v>
      </x:c>
      <x:c r="I546" s="68" t="n">
        <x:f>H546-G546</x:f>
        <x:v>0</x:v>
      </x:c>
      <x:c r="J546" s="14" t="n">
        <x:v>643951</x:v>
      </x:c>
      <x:c r="K546" s="14" t="n">
        <x:f>INT(H546*'공식·설정'!$B$10/'공식·설정'!$B$15)</x:f>
        <x:v>643951</x:v>
      </x:c>
      <x:c r="L546" s="68" t="n">
        <x:f>K546-J546</x:f>
        <x:v>0</x:v>
      </x:c>
      <x:c r="M546" s="65" t="n">
        <x:f>J546/'공식·설정'!$B$7</x:f>
        <x:v>2515.43359375</x:v>
      </x:c>
      <x:c r="N546" s="65" t="n">
        <x:f>K546/'공식·설정'!$B$7</x:f>
        <x:v>2515.43359375</x:v>
      </x:c>
      <x:c r="O546" s="14" t="n">
        <x:v>252</x:v>
      </x:c>
      <x:c r="P546" s="14" t="n">
        <x:f>MIN(32767,MAX(0,INT((K546+INT('공식·설정'!$B$12/2))/'공식·설정'!$B$12)))</x:f>
        <x:v>252</x:v>
      </x:c>
      <x:c r="Q546" s="68" t="n">
        <x:f>P546-O546</x:f>
        <x:v>0</x:v>
      </x:c>
      <x:c r="R546" s="14" t="n">
        <x:v>653568</x:v>
      </x:c>
      <x:c r="S546" s="14" t="n">
        <x:f>P546*'공식·설정'!$B$12+'공식·설정'!$B$14</x:f>
        <x:v>653568</x:v>
      </x:c>
      <x:c r="T546" s="68" t="n">
        <x:f>S546-R546</x:f>
        <x:v>0</x:v>
      </x:c>
      <x:c r="U546" s="65" t="n">
        <x:f>R546/'공식·설정'!$B$7</x:f>
        <x:v>2553</x:v>
      </x:c>
      <x:c r="V546" s="65" t="n">
        <x:f>S546/'공식·설정'!$B$7</x:f>
        <x:v>2553</x:v>
      </x:c>
      <x:c r="W546" s="14" t="n">
        <x:v>722</x:v>
      </x:c>
      <x:c r="X546" s="14" t="n">
        <x:f>INT(ABS(K547-K546)*'공식·설정'!$B$8/K546)</x:f>
        <x:v>722</x:v>
      </x:c>
      <x:c r="Y546" s="68" t="n">
        <x:f>X546-W546</x:f>
        <x:v>0</x:v>
      </x:c>
      <x:c r="Z546" s="66" t="n">
        <x:f>W546/'공식·설정'!$B$8</x:f>
        <x:v>0.011016845703125</x:v>
      </x:c>
      <x:c r="AA546" s="66" t="n">
        <x:f>X546/'공식·설정'!$B$8</x:f>
        <x:v>0.011016845703125</x:v>
      </x:c>
      <x:c r="AB546" s="67" t="str">
        <x:f>IF(AND(I546=0,L546=0,Q546=0,T546=0,Y546=0),"PASS","FAIL")</x:f>
        <x:v>PASS</x:v>
      </x:c>
    </x:row>
    <x:row r="547" ht="18" customHeight="1">
      <x:c r="A547" s="14" t="n">
        <x:v>650</x:v>
      </x:c>
      <x:c r="B547" s="14" t="n">
        <x:v>542</x:v>
      </x:c>
      <x:c r="C547" s="14" t="n">
        <x:v>644</x:v>
      </x:c>
      <x:c r="D547" s="14" t="n">
        <x:v>93463</x:v>
      </x:c>
      <x:c r="E547" s="14" t="n">
        <x:v>658</x:v>
      </x:c>
      <x:c r="F547" s="14" t="n">
        <x:v>108724</x:v>
      </x:c>
      <x:c r="G547" s="14" t="n">
        <x:v>100003</x:v>
      </x:c>
      <x:c r="H547" s="14" t="n">
        <x:f>INT((F547-D547)*(A547-C547)/(E547-C547))+D547</x:f>
        <x:v>100003</x:v>
      </x:c>
      <x:c r="I547" s="68" t="n">
        <x:f>H547-G547</x:f>
        <x:v>0</x:v>
      </x:c>
      <x:c r="J547" s="14" t="n">
        <x:v>651047</x:v>
      </x:c>
      <x:c r="K547" s="14" t="n">
        <x:f>INT(H547*'공식·설정'!$B$10/'공식·설정'!$B$15)</x:f>
        <x:v>651047</x:v>
      </x:c>
      <x:c r="L547" s="68" t="n">
        <x:f>K547-J547</x:f>
        <x:v>0</x:v>
      </x:c>
      <x:c r="M547" s="65" t="n">
        <x:f>J547/'공식·설정'!$B$7</x:f>
        <x:v>2543.15234375</x:v>
      </x:c>
      <x:c r="N547" s="65" t="n">
        <x:f>K547/'공식·설정'!$B$7</x:f>
        <x:v>2543.15234375</x:v>
      </x:c>
      <x:c r="O547" s="14" t="n">
        <x:v>254</x:v>
      </x:c>
      <x:c r="P547" s="14" t="n">
        <x:f>MIN(32767,MAX(0,INT((K547+INT('공식·설정'!$B$12/2))/'공식·설정'!$B$12)))</x:f>
        <x:v>254</x:v>
      </x:c>
      <x:c r="Q547" s="68" t="n">
        <x:f>P547-O547</x:f>
        <x:v>0</x:v>
      </x:c>
      <x:c r="R547" s="14" t="n">
        <x:v>658688</x:v>
      </x:c>
      <x:c r="S547" s="14" t="n">
        <x:f>P547*'공식·설정'!$B$12+'공식·설정'!$B$14</x:f>
        <x:v>658688</x:v>
      </x:c>
      <x:c r="T547" s="68" t="n">
        <x:f>S547-R547</x:f>
        <x:v>0</x:v>
      </x:c>
      <x:c r="U547" s="65" t="n">
        <x:f>R547/'공식·설정'!$B$7</x:f>
        <x:v>2573</x:v>
      </x:c>
      <x:c r="V547" s="65" t="n">
        <x:f>S547/'공식·설정'!$B$7</x:f>
        <x:v>2573</x:v>
      </x:c>
      <x:c r="W547" s="14" t="n">
        <x:v>714</x:v>
      </x:c>
      <x:c r="X547" s="14" t="n">
        <x:f>INT(ABS(K548-K547)*'공식·설정'!$B$8/K547)</x:f>
        <x:v>714</x:v>
      </x:c>
      <x:c r="Y547" s="68" t="n">
        <x:f>X547-W547</x:f>
        <x:v>0</x:v>
      </x:c>
      <x:c r="Z547" s="66" t="n">
        <x:f>W547/'공식·설정'!$B$8</x:f>
        <x:v>0.010894775390625</x:v>
      </x:c>
      <x:c r="AA547" s="66" t="n">
        <x:f>X547/'공식·설정'!$B$8</x:f>
        <x:v>0.010894775390625</x:v>
      </x:c>
      <x:c r="AB547" s="67" t="str">
        <x:f>IF(AND(I547=0,L547=0,Q547=0,T547=0,Y547=0),"PASS","FAIL")</x:f>
        <x:v>PASS</x:v>
      </x:c>
    </x:row>
    <x:row r="548" ht="18" customHeight="1">
      <x:c r="A548" s="14" t="n">
        <x:v>651</x:v>
      </x:c>
      <x:c r="B548" s="14" t="n">
        <x:v>543</x:v>
      </x:c>
      <x:c r="C548" s="14" t="n">
        <x:v>644</x:v>
      </x:c>
      <x:c r="D548" s="14" t="n">
        <x:v>93463</x:v>
      </x:c>
      <x:c r="E548" s="14" t="n">
        <x:v>658</x:v>
      </x:c>
      <x:c r="F548" s="14" t="n">
        <x:v>108724</x:v>
      </x:c>
      <x:c r="G548" s="14" t="n">
        <x:v>101093</x:v>
      </x:c>
      <x:c r="H548" s="14" t="n">
        <x:f>INT((F548-D548)*(A548-C548)/(E548-C548))+D548</x:f>
        <x:v>101093</x:v>
      </x:c>
      <x:c r="I548" s="68" t="n">
        <x:f>H548-G548</x:f>
        <x:v>0</x:v>
      </x:c>
      <x:c r="J548" s="14" t="n">
        <x:v>658143</x:v>
      </x:c>
      <x:c r="K548" s="14" t="n">
        <x:f>INT(H548*'공식·설정'!$B$10/'공식·설정'!$B$15)</x:f>
        <x:v>658143</x:v>
      </x:c>
      <x:c r="L548" s="68" t="n">
        <x:f>K548-J548</x:f>
        <x:v>0</x:v>
      </x:c>
      <x:c r="M548" s="65" t="n">
        <x:f>J548/'공식·설정'!$B$7</x:f>
        <x:v>2570.87109375</x:v>
      </x:c>
      <x:c r="N548" s="65" t="n">
        <x:f>K548/'공식·설정'!$B$7</x:f>
        <x:v>2570.87109375</x:v>
      </x:c>
      <x:c r="O548" s="14" t="n">
        <x:v>257</x:v>
      </x:c>
      <x:c r="P548" s="14" t="n">
        <x:f>MIN(32767,MAX(0,INT((K548+INT('공식·설정'!$B$12/2))/'공식·설정'!$B$12)))</x:f>
        <x:v>257</x:v>
      </x:c>
      <x:c r="Q548" s="68" t="n">
        <x:f>P548-O548</x:f>
        <x:v>0</x:v>
      </x:c>
      <x:c r="R548" s="14" t="n">
        <x:v>666368</x:v>
      </x:c>
      <x:c r="S548" s="14" t="n">
        <x:f>P548*'공식·설정'!$B$12+'공식·설정'!$B$14</x:f>
        <x:v>666368</x:v>
      </x:c>
      <x:c r="T548" s="68" t="n">
        <x:f>S548-R548</x:f>
        <x:v>0</x:v>
      </x:c>
      <x:c r="U548" s="65" t="n">
        <x:f>R548/'공식·설정'!$B$7</x:f>
        <x:v>2603</x:v>
      </x:c>
      <x:c r="V548" s="65" t="n">
        <x:f>S548/'공식·설정'!$B$7</x:f>
        <x:v>2603</x:v>
      </x:c>
      <x:c r="W548" s="14" t="n">
        <x:v>706</x:v>
      </x:c>
      <x:c r="X548" s="14" t="n">
        <x:f>INT(ABS(K549-K548)*'공식·설정'!$B$8/K548)</x:f>
        <x:v>706</x:v>
      </x:c>
      <x:c r="Y548" s="68" t="n">
        <x:f>X548-W548</x:f>
        <x:v>0</x:v>
      </x:c>
      <x:c r="Z548" s="66" t="n">
        <x:f>W548/'공식·설정'!$B$8</x:f>
        <x:v>0.010772705078125</x:v>
      </x:c>
      <x:c r="AA548" s="66" t="n">
        <x:f>X548/'공식·설정'!$B$8</x:f>
        <x:v>0.010772705078125</x:v>
      </x:c>
      <x:c r="AB548" s="67" t="str">
        <x:f>IF(AND(I548=0,L548=0,Q548=0,T548=0,Y548=0),"PASS","FAIL")</x:f>
        <x:v>PASS</x:v>
      </x:c>
    </x:row>
    <x:row r="549" ht="18" customHeight="1">
      <x:c r="A549" s="14" t="n">
        <x:v>652</x:v>
      </x:c>
      <x:c r="B549" s="14" t="n">
        <x:v>544</x:v>
      </x:c>
      <x:c r="C549" s="14" t="n">
        <x:v>644</x:v>
      </x:c>
      <x:c r="D549" s="14" t="n">
        <x:v>93463</x:v>
      </x:c>
      <x:c r="E549" s="14" t="n">
        <x:v>658</x:v>
      </x:c>
      <x:c r="F549" s="14" t="n">
        <x:v>108724</x:v>
      </x:c>
      <x:c r="G549" s="14" t="n">
        <x:v>102183</x:v>
      </x:c>
      <x:c r="H549" s="14" t="n">
        <x:f>INT((F549-D549)*(A549-C549)/(E549-C549))+D549</x:f>
        <x:v>102183</x:v>
      </x:c>
      <x:c r="I549" s="68" t="n">
        <x:f>H549-G549</x:f>
        <x:v>0</x:v>
      </x:c>
      <x:c r="J549" s="14" t="n">
        <x:v>665240</x:v>
      </x:c>
      <x:c r="K549" s="14" t="n">
        <x:f>INT(H549*'공식·설정'!$B$10/'공식·설정'!$B$15)</x:f>
        <x:v>665240</x:v>
      </x:c>
      <x:c r="L549" s="68" t="n">
        <x:f>K549-J549</x:f>
        <x:v>0</x:v>
      </x:c>
      <x:c r="M549" s="65" t="n">
        <x:f>J549/'공식·설정'!$B$7</x:f>
        <x:v>2598.59375</x:v>
      </x:c>
      <x:c r="N549" s="65" t="n">
        <x:f>K549/'공식·설정'!$B$7</x:f>
        <x:v>2598.59375</x:v>
      </x:c>
      <x:c r="O549" s="14" t="n">
        <x:v>260</x:v>
      </x:c>
      <x:c r="P549" s="14" t="n">
        <x:f>MIN(32767,MAX(0,INT((K549+INT('공식·설정'!$B$12/2))/'공식·설정'!$B$12)))</x:f>
        <x:v>260</x:v>
      </x:c>
      <x:c r="Q549" s="68" t="n">
        <x:f>P549-O549</x:f>
        <x:v>0</x:v>
      </x:c>
      <x:c r="R549" s="14" t="n">
        <x:v>674048</x:v>
      </x:c>
      <x:c r="S549" s="14" t="n">
        <x:f>P549*'공식·설정'!$B$12+'공식·설정'!$B$14</x:f>
        <x:v>674048</x:v>
      </x:c>
      <x:c r="T549" s="68" t="n">
        <x:f>S549-R549</x:f>
        <x:v>0</x:v>
      </x:c>
      <x:c r="U549" s="65" t="n">
        <x:f>R549/'공식·설정'!$B$7</x:f>
        <x:v>2633</x:v>
      </x:c>
      <x:c r="V549" s="65" t="n">
        <x:f>S549/'공식·설정'!$B$7</x:f>
        <x:v>2633</x:v>
      </x:c>
      <x:c r="W549" s="14" t="n">
        <x:v>699</x:v>
      </x:c>
      <x:c r="X549" s="14" t="n">
        <x:f>INT(ABS(K550-K549)*'공식·설정'!$B$8/K549)</x:f>
        <x:v>699</x:v>
      </x:c>
      <x:c r="Y549" s="68" t="n">
        <x:f>X549-W549</x:f>
        <x:v>0</x:v>
      </x:c>
      <x:c r="Z549" s="66" t="n">
        <x:f>W549/'공식·설정'!$B$8</x:f>
        <x:v>0.0106658935546875</x:v>
      </x:c>
      <x:c r="AA549" s="66" t="n">
        <x:f>X549/'공식·설정'!$B$8</x:f>
        <x:v>0.0106658935546875</x:v>
      </x:c>
      <x:c r="AB549" s="67" t="str">
        <x:f>IF(AND(I549=0,L549=0,Q549=0,T549=0,Y549=0),"PASS","FAIL")</x:f>
        <x:v>PASS</x:v>
      </x:c>
    </x:row>
    <x:row r="550" ht="18" customHeight="1">
      <x:c r="A550" s="14" t="n">
        <x:v>653</x:v>
      </x:c>
      <x:c r="B550" s="14" t="n">
        <x:v>545</x:v>
      </x:c>
      <x:c r="C550" s="14" t="n">
        <x:v>644</x:v>
      </x:c>
      <x:c r="D550" s="14" t="n">
        <x:v>93463</x:v>
      </x:c>
      <x:c r="E550" s="14" t="n">
        <x:v>658</x:v>
      </x:c>
      <x:c r="F550" s="14" t="n">
        <x:v>108724</x:v>
      </x:c>
      <x:c r="G550" s="14" t="n">
        <x:v>103273</x:v>
      </x:c>
      <x:c r="H550" s="14" t="n">
        <x:f>INT((F550-D550)*(A550-C550)/(E550-C550))+D550</x:f>
        <x:v>103273</x:v>
      </x:c>
      <x:c r="I550" s="68" t="n">
        <x:f>H550-G550</x:f>
        <x:v>0</x:v>
      </x:c>
      <x:c r="J550" s="14" t="n">
        <x:v>672336</x:v>
      </x:c>
      <x:c r="K550" s="14" t="n">
        <x:f>INT(H550*'공식·설정'!$B$10/'공식·설정'!$B$15)</x:f>
        <x:v>672336</x:v>
      </x:c>
      <x:c r="L550" s="68" t="n">
        <x:f>K550-J550</x:f>
        <x:v>0</x:v>
      </x:c>
      <x:c r="M550" s="65" t="n">
        <x:f>J550/'공식·설정'!$B$7</x:f>
        <x:v>2626.3125</x:v>
      </x:c>
      <x:c r="N550" s="65" t="n">
        <x:f>K550/'공식·설정'!$B$7</x:f>
        <x:v>2626.3125</x:v>
      </x:c>
      <x:c r="O550" s="14" t="n">
        <x:v>263</x:v>
      </x:c>
      <x:c r="P550" s="14" t="n">
        <x:f>MIN(32767,MAX(0,INT((K550+INT('공식·설정'!$B$12/2))/'공식·설정'!$B$12)))</x:f>
        <x:v>263</x:v>
      </x:c>
      <x:c r="Q550" s="68" t="n">
        <x:f>P550-O550</x:f>
        <x:v>0</x:v>
      </x:c>
      <x:c r="R550" s="14" t="n">
        <x:v>681728</x:v>
      </x:c>
      <x:c r="S550" s="14" t="n">
        <x:f>P550*'공식·설정'!$B$12+'공식·설정'!$B$14</x:f>
        <x:v>681728</x:v>
      </x:c>
      <x:c r="T550" s="68" t="n">
        <x:f>S550-R550</x:f>
        <x:v>0</x:v>
      </x:c>
      <x:c r="U550" s="65" t="n">
        <x:f>R550/'공식·설정'!$B$7</x:f>
        <x:v>2663</x:v>
      </x:c>
      <x:c r="V550" s="65" t="n">
        <x:f>S550/'공식·설정'!$B$7</x:f>
        <x:v>2663</x:v>
      </x:c>
      <x:c r="W550" s="14" t="n">
        <x:v>691</x:v>
      </x:c>
      <x:c r="X550" s="14" t="n">
        <x:f>INT(ABS(K551-K550)*'공식·설정'!$B$8/K550)</x:f>
        <x:v>691</x:v>
      </x:c>
      <x:c r="Y550" s="68" t="n">
        <x:f>X550-W550</x:f>
        <x:v>0</x:v>
      </x:c>
      <x:c r="Z550" s="66" t="n">
        <x:f>W550/'공식·설정'!$B$8</x:f>
        <x:v>0.0105438232421875</x:v>
      </x:c>
      <x:c r="AA550" s="66" t="n">
        <x:f>X550/'공식·설정'!$B$8</x:f>
        <x:v>0.0105438232421875</x:v>
      </x:c>
      <x:c r="AB550" s="67" t="str">
        <x:f>IF(AND(I550=0,L550=0,Q550=0,T550=0,Y550=0),"PASS","FAIL")</x:f>
        <x:v>PASS</x:v>
      </x:c>
    </x:row>
    <x:row r="551" ht="18" customHeight="1">
      <x:c r="A551" s="14" t="n">
        <x:v>654</x:v>
      </x:c>
      <x:c r="B551" s="14" t="n">
        <x:v>546</x:v>
      </x:c>
      <x:c r="C551" s="14" t="n">
        <x:v>644</x:v>
      </x:c>
      <x:c r="D551" s="14" t="n">
        <x:v>93463</x:v>
      </x:c>
      <x:c r="E551" s="14" t="n">
        <x:v>658</x:v>
      </x:c>
      <x:c r="F551" s="14" t="n">
        <x:v>108724</x:v>
      </x:c>
      <x:c r="G551" s="14" t="n">
        <x:v>104363</x:v>
      </x:c>
      <x:c r="H551" s="14" t="n">
        <x:f>INT((F551-D551)*(A551-C551)/(E551-C551))+D551</x:f>
        <x:v>104363</x:v>
      </x:c>
      <x:c r="I551" s="68" t="n">
        <x:f>H551-G551</x:f>
        <x:v>0</x:v>
      </x:c>
      <x:c r="J551" s="14" t="n">
        <x:v>679432</x:v>
      </x:c>
      <x:c r="K551" s="14" t="n">
        <x:f>INT(H551*'공식·설정'!$B$10/'공식·설정'!$B$15)</x:f>
        <x:v>679432</x:v>
      </x:c>
      <x:c r="L551" s="68" t="n">
        <x:f>K551-J551</x:f>
        <x:v>0</x:v>
      </x:c>
      <x:c r="M551" s="65" t="n">
        <x:f>J551/'공식·설정'!$B$7</x:f>
        <x:v>2654.03125</x:v>
      </x:c>
      <x:c r="N551" s="65" t="n">
        <x:f>K551/'공식·설정'!$B$7</x:f>
        <x:v>2654.03125</x:v>
      </x:c>
      <x:c r="O551" s="14" t="n">
        <x:v>265</x:v>
      </x:c>
      <x:c r="P551" s="14" t="n">
        <x:f>MIN(32767,MAX(0,INT((K551+INT('공식·설정'!$B$12/2))/'공식·설정'!$B$12)))</x:f>
        <x:v>265</x:v>
      </x:c>
      <x:c r="Q551" s="68" t="n">
        <x:f>P551-O551</x:f>
        <x:v>0</x:v>
      </x:c>
      <x:c r="R551" s="14" t="n">
        <x:v>686848</x:v>
      </x:c>
      <x:c r="S551" s="14" t="n">
        <x:f>P551*'공식·설정'!$B$12+'공식·설정'!$B$14</x:f>
        <x:v>686848</x:v>
      </x:c>
      <x:c r="T551" s="68" t="n">
        <x:f>S551-R551</x:f>
        <x:v>0</x:v>
      </x:c>
      <x:c r="U551" s="65" t="n">
        <x:f>R551/'공식·설정'!$B$7</x:f>
        <x:v>2683</x:v>
      </x:c>
      <x:c r="V551" s="65" t="n">
        <x:f>S551/'공식·설정'!$B$7</x:f>
        <x:v>2683</x:v>
      </x:c>
      <x:c r="W551" s="14" t="n">
        <x:v>684</x:v>
      </x:c>
      <x:c r="X551" s="14" t="n">
        <x:f>INT(ABS(K552-K551)*'공식·설정'!$B$8/K551)</x:f>
        <x:v>684</x:v>
      </x:c>
      <x:c r="Y551" s="68" t="n">
        <x:f>X551-W551</x:f>
        <x:v>0</x:v>
      </x:c>
      <x:c r="Z551" s="66" t="n">
        <x:f>W551/'공식·설정'!$B$8</x:f>
        <x:v>0.01043701171875</x:v>
      </x:c>
      <x:c r="AA551" s="66" t="n">
        <x:f>X551/'공식·설정'!$B$8</x:f>
        <x:v>0.01043701171875</x:v>
      </x:c>
      <x:c r="AB551" s="67" t="str">
        <x:f>IF(AND(I551=0,L551=0,Q551=0,T551=0,Y551=0),"PASS","FAIL")</x:f>
        <x:v>PASS</x:v>
      </x:c>
    </x:row>
    <x:row r="552" ht="18" customHeight="1">
      <x:c r="A552" s="14" t="n">
        <x:v>655</x:v>
      </x:c>
      <x:c r="B552" s="14" t="n">
        <x:v>547</x:v>
      </x:c>
      <x:c r="C552" s="14" t="n">
        <x:v>644</x:v>
      </x:c>
      <x:c r="D552" s="14" t="n">
        <x:v>93463</x:v>
      </x:c>
      <x:c r="E552" s="14" t="n">
        <x:v>658</x:v>
      </x:c>
      <x:c r="F552" s="14" t="n">
        <x:v>108724</x:v>
      </x:c>
      <x:c r="G552" s="14" t="n">
        <x:v>105453</x:v>
      </x:c>
      <x:c r="H552" s="14" t="n">
        <x:f>INT((F552-D552)*(A552-C552)/(E552-C552))+D552</x:f>
        <x:v>105453</x:v>
      </x:c>
      <x:c r="I552" s="68" t="n">
        <x:f>H552-G552</x:f>
        <x:v>0</x:v>
      </x:c>
      <x:c r="J552" s="14" t="n">
        <x:v>686528</x:v>
      </x:c>
      <x:c r="K552" s="14" t="n">
        <x:f>INT(H552*'공식·설정'!$B$10/'공식·설정'!$B$15)</x:f>
        <x:v>686528</x:v>
      </x:c>
      <x:c r="L552" s="68" t="n">
        <x:f>K552-J552</x:f>
        <x:v>0</x:v>
      </x:c>
      <x:c r="M552" s="65" t="n">
        <x:f>J552/'공식·설정'!$B$7</x:f>
        <x:v>2681.75</x:v>
      </x:c>
      <x:c r="N552" s="65" t="n">
        <x:f>K552/'공식·설정'!$B$7</x:f>
        <x:v>2681.75</x:v>
      </x:c>
      <x:c r="O552" s="14" t="n">
        <x:v>268</x:v>
      </x:c>
      <x:c r="P552" s="14" t="n">
        <x:f>MIN(32767,MAX(0,INT((K552+INT('공식·설정'!$B$12/2))/'공식·설정'!$B$12)))</x:f>
        <x:v>268</x:v>
      </x:c>
      <x:c r="Q552" s="68" t="n">
        <x:f>P552-O552</x:f>
        <x:v>0</x:v>
      </x:c>
      <x:c r="R552" s="14" t="n">
        <x:v>694528</x:v>
      </x:c>
      <x:c r="S552" s="14" t="n">
        <x:f>P552*'공식·설정'!$B$12+'공식·설정'!$B$14</x:f>
        <x:v>694528</x:v>
      </x:c>
      <x:c r="T552" s="68" t="n">
        <x:f>S552-R552</x:f>
        <x:v>0</x:v>
      </x:c>
      <x:c r="U552" s="65" t="n">
        <x:f>R552/'공식·설정'!$B$7</x:f>
        <x:v>2713</x:v>
      </x:c>
      <x:c r="V552" s="65" t="n">
        <x:f>S552/'공식·설정'!$B$7</x:f>
        <x:v>2713</x:v>
      </x:c>
      <x:c r="W552" s="14" t="n">
        <x:v>677</x:v>
      </x:c>
      <x:c r="X552" s="14" t="n">
        <x:f>INT(ABS(K553-K552)*'공식·설정'!$B$8/K552)</x:f>
        <x:v>677</x:v>
      </x:c>
      <x:c r="Y552" s="68" t="n">
        <x:f>X552-W552</x:f>
        <x:v>0</x:v>
      </x:c>
      <x:c r="Z552" s="66" t="n">
        <x:f>W552/'공식·설정'!$B$8</x:f>
        <x:v>0.0103302001953125</x:v>
      </x:c>
      <x:c r="AA552" s="66" t="n">
        <x:f>X552/'공식·설정'!$B$8</x:f>
        <x:v>0.0103302001953125</x:v>
      </x:c>
      <x:c r="AB552" s="67" t="str">
        <x:f>IF(AND(I552=0,L552=0,Q552=0,T552=0,Y552=0),"PASS","FAIL")</x:f>
        <x:v>PASS</x:v>
      </x:c>
    </x:row>
    <x:row r="553" ht="18" customHeight="1">
      <x:c r="A553" s="14" t="n">
        <x:v>656</x:v>
      </x:c>
      <x:c r="B553" s="14" t="n">
        <x:v>548</x:v>
      </x:c>
      <x:c r="C553" s="14" t="n">
        <x:v>644</x:v>
      </x:c>
      <x:c r="D553" s="14" t="n">
        <x:v>93463</x:v>
      </x:c>
      <x:c r="E553" s="14" t="n">
        <x:v>658</x:v>
      </x:c>
      <x:c r="F553" s="14" t="n">
        <x:v>108724</x:v>
      </x:c>
      <x:c r="G553" s="14" t="n">
        <x:v>106543</x:v>
      </x:c>
      <x:c r="H553" s="14" t="n">
        <x:f>INT((F553-D553)*(A553-C553)/(E553-C553))+D553</x:f>
        <x:v>106543</x:v>
      </x:c>
      <x:c r="I553" s="68" t="n">
        <x:f>H553-G553</x:f>
        <x:v>0</x:v>
      </x:c>
      <x:c r="J553" s="14" t="n">
        <x:v>693624</x:v>
      </x:c>
      <x:c r="K553" s="14" t="n">
        <x:f>INT(H553*'공식·설정'!$B$10/'공식·설정'!$B$15)</x:f>
        <x:v>693624</x:v>
      </x:c>
      <x:c r="L553" s="68" t="n">
        <x:f>K553-J553</x:f>
        <x:v>0</x:v>
      </x:c>
      <x:c r="M553" s="65" t="n">
        <x:f>J553/'공식·설정'!$B$7</x:f>
        <x:v>2709.46875</x:v>
      </x:c>
      <x:c r="N553" s="65" t="n">
        <x:f>K553/'공식·설정'!$B$7</x:f>
        <x:v>2709.46875</x:v>
      </x:c>
      <x:c r="O553" s="14" t="n">
        <x:v>271</x:v>
      </x:c>
      <x:c r="P553" s="14" t="n">
        <x:f>MIN(32767,MAX(0,INT((K553+INT('공식·설정'!$B$12/2))/'공식·설정'!$B$12)))</x:f>
        <x:v>271</x:v>
      </x:c>
      <x:c r="Q553" s="68" t="n">
        <x:f>P553-O553</x:f>
        <x:v>0</x:v>
      </x:c>
      <x:c r="R553" s="14" t="n">
        <x:v>702208</x:v>
      </x:c>
      <x:c r="S553" s="14" t="n">
        <x:f>P553*'공식·설정'!$B$12+'공식·설정'!$B$14</x:f>
        <x:v>702208</x:v>
      </x:c>
      <x:c r="T553" s="68" t="n">
        <x:f>S553-R553</x:f>
        <x:v>0</x:v>
      </x:c>
      <x:c r="U553" s="65" t="n">
        <x:f>R553/'공식·설정'!$B$7</x:f>
        <x:v>2743</x:v>
      </x:c>
      <x:c r="V553" s="65" t="n">
        <x:f>S553/'공식·설정'!$B$7</x:f>
        <x:v>2743</x:v>
      </x:c>
      <x:c r="W553" s="14" t="n">
        <x:v>670</x:v>
      </x:c>
      <x:c r="X553" s="14" t="n">
        <x:f>INT(ABS(K554-K553)*'공식·설정'!$B$8/K553)</x:f>
        <x:v>670</x:v>
      </x:c>
      <x:c r="Y553" s="68" t="n">
        <x:f>X553-W553</x:f>
        <x:v>0</x:v>
      </x:c>
      <x:c r="Z553" s="66" t="n">
        <x:f>W553/'공식·설정'!$B$8</x:f>
        <x:v>0.010223388671875</x:v>
      </x:c>
      <x:c r="AA553" s="66" t="n">
        <x:f>X553/'공식·설정'!$B$8</x:f>
        <x:v>0.010223388671875</x:v>
      </x:c>
      <x:c r="AB553" s="67" t="str">
        <x:f>IF(AND(I553=0,L553=0,Q553=0,T553=0,Y553=0),"PASS","FAIL")</x:f>
        <x:v>PASS</x:v>
      </x:c>
    </x:row>
    <x:row r="554" ht="18" customHeight="1">
      <x:c r="A554" s="14" t="n">
        <x:v>657</x:v>
      </x:c>
      <x:c r="B554" s="14" t="n">
        <x:v>549</x:v>
      </x:c>
      <x:c r="C554" s="14" t="n">
        <x:v>644</x:v>
      </x:c>
      <x:c r="D554" s="14" t="n">
        <x:v>93463</x:v>
      </x:c>
      <x:c r="E554" s="14" t="n">
        <x:v>658</x:v>
      </x:c>
      <x:c r="F554" s="14" t="n">
        <x:v>108724</x:v>
      </x:c>
      <x:c r="G554" s="14" t="n">
        <x:v>107633</x:v>
      </x:c>
      <x:c r="H554" s="14" t="n">
        <x:f>INT((F554-D554)*(A554-C554)/(E554-C554))+D554</x:f>
        <x:v>107633</x:v>
      </x:c>
      <x:c r="I554" s="68" t="n">
        <x:f>H554-G554</x:f>
        <x:v>0</x:v>
      </x:c>
      <x:c r="J554" s="14" t="n">
        <x:v>700721</x:v>
      </x:c>
      <x:c r="K554" s="14" t="n">
        <x:f>INT(H554*'공식·설정'!$B$10/'공식·설정'!$B$15)</x:f>
        <x:v>700721</x:v>
      </x:c>
      <x:c r="L554" s="68" t="n">
        <x:f>K554-J554</x:f>
        <x:v>0</x:v>
      </x:c>
      <x:c r="M554" s="65" t="n">
        <x:f>J554/'공식·설정'!$B$7</x:f>
        <x:v>2737.19140625</x:v>
      </x:c>
      <x:c r="N554" s="65" t="n">
        <x:f>K554/'공식·설정'!$B$7</x:f>
        <x:v>2737.19140625</x:v>
      </x:c>
      <x:c r="O554" s="14" t="n">
        <x:v>274</x:v>
      </x:c>
      <x:c r="P554" s="14" t="n">
        <x:f>MIN(32767,MAX(0,INT((K554+INT('공식·설정'!$B$12/2))/'공식·설정'!$B$12)))</x:f>
        <x:v>274</x:v>
      </x:c>
      <x:c r="Q554" s="68" t="n">
        <x:f>P554-O554</x:f>
        <x:v>0</x:v>
      </x:c>
      <x:c r="R554" s="14" t="n">
        <x:v>709888</x:v>
      </x:c>
      <x:c r="S554" s="14" t="n">
        <x:f>P554*'공식·설정'!$B$12+'공식·설정'!$B$14</x:f>
        <x:v>709888</x:v>
      </x:c>
      <x:c r="T554" s="68" t="n">
        <x:f>S554-R554</x:f>
        <x:v>0</x:v>
      </x:c>
      <x:c r="U554" s="65" t="n">
        <x:f>R554/'공식·설정'!$B$7</x:f>
        <x:v>2773</x:v>
      </x:c>
      <x:c r="V554" s="65" t="n">
        <x:f>S554/'공식·설정'!$B$7</x:f>
        <x:v>2773</x:v>
      </x:c>
      <x:c r="W554" s="14" t="n">
        <x:v>664</x:v>
      </x:c>
      <x:c r="X554" s="14" t="n">
        <x:f>INT(ABS(K555-K554)*'공식·설정'!$B$8/K554)</x:f>
        <x:v>664</x:v>
      </x:c>
      <x:c r="Y554" s="68" t="n">
        <x:f>X554-W554</x:f>
        <x:v>0</x:v>
      </x:c>
      <x:c r="Z554" s="66" t="n">
        <x:f>W554/'공식·설정'!$B$8</x:f>
        <x:v>0.0101318359375</x:v>
      </x:c>
      <x:c r="AA554" s="66" t="n">
        <x:f>X554/'공식·설정'!$B$8</x:f>
        <x:v>0.0101318359375</x:v>
      </x:c>
      <x:c r="AB554" s="67" t="str">
        <x:f>IF(AND(I554=0,L554=0,Q554=0,T554=0,Y554=0),"PASS","FAIL")</x:f>
        <x:v>PASS</x:v>
      </x:c>
    </x:row>
    <x:row r="555" ht="18" customHeight="1">
      <x:c r="A555" s="14" t="n">
        <x:v>658</x:v>
      </x:c>
      <x:c r="B555" s="14" t="n">
        <x:v>550</x:v>
      </x:c>
      <x:c r="C555" s="14" t="n">
        <x:v>658</x:v>
      </x:c>
      <x:c r="D555" s="14" t="n">
        <x:v>108724</x:v>
      </x:c>
      <x:c r="E555" s="14" t="n">
        <x:v>672</x:v>
      </x:c>
      <x:c r="F555" s="14" t="n">
        <x:v>126474</x:v>
      </x:c>
      <x:c r="G555" s="14" t="n">
        <x:v>108724</x:v>
      </x:c>
      <x:c r="H555" s="14" t="n">
        <x:f>INT((F555-D555)*(A555-C555)/(E555-C555))+D555</x:f>
        <x:v>108724</x:v>
      </x:c>
      <x:c r="I555" s="68" t="n">
        <x:f>H555-G555</x:f>
        <x:v>0</x:v>
      </x:c>
      <x:c r="J555" s="14" t="n">
        <x:v>707823</x:v>
      </x:c>
      <x:c r="K555" s="14" t="n">
        <x:f>INT(H555*'공식·설정'!$B$10/'공식·설정'!$B$15)</x:f>
        <x:v>707823</x:v>
      </x:c>
      <x:c r="L555" s="68" t="n">
        <x:f>K555-J555</x:f>
        <x:v>0</x:v>
      </x:c>
      <x:c r="M555" s="65" t="n">
        <x:f>J555/'공식·설정'!$B$7</x:f>
        <x:v>2764.93359375</x:v>
      </x:c>
      <x:c r="N555" s="65" t="n">
        <x:f>K555/'공식·설정'!$B$7</x:f>
        <x:v>2764.93359375</x:v>
      </x:c>
      <x:c r="O555" s="14" t="n">
        <x:v>276</x:v>
      </x:c>
      <x:c r="P555" s="14" t="n">
        <x:f>MIN(32767,MAX(0,INT((K555+INT('공식·설정'!$B$12/2))/'공식·설정'!$B$12)))</x:f>
        <x:v>276</x:v>
      </x:c>
      <x:c r="Q555" s="68" t="n">
        <x:f>P555-O555</x:f>
        <x:v>0</x:v>
      </x:c>
      <x:c r="R555" s="14" t="n">
        <x:v>715008</x:v>
      </x:c>
      <x:c r="S555" s="14" t="n">
        <x:f>P555*'공식·설정'!$B$12+'공식·설정'!$B$14</x:f>
        <x:v>715008</x:v>
      </x:c>
      <x:c r="T555" s="68" t="n">
        <x:f>S555-R555</x:f>
        <x:v>0</x:v>
      </x:c>
      <x:c r="U555" s="65" t="n">
        <x:f>R555/'공식·설정'!$B$7</x:f>
        <x:v>2793</x:v>
      </x:c>
      <x:c r="V555" s="65" t="n">
        <x:f>S555/'공식·설정'!$B$7</x:f>
        <x:v>2793</x:v>
      </x:c>
      <x:c r="W555" s="14" t="n">
        <x:v>763</x:v>
      </x:c>
      <x:c r="X555" s="14" t="n">
        <x:f>INT(ABS(K556-K555)*'공식·설정'!$B$8/K555)</x:f>
        <x:v>763</x:v>
      </x:c>
      <x:c r="Y555" s="68" t="n">
        <x:f>X555-W555</x:f>
        <x:v>0</x:v>
      </x:c>
      <x:c r="Z555" s="66" t="n">
        <x:f>W555/'공식·설정'!$B$8</x:f>
        <x:v>0.0116424560546875</x:v>
      </x:c>
      <x:c r="AA555" s="66" t="n">
        <x:f>X555/'공식·설정'!$B$8</x:f>
        <x:v>0.0116424560546875</x:v>
      </x:c>
      <x:c r="AB555" s="67" t="str">
        <x:f>IF(AND(I555=0,L555=0,Q555=0,T555=0,Y555=0),"PASS","FAIL")</x:f>
        <x:v>PASS</x:v>
      </x:c>
    </x:row>
    <x:row r="556" ht="18" customHeight="1">
      <x:c r="A556" s="14" t="n">
        <x:v>659</x:v>
      </x:c>
      <x:c r="B556" s="14" t="n">
        <x:v>551</x:v>
      </x:c>
      <x:c r="C556" s="14" t="n">
        <x:v>658</x:v>
      </x:c>
      <x:c r="D556" s="14" t="n">
        <x:v>108724</x:v>
      </x:c>
      <x:c r="E556" s="14" t="n">
        <x:v>672</x:v>
      </x:c>
      <x:c r="F556" s="14" t="n">
        <x:v>126474</x:v>
      </x:c>
      <x:c r="G556" s="14" t="n">
        <x:v>109991</x:v>
      </x:c>
      <x:c r="H556" s="14" t="n">
        <x:f>INT((F556-D556)*(A556-C556)/(E556-C556))+D556</x:f>
        <x:v>109991</x:v>
      </x:c>
      <x:c r="I556" s="68" t="n">
        <x:f>H556-G556</x:f>
        <x:v>0</x:v>
      </x:c>
      <x:c r="J556" s="14" t="n">
        <x:v>716072</x:v>
      </x:c>
      <x:c r="K556" s="14" t="n">
        <x:f>INT(H556*'공식·설정'!$B$10/'공식·설정'!$B$15)</x:f>
        <x:v>716072</x:v>
      </x:c>
      <x:c r="L556" s="68" t="n">
        <x:f>K556-J556</x:f>
        <x:v>0</x:v>
      </x:c>
      <x:c r="M556" s="65" t="n">
        <x:f>J556/'공식·설정'!$B$7</x:f>
        <x:v>2797.15625</x:v>
      </x:c>
      <x:c r="N556" s="65" t="n">
        <x:f>K556/'공식·설정'!$B$7</x:f>
        <x:v>2797.15625</x:v>
      </x:c>
      <x:c r="O556" s="14" t="n">
        <x:v>280</x:v>
      </x:c>
      <x:c r="P556" s="14" t="n">
        <x:f>MIN(32767,MAX(0,INT((K556+INT('공식·설정'!$B$12/2))/'공식·설정'!$B$12)))</x:f>
        <x:v>280</x:v>
      </x:c>
      <x:c r="Q556" s="68" t="n">
        <x:f>P556-O556</x:f>
        <x:v>0</x:v>
      </x:c>
      <x:c r="R556" s="14" t="n">
        <x:v>725248</x:v>
      </x:c>
      <x:c r="S556" s="14" t="n">
        <x:f>P556*'공식·설정'!$B$12+'공식·설정'!$B$14</x:f>
        <x:v>725248</x:v>
      </x:c>
      <x:c r="T556" s="68" t="n">
        <x:f>S556-R556</x:f>
        <x:v>0</x:v>
      </x:c>
      <x:c r="U556" s="65" t="n">
        <x:f>R556/'공식·설정'!$B$7</x:f>
        <x:v>2833</x:v>
      </x:c>
      <x:c r="V556" s="65" t="n">
        <x:f>S556/'공식·설정'!$B$7</x:f>
        <x:v>2833</x:v>
      </x:c>
      <x:c r="W556" s="14" t="n">
        <x:v>755</x:v>
      </x:c>
      <x:c r="X556" s="14" t="n">
        <x:f>INT(ABS(K557-K556)*'공식·설정'!$B$8/K556)</x:f>
        <x:v>755</x:v>
      </x:c>
      <x:c r="Y556" s="68" t="n">
        <x:f>X556-W556</x:f>
        <x:v>0</x:v>
      </x:c>
      <x:c r="Z556" s="66" t="n">
        <x:f>W556/'공식·설정'!$B$8</x:f>
        <x:v>0.0115203857421875</x:v>
      </x:c>
      <x:c r="AA556" s="66" t="n">
        <x:f>X556/'공식·설정'!$B$8</x:f>
        <x:v>0.0115203857421875</x:v>
      </x:c>
      <x:c r="AB556" s="67" t="str">
        <x:f>IF(AND(I556=0,L556=0,Q556=0,T556=0,Y556=0),"PASS","FAIL")</x:f>
        <x:v>PASS</x:v>
      </x:c>
    </x:row>
    <x:row r="557" ht="18" customHeight="1">
      <x:c r="A557" s="14" t="n">
        <x:v>660</x:v>
      </x:c>
      <x:c r="B557" s="14" t="n">
        <x:v>552</x:v>
      </x:c>
      <x:c r="C557" s="14" t="n">
        <x:v>658</x:v>
      </x:c>
      <x:c r="D557" s="14" t="n">
        <x:v>108724</x:v>
      </x:c>
      <x:c r="E557" s="14" t="n">
        <x:v>672</x:v>
      </x:c>
      <x:c r="F557" s="14" t="n">
        <x:v>126474</x:v>
      </x:c>
      <x:c r="G557" s="14" t="n">
        <x:v>111259</x:v>
      </x:c>
      <x:c r="H557" s="14" t="n">
        <x:f>INT((F557-D557)*(A557-C557)/(E557-C557))+D557</x:f>
        <x:v>111259</x:v>
      </x:c>
      <x:c r="I557" s="68" t="n">
        <x:f>H557-G557</x:f>
        <x:v>0</x:v>
      </x:c>
      <x:c r="J557" s="14" t="n">
        <x:v>724327</x:v>
      </x:c>
      <x:c r="K557" s="14" t="n">
        <x:f>INT(H557*'공식·설정'!$B$10/'공식·설정'!$B$15)</x:f>
        <x:v>724327</x:v>
      </x:c>
      <x:c r="L557" s="68" t="n">
        <x:f>K557-J557</x:f>
        <x:v>0</x:v>
      </x:c>
      <x:c r="M557" s="65" t="n">
        <x:f>J557/'공식·설정'!$B$7</x:f>
        <x:v>2829.40234375</x:v>
      </x:c>
      <x:c r="N557" s="65" t="n">
        <x:f>K557/'공식·설정'!$B$7</x:f>
        <x:v>2829.40234375</x:v>
      </x:c>
      <x:c r="O557" s="14" t="n">
        <x:v>283</x:v>
      </x:c>
      <x:c r="P557" s="14" t="n">
        <x:f>MIN(32767,MAX(0,INT((K557+INT('공식·설정'!$B$12/2))/'공식·설정'!$B$12)))</x:f>
        <x:v>283</x:v>
      </x:c>
      <x:c r="Q557" s="68" t="n">
        <x:f>P557-O557</x:f>
        <x:v>0</x:v>
      </x:c>
      <x:c r="R557" s="14" t="n">
        <x:v>732928</x:v>
      </x:c>
      <x:c r="S557" s="14" t="n">
        <x:f>P557*'공식·설정'!$B$12+'공식·설정'!$B$14</x:f>
        <x:v>732928</x:v>
      </x:c>
      <x:c r="T557" s="68" t="n">
        <x:f>S557-R557</x:f>
        <x:v>0</x:v>
      </x:c>
      <x:c r="U557" s="65" t="n">
        <x:f>R557/'공식·설정'!$B$7</x:f>
        <x:v>2863</x:v>
      </x:c>
      <x:c r="V557" s="65" t="n">
        <x:f>S557/'공식·설정'!$B$7</x:f>
        <x:v>2863</x:v>
      </x:c>
      <x:c r="W557" s="14" t="n">
        <x:v>746</x:v>
      </x:c>
      <x:c r="X557" s="14" t="n">
        <x:f>INT(ABS(K558-K557)*'공식·설정'!$B$8/K557)</x:f>
        <x:v>746</x:v>
      </x:c>
      <x:c r="Y557" s="68" t="n">
        <x:f>X557-W557</x:f>
        <x:v>0</x:v>
      </x:c>
      <x:c r="Z557" s="66" t="n">
        <x:f>W557/'공식·설정'!$B$8</x:f>
        <x:v>0.011383056640625</x:v>
      </x:c>
      <x:c r="AA557" s="66" t="n">
        <x:f>X557/'공식·설정'!$B$8</x:f>
        <x:v>0.011383056640625</x:v>
      </x:c>
      <x:c r="AB557" s="67" t="str">
        <x:f>IF(AND(I557=0,L557=0,Q557=0,T557=0,Y557=0),"PASS","FAIL")</x:f>
        <x:v>PASS</x:v>
      </x:c>
    </x:row>
    <x:row r="558" ht="18" customHeight="1">
      <x:c r="A558" s="14" t="n">
        <x:v>661</x:v>
      </x:c>
      <x:c r="B558" s="14" t="n">
        <x:v>553</x:v>
      </x:c>
      <x:c r="C558" s="14" t="n">
        <x:v>658</x:v>
      </x:c>
      <x:c r="D558" s="14" t="n">
        <x:v>108724</x:v>
      </x:c>
      <x:c r="E558" s="14" t="n">
        <x:v>672</x:v>
      </x:c>
      <x:c r="F558" s="14" t="n">
        <x:v>126474</x:v>
      </x:c>
      <x:c r="G558" s="14" t="n">
        <x:v>112527</x:v>
      </x:c>
      <x:c r="H558" s="14" t="n">
        <x:f>INT((F558-D558)*(A558-C558)/(E558-C558))+D558</x:f>
        <x:v>112527</x:v>
      </x:c>
      <x:c r="I558" s="68" t="n">
        <x:f>H558-G558</x:f>
        <x:v>0</x:v>
      </x:c>
      <x:c r="J558" s="14" t="n">
        <x:v>732582</x:v>
      </x:c>
      <x:c r="K558" s="14" t="n">
        <x:f>INT(H558*'공식·설정'!$B$10/'공식·설정'!$B$15)</x:f>
        <x:v>732582</x:v>
      </x:c>
      <x:c r="L558" s="68" t="n">
        <x:f>K558-J558</x:f>
        <x:v>0</x:v>
      </x:c>
      <x:c r="M558" s="65" t="n">
        <x:f>J558/'공식·설정'!$B$7</x:f>
        <x:v>2861.6484375</x:v>
      </x:c>
      <x:c r="N558" s="65" t="n">
        <x:f>K558/'공식·설정'!$B$7</x:f>
        <x:v>2861.6484375</x:v>
      </x:c>
      <x:c r="O558" s="14" t="n">
        <x:v>286</x:v>
      </x:c>
      <x:c r="P558" s="14" t="n">
        <x:f>MIN(32767,MAX(0,INT((K558+INT('공식·설정'!$B$12/2))/'공식·설정'!$B$12)))</x:f>
        <x:v>286</x:v>
      </x:c>
      <x:c r="Q558" s="68" t="n">
        <x:f>P558-O558</x:f>
        <x:v>0</x:v>
      </x:c>
      <x:c r="R558" s="14" t="n">
        <x:v>740608</x:v>
      </x:c>
      <x:c r="S558" s="14" t="n">
        <x:f>P558*'공식·설정'!$B$12+'공식·설정'!$B$14</x:f>
        <x:v>740608</x:v>
      </x:c>
      <x:c r="T558" s="68" t="n">
        <x:f>S558-R558</x:f>
        <x:v>0</x:v>
      </x:c>
      <x:c r="U558" s="65" t="n">
        <x:f>R558/'공식·설정'!$B$7</x:f>
        <x:v>2893</x:v>
      </x:c>
      <x:c r="V558" s="65" t="n">
        <x:f>S558/'공식·설정'!$B$7</x:f>
        <x:v>2893</x:v>
      </x:c>
      <x:c r="W558" s="14" t="n">
        <x:v>738</x:v>
      </x:c>
      <x:c r="X558" s="14" t="n">
        <x:f>INT(ABS(K559-K558)*'공식·설정'!$B$8/K558)</x:f>
        <x:v>738</x:v>
      </x:c>
      <x:c r="Y558" s="68" t="n">
        <x:f>X558-W558</x:f>
        <x:v>0</x:v>
      </x:c>
      <x:c r="Z558" s="66" t="n">
        <x:f>W558/'공식·설정'!$B$8</x:f>
        <x:v>0.011260986328125</x:v>
      </x:c>
      <x:c r="AA558" s="66" t="n">
        <x:f>X558/'공식·설정'!$B$8</x:f>
        <x:v>0.011260986328125</x:v>
      </x:c>
      <x:c r="AB558" s="67" t="str">
        <x:f>IF(AND(I558=0,L558=0,Q558=0,T558=0,Y558=0),"PASS","FAIL")</x:f>
        <x:v>PASS</x:v>
      </x:c>
    </x:row>
    <x:row r="559" ht="18" customHeight="1">
      <x:c r="A559" s="14" t="n">
        <x:v>662</x:v>
      </x:c>
      <x:c r="B559" s="14" t="n">
        <x:v>554</x:v>
      </x:c>
      <x:c r="C559" s="14" t="n">
        <x:v>658</x:v>
      </x:c>
      <x:c r="D559" s="14" t="n">
        <x:v>108724</x:v>
      </x:c>
      <x:c r="E559" s="14" t="n">
        <x:v>672</x:v>
      </x:c>
      <x:c r="F559" s="14" t="n">
        <x:v>126474</x:v>
      </x:c>
      <x:c r="G559" s="14" t="n">
        <x:v>113795</x:v>
      </x:c>
      <x:c r="H559" s="14" t="n">
        <x:f>INT((F559-D559)*(A559-C559)/(E559-C559))+D559</x:f>
        <x:v>113795</x:v>
      </x:c>
      <x:c r="I559" s="68" t="n">
        <x:f>H559-G559</x:f>
        <x:v>0</x:v>
      </x:c>
      <x:c r="J559" s="14" t="n">
        <x:v>740837</x:v>
      </x:c>
      <x:c r="K559" s="14" t="n">
        <x:f>INT(H559*'공식·설정'!$B$10/'공식·설정'!$B$15)</x:f>
        <x:v>740837</x:v>
      </x:c>
      <x:c r="L559" s="68" t="n">
        <x:f>K559-J559</x:f>
        <x:v>0</x:v>
      </x:c>
      <x:c r="M559" s="65" t="n">
        <x:f>J559/'공식·설정'!$B$7</x:f>
        <x:v>2893.89453125</x:v>
      </x:c>
      <x:c r="N559" s="65" t="n">
        <x:f>K559/'공식·설정'!$B$7</x:f>
        <x:v>2893.89453125</x:v>
      </x:c>
      <x:c r="O559" s="14" t="n">
        <x:v>289</x:v>
      </x:c>
      <x:c r="P559" s="14" t="n">
        <x:f>MIN(32767,MAX(0,INT((K559+INT('공식·설정'!$B$12/2))/'공식·설정'!$B$12)))</x:f>
        <x:v>289</x:v>
      </x:c>
      <x:c r="Q559" s="68" t="n">
        <x:f>P559-O559</x:f>
        <x:v>0</x:v>
      </x:c>
      <x:c r="R559" s="14" t="n">
        <x:v>748288</x:v>
      </x:c>
      <x:c r="S559" s="14" t="n">
        <x:f>P559*'공식·설정'!$B$12+'공식·설정'!$B$14</x:f>
        <x:v>748288</x:v>
      </x:c>
      <x:c r="T559" s="68" t="n">
        <x:f>S559-R559</x:f>
        <x:v>0</x:v>
      </x:c>
      <x:c r="U559" s="65" t="n">
        <x:f>R559/'공식·설정'!$B$7</x:f>
        <x:v>2923</x:v>
      </x:c>
      <x:c r="V559" s="65" t="n">
        <x:f>S559/'공식·설정'!$B$7</x:f>
        <x:v>2923</x:v>
      </x:c>
      <x:c r="W559" s="14" t="n">
        <x:v>730</x:v>
      </x:c>
      <x:c r="X559" s="14" t="n">
        <x:f>INT(ABS(K560-K559)*'공식·설정'!$B$8/K559)</x:f>
        <x:v>730</x:v>
      </x:c>
      <x:c r="Y559" s="68" t="n">
        <x:f>X559-W559</x:f>
        <x:v>0</x:v>
      </x:c>
      <x:c r="Z559" s="66" t="n">
        <x:f>W559/'공식·설정'!$B$8</x:f>
        <x:v>0.011138916015625</x:v>
      </x:c>
      <x:c r="AA559" s="66" t="n">
        <x:f>X559/'공식·설정'!$B$8</x:f>
        <x:v>0.011138916015625</x:v>
      </x:c>
      <x:c r="AB559" s="67" t="str">
        <x:f>IF(AND(I559=0,L559=0,Q559=0,T559=0,Y559=0),"PASS","FAIL")</x:f>
        <x:v>PASS</x:v>
      </x:c>
    </x:row>
    <x:row r="560" ht="18" customHeight="1">
      <x:c r="A560" s="14" t="n">
        <x:v>663</x:v>
      </x:c>
      <x:c r="B560" s="14" t="n">
        <x:v>555</x:v>
      </x:c>
      <x:c r="C560" s="14" t="n">
        <x:v>658</x:v>
      </x:c>
      <x:c r="D560" s="14" t="n">
        <x:v>108724</x:v>
      </x:c>
      <x:c r="E560" s="14" t="n">
        <x:v>672</x:v>
      </x:c>
      <x:c r="F560" s="14" t="n">
        <x:v>126474</x:v>
      </x:c>
      <x:c r="G560" s="14" t="n">
        <x:v>115063</x:v>
      </x:c>
      <x:c r="H560" s="14" t="n">
        <x:f>INT((F560-D560)*(A560-C560)/(E560-C560))+D560</x:f>
        <x:v>115063</x:v>
      </x:c>
      <x:c r="I560" s="68" t="n">
        <x:f>H560-G560</x:f>
        <x:v>0</x:v>
      </x:c>
      <x:c r="J560" s="14" t="n">
        <x:v>749092</x:v>
      </x:c>
      <x:c r="K560" s="14" t="n">
        <x:f>INT(H560*'공식·설정'!$B$10/'공식·설정'!$B$15)</x:f>
        <x:v>749092</x:v>
      </x:c>
      <x:c r="L560" s="68" t="n">
        <x:f>K560-J560</x:f>
        <x:v>0</x:v>
      </x:c>
      <x:c r="M560" s="65" t="n">
        <x:f>J560/'공식·설정'!$B$7</x:f>
        <x:v>2926.140625</x:v>
      </x:c>
      <x:c r="N560" s="65" t="n">
        <x:f>K560/'공식·설정'!$B$7</x:f>
        <x:v>2926.140625</x:v>
      </x:c>
      <x:c r="O560" s="14" t="n">
        <x:v>293</x:v>
      </x:c>
      <x:c r="P560" s="14" t="n">
        <x:f>MIN(32767,MAX(0,INT((K560+INT('공식·설정'!$B$12/2))/'공식·설정'!$B$12)))</x:f>
        <x:v>293</x:v>
      </x:c>
      <x:c r="Q560" s="68" t="n">
        <x:f>P560-O560</x:f>
        <x:v>0</x:v>
      </x:c>
      <x:c r="R560" s="14" t="n">
        <x:v>758528</x:v>
      </x:c>
      <x:c r="S560" s="14" t="n">
        <x:f>P560*'공식·설정'!$B$12+'공식·설정'!$B$14</x:f>
        <x:v>758528</x:v>
      </x:c>
      <x:c r="T560" s="68" t="n">
        <x:f>S560-R560</x:f>
        <x:v>0</x:v>
      </x:c>
      <x:c r="U560" s="65" t="n">
        <x:f>R560/'공식·설정'!$B$7</x:f>
        <x:v>2963</x:v>
      </x:c>
      <x:c r="V560" s="65" t="n">
        <x:f>S560/'공식·설정'!$B$7</x:f>
        <x:v>2963</x:v>
      </x:c>
      <x:c r="W560" s="14" t="n">
        <x:v>722</x:v>
      </x:c>
      <x:c r="X560" s="14" t="n">
        <x:f>INT(ABS(K561-K560)*'공식·설정'!$B$8/K560)</x:f>
        <x:v>722</x:v>
      </x:c>
      <x:c r="Y560" s="68" t="n">
        <x:f>X560-W560</x:f>
        <x:v>0</x:v>
      </x:c>
      <x:c r="Z560" s="66" t="n">
        <x:f>W560/'공식·설정'!$B$8</x:f>
        <x:v>0.011016845703125</x:v>
      </x:c>
      <x:c r="AA560" s="66" t="n">
        <x:f>X560/'공식·설정'!$B$8</x:f>
        <x:v>0.011016845703125</x:v>
      </x:c>
      <x:c r="AB560" s="67" t="str">
        <x:f>IF(AND(I560=0,L560=0,Q560=0,T560=0,Y560=0),"PASS","FAIL")</x:f>
        <x:v>PASS</x:v>
      </x:c>
    </x:row>
    <x:row r="561" ht="18" customHeight="1">
      <x:c r="A561" s="14" t="n">
        <x:v>664</x:v>
      </x:c>
      <x:c r="B561" s="14" t="n">
        <x:v>556</x:v>
      </x:c>
      <x:c r="C561" s="14" t="n">
        <x:v>658</x:v>
      </x:c>
      <x:c r="D561" s="14" t="n">
        <x:v>108724</x:v>
      </x:c>
      <x:c r="E561" s="14" t="n">
        <x:v>672</x:v>
      </x:c>
      <x:c r="F561" s="14" t="n">
        <x:v>126474</x:v>
      </x:c>
      <x:c r="G561" s="14" t="n">
        <x:v>116331</x:v>
      </x:c>
      <x:c r="H561" s="14" t="n">
        <x:f>INT((F561-D561)*(A561-C561)/(E561-C561))+D561</x:f>
        <x:v>116331</x:v>
      </x:c>
      <x:c r="I561" s="68" t="n">
        <x:f>H561-G561</x:f>
        <x:v>0</x:v>
      </x:c>
      <x:c r="J561" s="14" t="n">
        <x:v>757347</x:v>
      </x:c>
      <x:c r="K561" s="14" t="n">
        <x:f>INT(H561*'공식·설정'!$B$10/'공식·설정'!$B$15)</x:f>
        <x:v>757347</x:v>
      </x:c>
      <x:c r="L561" s="68" t="n">
        <x:f>K561-J561</x:f>
        <x:v>0</x:v>
      </x:c>
      <x:c r="M561" s="65" t="n">
        <x:f>J561/'공식·설정'!$B$7</x:f>
        <x:v>2958.38671875</x:v>
      </x:c>
      <x:c r="N561" s="65" t="n">
        <x:f>K561/'공식·설정'!$B$7</x:f>
        <x:v>2958.38671875</x:v>
      </x:c>
      <x:c r="O561" s="14" t="n">
        <x:v>296</x:v>
      </x:c>
      <x:c r="P561" s="14" t="n">
        <x:f>MIN(32767,MAX(0,INT((K561+INT('공식·설정'!$B$12/2))/'공식·설정'!$B$12)))</x:f>
        <x:v>296</x:v>
      </x:c>
      <x:c r="Q561" s="68" t="n">
        <x:f>P561-O561</x:f>
        <x:v>0</x:v>
      </x:c>
      <x:c r="R561" s="14" t="n">
        <x:v>766208</x:v>
      </x:c>
      <x:c r="S561" s="14" t="n">
        <x:f>P561*'공식·설정'!$B$12+'공식·설정'!$B$14</x:f>
        <x:v>766208</x:v>
      </x:c>
      <x:c r="T561" s="68" t="n">
        <x:f>S561-R561</x:f>
        <x:v>0</x:v>
      </x:c>
      <x:c r="U561" s="65" t="n">
        <x:f>R561/'공식·설정'!$B$7</x:f>
        <x:v>2993</x:v>
      </x:c>
      <x:c r="V561" s="65" t="n">
        <x:f>S561/'공식·설정'!$B$7</x:f>
        <x:v>2993</x:v>
      </x:c>
      <x:c r="W561" s="14" t="n">
        <x:v>714</x:v>
      </x:c>
      <x:c r="X561" s="14" t="n">
        <x:f>INT(ABS(K562-K561)*'공식·설정'!$B$8/K561)</x:f>
        <x:v>714</x:v>
      </x:c>
      <x:c r="Y561" s="68" t="n">
        <x:f>X561-W561</x:f>
        <x:v>0</x:v>
      </x:c>
      <x:c r="Z561" s="66" t="n">
        <x:f>W561/'공식·설정'!$B$8</x:f>
        <x:v>0.010894775390625</x:v>
      </x:c>
      <x:c r="AA561" s="66" t="n">
        <x:f>X561/'공식·설정'!$B$8</x:f>
        <x:v>0.010894775390625</x:v>
      </x:c>
      <x:c r="AB561" s="67" t="str">
        <x:f>IF(AND(I561=0,L561=0,Q561=0,T561=0,Y561=0),"PASS","FAIL")</x:f>
        <x:v>PASS</x:v>
      </x:c>
    </x:row>
    <x:row r="562" ht="18" customHeight="1">
      <x:c r="A562" s="14" t="n">
        <x:v>665</x:v>
      </x:c>
      <x:c r="B562" s="14" t="n">
        <x:v>557</x:v>
      </x:c>
      <x:c r="C562" s="14" t="n">
        <x:v>658</x:v>
      </x:c>
      <x:c r="D562" s="14" t="n">
        <x:v>108724</x:v>
      </x:c>
      <x:c r="E562" s="14" t="n">
        <x:v>672</x:v>
      </x:c>
      <x:c r="F562" s="14" t="n">
        <x:v>126474</x:v>
      </x:c>
      <x:c r="G562" s="14" t="n">
        <x:v>117599</x:v>
      </x:c>
      <x:c r="H562" s="14" t="n">
        <x:f>INT((F562-D562)*(A562-C562)/(E562-C562))+D562</x:f>
        <x:v>117599</x:v>
      </x:c>
      <x:c r="I562" s="68" t="n">
        <x:f>H562-G562</x:f>
        <x:v>0</x:v>
      </x:c>
      <x:c r="J562" s="14" t="n">
        <x:v>765602</x:v>
      </x:c>
      <x:c r="K562" s="14" t="n">
        <x:f>INT(H562*'공식·설정'!$B$10/'공식·설정'!$B$15)</x:f>
        <x:v>765602</x:v>
      </x:c>
      <x:c r="L562" s="68" t="n">
        <x:f>K562-J562</x:f>
        <x:v>0</x:v>
      </x:c>
      <x:c r="M562" s="65" t="n">
        <x:f>J562/'공식·설정'!$B$7</x:f>
        <x:v>2990.6328125</x:v>
      </x:c>
      <x:c r="N562" s="65" t="n">
        <x:f>K562/'공식·설정'!$B$7</x:f>
        <x:v>2990.6328125</x:v>
      </x:c>
      <x:c r="O562" s="14" t="n">
        <x:v>299</x:v>
      </x:c>
      <x:c r="P562" s="14" t="n">
        <x:f>MIN(32767,MAX(0,INT((K562+INT('공식·설정'!$B$12/2))/'공식·설정'!$B$12)))</x:f>
        <x:v>299</x:v>
      </x:c>
      <x:c r="Q562" s="68" t="n">
        <x:f>P562-O562</x:f>
        <x:v>0</x:v>
      </x:c>
      <x:c r="R562" s="14" t="n">
        <x:v>773888</x:v>
      </x:c>
      <x:c r="S562" s="14" t="n">
        <x:f>P562*'공식·설정'!$B$12+'공식·설정'!$B$14</x:f>
        <x:v>773888</x:v>
      </x:c>
      <x:c r="T562" s="68" t="n">
        <x:f>S562-R562</x:f>
        <x:v>0</x:v>
      </x:c>
      <x:c r="U562" s="65" t="n">
        <x:f>R562/'공식·설정'!$B$7</x:f>
        <x:v>3023</x:v>
      </x:c>
      <x:c r="V562" s="65" t="n">
        <x:f>S562/'공식·설정'!$B$7</x:f>
        <x:v>3023</x:v>
      </x:c>
      <x:c r="W562" s="14" t="n">
        <x:v>706</x:v>
      </x:c>
      <x:c r="X562" s="14" t="n">
        <x:f>INT(ABS(K563-K562)*'공식·설정'!$B$8/K562)</x:f>
        <x:v>706</x:v>
      </x:c>
      <x:c r="Y562" s="68" t="n">
        <x:f>X562-W562</x:f>
        <x:v>0</x:v>
      </x:c>
      <x:c r="Z562" s="66" t="n">
        <x:f>W562/'공식·설정'!$B$8</x:f>
        <x:v>0.010772705078125</x:v>
      </x:c>
      <x:c r="AA562" s="66" t="n">
        <x:f>X562/'공식·설정'!$B$8</x:f>
        <x:v>0.010772705078125</x:v>
      </x:c>
      <x:c r="AB562" s="67" t="str">
        <x:f>IF(AND(I562=0,L562=0,Q562=0,T562=0,Y562=0),"PASS","FAIL")</x:f>
        <x:v>PASS</x:v>
      </x:c>
    </x:row>
    <x:row r="563" ht="18" customHeight="1">
      <x:c r="A563" s="14" t="n">
        <x:v>666</x:v>
      </x:c>
      <x:c r="B563" s="14" t="n">
        <x:v>558</x:v>
      </x:c>
      <x:c r="C563" s="14" t="n">
        <x:v>658</x:v>
      </x:c>
      <x:c r="D563" s="14" t="n">
        <x:v>108724</x:v>
      </x:c>
      <x:c r="E563" s="14" t="n">
        <x:v>672</x:v>
      </x:c>
      <x:c r="F563" s="14" t="n">
        <x:v>126474</x:v>
      </x:c>
      <x:c r="G563" s="14" t="n">
        <x:v>118866</x:v>
      </x:c>
      <x:c r="H563" s="14" t="n">
        <x:f>INT((F563-D563)*(A563-C563)/(E563-C563))+D563</x:f>
        <x:v>118866</x:v>
      </x:c>
      <x:c r="I563" s="68" t="n">
        <x:f>H563-G563</x:f>
        <x:v>0</x:v>
      </x:c>
      <x:c r="J563" s="14" t="n">
        <x:v>773851</x:v>
      </x:c>
      <x:c r="K563" s="14" t="n">
        <x:f>INT(H563*'공식·설정'!$B$10/'공식·설정'!$B$15)</x:f>
        <x:v>773851</x:v>
      </x:c>
      <x:c r="L563" s="68" t="n">
        <x:f>K563-J563</x:f>
        <x:v>0</x:v>
      </x:c>
      <x:c r="M563" s="65" t="n">
        <x:f>J563/'공식·설정'!$B$7</x:f>
        <x:v>3022.85546875</x:v>
      </x:c>
      <x:c r="N563" s="65" t="n">
        <x:f>K563/'공식·설정'!$B$7</x:f>
        <x:v>3022.85546875</x:v>
      </x:c>
      <x:c r="O563" s="14" t="n">
        <x:v>302</x:v>
      </x:c>
      <x:c r="P563" s="14" t="n">
        <x:f>MIN(32767,MAX(0,INT((K563+INT('공식·설정'!$B$12/2))/'공식·설정'!$B$12)))</x:f>
        <x:v>302</x:v>
      </x:c>
      <x:c r="Q563" s="68" t="n">
        <x:f>P563-O563</x:f>
        <x:v>0</x:v>
      </x:c>
      <x:c r="R563" s="14" t="n">
        <x:v>781568</x:v>
      </x:c>
      <x:c r="S563" s="14" t="n">
        <x:f>P563*'공식·설정'!$B$12+'공식·설정'!$B$14</x:f>
        <x:v>781568</x:v>
      </x:c>
      <x:c r="T563" s="68" t="n">
        <x:f>S563-R563</x:f>
        <x:v>0</x:v>
      </x:c>
      <x:c r="U563" s="65" t="n">
        <x:f>R563/'공식·설정'!$B$7</x:f>
        <x:v>3053</x:v>
      </x:c>
      <x:c r="V563" s="65" t="n">
        <x:f>S563/'공식·설정'!$B$7</x:f>
        <x:v>3053</x:v>
      </x:c>
      <x:c r="W563" s="14" t="n">
        <x:v>699</x:v>
      </x:c>
      <x:c r="X563" s="14" t="n">
        <x:f>INT(ABS(K564-K563)*'공식·설정'!$B$8/K563)</x:f>
        <x:v>699</x:v>
      </x:c>
      <x:c r="Y563" s="68" t="n">
        <x:f>X563-W563</x:f>
        <x:v>0</x:v>
      </x:c>
      <x:c r="Z563" s="66" t="n">
        <x:f>W563/'공식·설정'!$B$8</x:f>
        <x:v>0.0106658935546875</x:v>
      </x:c>
      <x:c r="AA563" s="66" t="n">
        <x:f>X563/'공식·설정'!$B$8</x:f>
        <x:v>0.0106658935546875</x:v>
      </x:c>
      <x:c r="AB563" s="67" t="str">
        <x:f>IF(AND(I563=0,L563=0,Q563=0,T563=0,Y563=0),"PASS","FAIL")</x:f>
        <x:v>PASS</x:v>
      </x:c>
    </x:row>
    <x:row r="564" ht="18" customHeight="1">
      <x:c r="A564" s="14" t="n">
        <x:v>667</x:v>
      </x:c>
      <x:c r="B564" s="14" t="n">
        <x:v>559</x:v>
      </x:c>
      <x:c r="C564" s="14" t="n">
        <x:v>658</x:v>
      </x:c>
      <x:c r="D564" s="14" t="n">
        <x:v>108724</x:v>
      </x:c>
      <x:c r="E564" s="14" t="n">
        <x:v>672</x:v>
      </x:c>
      <x:c r="F564" s="14" t="n">
        <x:v>126474</x:v>
      </x:c>
      <x:c r="G564" s="14" t="n">
        <x:v>120134</x:v>
      </x:c>
      <x:c r="H564" s="14" t="n">
        <x:f>INT((F564-D564)*(A564-C564)/(E564-C564))+D564</x:f>
        <x:v>120134</x:v>
      </x:c>
      <x:c r="I564" s="68" t="n">
        <x:f>H564-G564</x:f>
        <x:v>0</x:v>
      </x:c>
      <x:c r="J564" s="14" t="n">
        <x:v>782106</x:v>
      </x:c>
      <x:c r="K564" s="14" t="n">
        <x:f>INT(H564*'공식·설정'!$B$10/'공식·설정'!$B$15)</x:f>
        <x:v>782106</x:v>
      </x:c>
      <x:c r="L564" s="68" t="n">
        <x:f>K564-J564</x:f>
        <x:v>0</x:v>
      </x:c>
      <x:c r="M564" s="65" t="n">
        <x:f>J564/'공식·설정'!$B$7</x:f>
        <x:v>3055.1015625</x:v>
      </x:c>
      <x:c r="N564" s="65" t="n">
        <x:f>K564/'공식·설정'!$B$7</x:f>
        <x:v>3055.1015625</x:v>
      </x:c>
      <x:c r="O564" s="14" t="n">
        <x:v>306</x:v>
      </x:c>
      <x:c r="P564" s="14" t="n">
        <x:f>MIN(32767,MAX(0,INT((K564+INT('공식·설정'!$B$12/2))/'공식·설정'!$B$12)))</x:f>
        <x:v>306</x:v>
      </x:c>
      <x:c r="Q564" s="68" t="n">
        <x:f>P564-O564</x:f>
        <x:v>0</x:v>
      </x:c>
      <x:c r="R564" s="14" t="n">
        <x:v>791808</x:v>
      </x:c>
      <x:c r="S564" s="14" t="n">
        <x:f>P564*'공식·설정'!$B$12+'공식·설정'!$B$14</x:f>
        <x:v>791808</x:v>
      </x:c>
      <x:c r="T564" s="68" t="n">
        <x:f>S564-R564</x:f>
        <x:v>0</x:v>
      </x:c>
      <x:c r="U564" s="65" t="n">
        <x:f>R564/'공식·설정'!$B$7</x:f>
        <x:v>3093</x:v>
      </x:c>
      <x:c r="V564" s="65" t="n">
        <x:f>S564/'공식·설정'!$B$7</x:f>
        <x:v>3093</x:v>
      </x:c>
      <x:c r="W564" s="14" t="n">
        <x:v>691</x:v>
      </x:c>
      <x:c r="X564" s="14" t="n">
        <x:f>INT(ABS(K565-K564)*'공식·설정'!$B$8/K564)</x:f>
        <x:v>691</x:v>
      </x:c>
      <x:c r="Y564" s="68" t="n">
        <x:f>X564-W564</x:f>
        <x:v>0</x:v>
      </x:c>
      <x:c r="Z564" s="66" t="n">
        <x:f>W564/'공식·설정'!$B$8</x:f>
        <x:v>0.0105438232421875</x:v>
      </x:c>
      <x:c r="AA564" s="66" t="n">
        <x:f>X564/'공식·설정'!$B$8</x:f>
        <x:v>0.0105438232421875</x:v>
      </x:c>
      <x:c r="AB564" s="67" t="str">
        <x:f>IF(AND(I564=0,L564=0,Q564=0,T564=0,Y564=0),"PASS","FAIL")</x:f>
        <x:v>PASS</x:v>
      </x:c>
    </x:row>
    <x:row r="565" ht="18" customHeight="1">
      <x:c r="A565" s="14" t="n">
        <x:v>668</x:v>
      </x:c>
      <x:c r="B565" s="14" t="n">
        <x:v>560</x:v>
      </x:c>
      <x:c r="C565" s="14" t="n">
        <x:v>658</x:v>
      </x:c>
      <x:c r="D565" s="14" t="n">
        <x:v>108724</x:v>
      </x:c>
      <x:c r="E565" s="14" t="n">
        <x:v>672</x:v>
      </x:c>
      <x:c r="F565" s="14" t="n">
        <x:v>126474</x:v>
      </x:c>
      <x:c r="G565" s="14" t="n">
        <x:v>121402</x:v>
      </x:c>
      <x:c r="H565" s="14" t="n">
        <x:f>INT((F565-D565)*(A565-C565)/(E565-C565))+D565</x:f>
        <x:v>121402</x:v>
      </x:c>
      <x:c r="I565" s="68" t="n">
        <x:f>H565-G565</x:f>
        <x:v>0</x:v>
      </x:c>
      <x:c r="J565" s="14" t="n">
        <x:v>790361</x:v>
      </x:c>
      <x:c r="K565" s="14" t="n">
        <x:f>INT(H565*'공식·설정'!$B$10/'공식·설정'!$B$15)</x:f>
        <x:v>790361</x:v>
      </x:c>
      <x:c r="L565" s="68" t="n">
        <x:f>K565-J565</x:f>
        <x:v>0</x:v>
      </x:c>
      <x:c r="M565" s="65" t="n">
        <x:f>J565/'공식·설정'!$B$7</x:f>
        <x:v>3087.34765625</x:v>
      </x:c>
      <x:c r="N565" s="65" t="n">
        <x:f>K565/'공식·설정'!$B$7</x:f>
        <x:v>3087.34765625</x:v>
      </x:c>
      <x:c r="O565" s="14" t="n">
        <x:v>309</x:v>
      </x:c>
      <x:c r="P565" s="14" t="n">
        <x:f>MIN(32767,MAX(0,INT((K565+INT('공식·설정'!$B$12/2))/'공식·설정'!$B$12)))</x:f>
        <x:v>309</x:v>
      </x:c>
      <x:c r="Q565" s="68" t="n">
        <x:f>P565-O565</x:f>
        <x:v>0</x:v>
      </x:c>
      <x:c r="R565" s="14" t="n">
        <x:v>799488</x:v>
      </x:c>
      <x:c r="S565" s="14" t="n">
        <x:f>P565*'공식·설정'!$B$12+'공식·설정'!$B$14</x:f>
        <x:v>799488</x:v>
      </x:c>
      <x:c r="T565" s="68" t="n">
        <x:f>S565-R565</x:f>
        <x:v>0</x:v>
      </x:c>
      <x:c r="U565" s="65" t="n">
        <x:f>R565/'공식·설정'!$B$7</x:f>
        <x:v>3123</x:v>
      </x:c>
      <x:c r="V565" s="65" t="n">
        <x:f>S565/'공식·설정'!$B$7</x:f>
        <x:v>3123</x:v>
      </x:c>
      <x:c r="W565" s="14" t="n">
        <x:v>684</x:v>
      </x:c>
      <x:c r="X565" s="14" t="n">
        <x:f>INT(ABS(K566-K565)*'공식·설정'!$B$8/K565)</x:f>
        <x:v>684</x:v>
      </x:c>
      <x:c r="Y565" s="68" t="n">
        <x:f>X565-W565</x:f>
        <x:v>0</x:v>
      </x:c>
      <x:c r="Z565" s="66" t="n">
        <x:f>W565/'공식·설정'!$B$8</x:f>
        <x:v>0.01043701171875</x:v>
      </x:c>
      <x:c r="AA565" s="66" t="n">
        <x:f>X565/'공식·설정'!$B$8</x:f>
        <x:v>0.01043701171875</x:v>
      </x:c>
      <x:c r="AB565" s="67" t="str">
        <x:f>IF(AND(I565=0,L565=0,Q565=0,T565=0,Y565=0),"PASS","FAIL")</x:f>
        <x:v>PASS</x:v>
      </x:c>
    </x:row>
    <x:row r="566" ht="18" customHeight="1">
      <x:c r="A566" s="14" t="n">
        <x:v>669</x:v>
      </x:c>
      <x:c r="B566" s="14" t="n">
        <x:v>561</x:v>
      </x:c>
      <x:c r="C566" s="14" t="n">
        <x:v>658</x:v>
      </x:c>
      <x:c r="D566" s="14" t="n">
        <x:v>108724</x:v>
      </x:c>
      <x:c r="E566" s="14" t="n">
        <x:v>672</x:v>
      </x:c>
      <x:c r="F566" s="14" t="n">
        <x:v>126474</x:v>
      </x:c>
      <x:c r="G566" s="14" t="n">
        <x:v>122670</x:v>
      </x:c>
      <x:c r="H566" s="14" t="n">
        <x:f>INT((F566-D566)*(A566-C566)/(E566-C566))+D566</x:f>
        <x:v>122670</x:v>
      </x:c>
      <x:c r="I566" s="68" t="n">
        <x:f>H566-G566</x:f>
        <x:v>0</x:v>
      </x:c>
      <x:c r="J566" s="14" t="n">
        <x:v>798616</x:v>
      </x:c>
      <x:c r="K566" s="14" t="n">
        <x:f>INT(H566*'공식·설정'!$B$10/'공식·설정'!$B$15)</x:f>
        <x:v>798616</x:v>
      </x:c>
      <x:c r="L566" s="68" t="n">
        <x:f>K566-J566</x:f>
        <x:v>0</x:v>
      </x:c>
      <x:c r="M566" s="65" t="n">
        <x:f>J566/'공식·설정'!$B$7</x:f>
        <x:v>3119.59375</x:v>
      </x:c>
      <x:c r="N566" s="65" t="n">
        <x:f>K566/'공식·설정'!$B$7</x:f>
        <x:v>3119.59375</x:v>
      </x:c>
      <x:c r="O566" s="14" t="n">
        <x:v>312</x:v>
      </x:c>
      <x:c r="P566" s="14" t="n">
        <x:f>MIN(32767,MAX(0,INT((K566+INT('공식·설정'!$B$12/2))/'공식·설정'!$B$12)))</x:f>
        <x:v>312</x:v>
      </x:c>
      <x:c r="Q566" s="68" t="n">
        <x:f>P566-O566</x:f>
        <x:v>0</x:v>
      </x:c>
      <x:c r="R566" s="14" t="n">
        <x:v>807168</x:v>
      </x:c>
      <x:c r="S566" s="14" t="n">
        <x:f>P566*'공식·설정'!$B$12+'공식·설정'!$B$14</x:f>
        <x:v>807168</x:v>
      </x:c>
      <x:c r="T566" s="68" t="n">
        <x:f>S566-R566</x:f>
        <x:v>0</x:v>
      </x:c>
      <x:c r="U566" s="65" t="n">
        <x:f>R566/'공식·설정'!$B$7</x:f>
        <x:v>3153</x:v>
      </x:c>
      <x:c r="V566" s="65" t="n">
        <x:f>S566/'공식·설정'!$B$7</x:f>
        <x:v>3153</x:v>
      </x:c>
      <x:c r="W566" s="14" t="n">
        <x:v>677</x:v>
      </x:c>
      <x:c r="X566" s="14" t="n">
        <x:f>INT(ABS(K567-K566)*'공식·설정'!$B$8/K566)</x:f>
        <x:v>677</x:v>
      </x:c>
      <x:c r="Y566" s="68" t="n">
        <x:f>X566-W566</x:f>
        <x:v>0</x:v>
      </x:c>
      <x:c r="Z566" s="66" t="n">
        <x:f>W566/'공식·설정'!$B$8</x:f>
        <x:v>0.0103302001953125</x:v>
      </x:c>
      <x:c r="AA566" s="66" t="n">
        <x:f>X566/'공식·설정'!$B$8</x:f>
        <x:v>0.0103302001953125</x:v>
      </x:c>
      <x:c r="AB566" s="67" t="str">
        <x:f>IF(AND(I566=0,L566=0,Q566=0,T566=0,Y566=0),"PASS","FAIL")</x:f>
        <x:v>PASS</x:v>
      </x:c>
    </x:row>
    <x:row r="567" ht="18" customHeight="1">
      <x:c r="A567" s="14" t="n">
        <x:v>670</x:v>
      </x:c>
      <x:c r="B567" s="14" t="n">
        <x:v>562</x:v>
      </x:c>
      <x:c r="C567" s="14" t="n">
        <x:v>658</x:v>
      </x:c>
      <x:c r="D567" s="14" t="n">
        <x:v>108724</x:v>
      </x:c>
      <x:c r="E567" s="14" t="n">
        <x:v>672</x:v>
      </x:c>
      <x:c r="F567" s="14" t="n">
        <x:v>126474</x:v>
      </x:c>
      <x:c r="G567" s="14" t="n">
        <x:v>123938</x:v>
      </x:c>
      <x:c r="H567" s="14" t="n">
        <x:f>INT((F567-D567)*(A567-C567)/(E567-C567))+D567</x:f>
        <x:v>123938</x:v>
      </x:c>
      <x:c r="I567" s="68" t="n">
        <x:f>H567-G567</x:f>
        <x:v>0</x:v>
      </x:c>
      <x:c r="J567" s="14" t="n">
        <x:v>806871</x:v>
      </x:c>
      <x:c r="K567" s="14" t="n">
        <x:f>INT(H567*'공식·설정'!$B$10/'공식·설정'!$B$15)</x:f>
        <x:v>806871</x:v>
      </x:c>
      <x:c r="L567" s="68" t="n">
        <x:f>K567-J567</x:f>
        <x:v>0</x:v>
      </x:c>
      <x:c r="M567" s="65" t="n">
        <x:f>J567/'공식·설정'!$B$7</x:f>
        <x:v>3151.83984375</x:v>
      </x:c>
      <x:c r="N567" s="65" t="n">
        <x:f>K567/'공식·설정'!$B$7</x:f>
        <x:v>3151.83984375</x:v>
      </x:c>
      <x:c r="O567" s="14" t="n">
        <x:v>315</x:v>
      </x:c>
      <x:c r="P567" s="14" t="n">
        <x:f>MIN(32767,MAX(0,INT((K567+INT('공식·설정'!$B$12/2))/'공식·설정'!$B$12)))</x:f>
        <x:v>315</x:v>
      </x:c>
      <x:c r="Q567" s="68" t="n">
        <x:f>P567-O567</x:f>
        <x:v>0</x:v>
      </x:c>
      <x:c r="R567" s="14" t="n">
        <x:v>814848</x:v>
      </x:c>
      <x:c r="S567" s="14" t="n">
        <x:f>P567*'공식·설정'!$B$12+'공식·설정'!$B$14</x:f>
        <x:v>814848</x:v>
      </x:c>
      <x:c r="T567" s="68" t="n">
        <x:f>S567-R567</x:f>
        <x:v>0</x:v>
      </x:c>
      <x:c r="U567" s="65" t="n">
        <x:f>R567/'공식·설정'!$B$7</x:f>
        <x:v>3183</x:v>
      </x:c>
      <x:c r="V567" s="65" t="n">
        <x:f>S567/'공식·설정'!$B$7</x:f>
        <x:v>3183</x:v>
      </x:c>
      <x:c r="W567" s="14" t="n">
        <x:v>670</x:v>
      </x:c>
      <x:c r="X567" s="14" t="n">
        <x:f>INT(ABS(K568-K567)*'공식·설정'!$B$8/K567)</x:f>
        <x:v>670</x:v>
      </x:c>
      <x:c r="Y567" s="68" t="n">
        <x:f>X567-W567</x:f>
        <x:v>0</x:v>
      </x:c>
      <x:c r="Z567" s="66" t="n">
        <x:f>W567/'공식·설정'!$B$8</x:f>
        <x:v>0.010223388671875</x:v>
      </x:c>
      <x:c r="AA567" s="66" t="n">
        <x:f>X567/'공식·설정'!$B$8</x:f>
        <x:v>0.010223388671875</x:v>
      </x:c>
      <x:c r="AB567" s="67" t="str">
        <x:f>IF(AND(I567=0,L567=0,Q567=0,T567=0,Y567=0),"PASS","FAIL")</x:f>
        <x:v>PASS</x:v>
      </x:c>
    </x:row>
    <x:row r="568" ht="18" customHeight="1">
      <x:c r="A568" s="14" t="n">
        <x:v>671</x:v>
      </x:c>
      <x:c r="B568" s="14" t="n">
        <x:v>563</x:v>
      </x:c>
      <x:c r="C568" s="14" t="n">
        <x:v>658</x:v>
      </x:c>
      <x:c r="D568" s="14" t="n">
        <x:v>108724</x:v>
      </x:c>
      <x:c r="E568" s="14" t="n">
        <x:v>672</x:v>
      </x:c>
      <x:c r="F568" s="14" t="n">
        <x:v>126474</x:v>
      </x:c>
      <x:c r="G568" s="14" t="n">
        <x:v>125206</x:v>
      </x:c>
      <x:c r="H568" s="14" t="n">
        <x:f>INT((F568-D568)*(A568-C568)/(E568-C568))+D568</x:f>
        <x:v>125206</x:v>
      </x:c>
      <x:c r="I568" s="68" t="n">
        <x:f>H568-G568</x:f>
        <x:v>0</x:v>
      </x:c>
      <x:c r="J568" s="14" t="n">
        <x:v>815126</x:v>
      </x:c>
      <x:c r="K568" s="14" t="n">
        <x:f>INT(H568*'공식·설정'!$B$10/'공식·설정'!$B$15)</x:f>
        <x:v>815126</x:v>
      </x:c>
      <x:c r="L568" s="68" t="n">
        <x:f>K568-J568</x:f>
        <x:v>0</x:v>
      </x:c>
      <x:c r="M568" s="65" t="n">
        <x:f>J568/'공식·설정'!$B$7</x:f>
        <x:v>3184.0859375</x:v>
      </x:c>
      <x:c r="N568" s="65" t="n">
        <x:f>K568/'공식·설정'!$B$7</x:f>
        <x:v>3184.0859375</x:v>
      </x:c>
      <x:c r="O568" s="14" t="n">
        <x:v>318</x:v>
      </x:c>
      <x:c r="P568" s="14" t="n">
        <x:f>MIN(32767,MAX(0,INT((K568+INT('공식·설정'!$B$12/2))/'공식·설정'!$B$12)))</x:f>
        <x:v>318</x:v>
      </x:c>
      <x:c r="Q568" s="68" t="n">
        <x:f>P568-O568</x:f>
        <x:v>0</x:v>
      </x:c>
      <x:c r="R568" s="14" t="n">
        <x:v>822528</x:v>
      </x:c>
      <x:c r="S568" s="14" t="n">
        <x:f>P568*'공식·설정'!$B$12+'공식·설정'!$B$14</x:f>
        <x:v>822528</x:v>
      </x:c>
      <x:c r="T568" s="68" t="n">
        <x:f>S568-R568</x:f>
        <x:v>0</x:v>
      </x:c>
      <x:c r="U568" s="65" t="n">
        <x:f>R568/'공식·설정'!$B$7</x:f>
        <x:v>3213</x:v>
      </x:c>
      <x:c r="V568" s="65" t="n">
        <x:f>S568/'공식·설정'!$B$7</x:f>
        <x:v>3213</x:v>
      </x:c>
      <x:c r="W568" s="14" t="n">
        <x:v>663</x:v>
      </x:c>
      <x:c r="X568" s="14" t="n">
        <x:f>INT(ABS(K569-K568)*'공식·설정'!$B$8/K568)</x:f>
        <x:v>663</x:v>
      </x:c>
      <x:c r="Y568" s="68" t="n">
        <x:f>X568-W568</x:f>
        <x:v>0</x:v>
      </x:c>
      <x:c r="Z568" s="66" t="n">
        <x:f>W568/'공식·설정'!$B$8</x:f>
        <x:v>0.0101165771484375</x:v>
      </x:c>
      <x:c r="AA568" s="66" t="n">
        <x:f>X568/'공식·설정'!$B$8</x:f>
        <x:v>0.0101165771484375</x:v>
      </x:c>
      <x:c r="AB568" s="67" t="str">
        <x:f>IF(AND(I568=0,L568=0,Q568=0,T568=0,Y568=0),"PASS","FAIL")</x:f>
        <x:v>PASS</x:v>
      </x:c>
    </x:row>
    <x:row r="569" ht="18" customHeight="1">
      <x:c r="A569" s="14" t="n">
        <x:v>672</x:v>
      </x:c>
      <x:c r="B569" s="14" t="n">
        <x:v>564</x:v>
      </x:c>
      <x:c r="C569" s="14" t="n">
        <x:v>672</x:v>
      </x:c>
      <x:c r="D569" s="14" t="n">
        <x:v>126474</x:v>
      </x:c>
      <x:c r="E569" s="14" t="n">
        <x:v>686</x:v>
      </x:c>
      <x:c r="F569" s="14" t="n">
        <x:v>147119</x:v>
      </x:c>
      <x:c r="G569" s="14" t="n">
        <x:v>126474</x:v>
      </x:c>
      <x:c r="H569" s="14" t="n">
        <x:f>INT((F569-D569)*(A569-C569)/(E569-C569))+D569</x:f>
        <x:v>126474</x:v>
      </x:c>
      <x:c r="I569" s="68" t="n">
        <x:f>H569-G569</x:f>
        <x:v>0</x:v>
      </x:c>
      <x:c r="J569" s="14" t="n">
        <x:v>823381</x:v>
      </x:c>
      <x:c r="K569" s="14" t="n">
        <x:f>INT(H569*'공식·설정'!$B$10/'공식·설정'!$B$15)</x:f>
        <x:v>823381</x:v>
      </x:c>
      <x:c r="L569" s="68" t="n">
        <x:f>K569-J569</x:f>
        <x:v>0</x:v>
      </x:c>
      <x:c r="M569" s="65" t="n">
        <x:f>J569/'공식·설정'!$B$7</x:f>
        <x:v>3216.33203125</x:v>
      </x:c>
      <x:c r="N569" s="65" t="n">
        <x:f>K569/'공식·설정'!$B$7</x:f>
        <x:v>3216.33203125</x:v>
      </x:c>
      <x:c r="O569" s="14" t="n">
        <x:v>322</x:v>
      </x:c>
      <x:c r="P569" s="14" t="n">
        <x:f>MIN(32767,MAX(0,INT((K569+INT('공식·설정'!$B$12/2))/'공식·설정'!$B$12)))</x:f>
        <x:v>322</x:v>
      </x:c>
      <x:c r="Q569" s="68" t="n">
        <x:f>P569-O569</x:f>
        <x:v>0</x:v>
      </x:c>
      <x:c r="R569" s="14" t="n">
        <x:v>832768</x:v>
      </x:c>
      <x:c r="S569" s="14" t="n">
        <x:f>P569*'공식·설정'!$B$12+'공식·설정'!$B$14</x:f>
        <x:v>832768</x:v>
      </x:c>
      <x:c r="T569" s="68" t="n">
        <x:f>S569-R569</x:f>
        <x:v>0</x:v>
      </x:c>
      <x:c r="U569" s="65" t="n">
        <x:f>R569/'공식·설정'!$B$7</x:f>
        <x:v>3253</x:v>
      </x:c>
      <x:c r="V569" s="65" t="n">
        <x:f>S569/'공식·설정'!$B$7</x:f>
        <x:v>3253</x:v>
      </x:c>
      <x:c r="W569" s="14" t="n">
        <x:v>763</x:v>
      </x:c>
      <x:c r="X569" s="14" t="n">
        <x:f>INT(ABS(K570-K569)*'공식·설정'!$B$8/K569)</x:f>
        <x:v>763</x:v>
      </x:c>
      <x:c r="Y569" s="68" t="n">
        <x:f>X569-W569</x:f>
        <x:v>0</x:v>
      </x:c>
      <x:c r="Z569" s="66" t="n">
        <x:f>W569/'공식·설정'!$B$8</x:f>
        <x:v>0.0116424560546875</x:v>
      </x:c>
      <x:c r="AA569" s="66" t="n">
        <x:f>X569/'공식·설정'!$B$8</x:f>
        <x:v>0.0116424560546875</x:v>
      </x:c>
      <x:c r="AB569" s="67" t="str">
        <x:f>IF(AND(I569=0,L569=0,Q569=0,T569=0,Y569=0),"PASS","FAIL")</x:f>
        <x:v>PASS</x:v>
      </x:c>
    </x:row>
    <x:row r="570" ht="18" customHeight="1">
      <x:c r="A570" s="14" t="n">
        <x:v>673</x:v>
      </x:c>
      <x:c r="B570" s="14" t="n">
        <x:v>565</x:v>
      </x:c>
      <x:c r="C570" s="14" t="n">
        <x:v>672</x:v>
      </x:c>
      <x:c r="D570" s="14" t="n">
        <x:v>126474</x:v>
      </x:c>
      <x:c r="E570" s="14" t="n">
        <x:v>686</x:v>
      </x:c>
      <x:c r="F570" s="14" t="n">
        <x:v>147119</x:v>
      </x:c>
      <x:c r="G570" s="14" t="n">
        <x:v>127948</x:v>
      </x:c>
      <x:c r="H570" s="14" t="n">
        <x:f>INT((F570-D570)*(A570-C570)/(E570-C570))+D570</x:f>
        <x:v>127948</x:v>
      </x:c>
      <x:c r="I570" s="68" t="n">
        <x:f>H570-G570</x:f>
        <x:v>0</x:v>
      </x:c>
      <x:c r="J570" s="14" t="n">
        <x:v>832977</x:v>
      </x:c>
      <x:c r="K570" s="14" t="n">
        <x:f>INT(H570*'공식·설정'!$B$10/'공식·설정'!$B$15)</x:f>
        <x:v>832977</x:v>
      </x:c>
      <x:c r="L570" s="68" t="n">
        <x:f>K570-J570</x:f>
        <x:v>0</x:v>
      </x:c>
      <x:c r="M570" s="65" t="n">
        <x:f>J570/'공식·설정'!$B$7</x:f>
        <x:v>3253.81640625</x:v>
      </x:c>
      <x:c r="N570" s="65" t="n">
        <x:f>K570/'공식·설정'!$B$7</x:f>
        <x:v>3253.81640625</x:v>
      </x:c>
      <x:c r="O570" s="14" t="n">
        <x:v>325</x:v>
      </x:c>
      <x:c r="P570" s="14" t="n">
        <x:f>MIN(32767,MAX(0,INT((K570+INT('공식·설정'!$B$12/2))/'공식·설정'!$B$12)))</x:f>
        <x:v>325</x:v>
      </x:c>
      <x:c r="Q570" s="68" t="n">
        <x:f>P570-O570</x:f>
        <x:v>0</x:v>
      </x:c>
      <x:c r="R570" s="14" t="n">
        <x:v>840448</x:v>
      </x:c>
      <x:c r="S570" s="14" t="n">
        <x:f>P570*'공식·설정'!$B$12+'공식·설정'!$B$14</x:f>
        <x:v>840448</x:v>
      </x:c>
      <x:c r="T570" s="68" t="n">
        <x:f>S570-R570</x:f>
        <x:v>0</x:v>
      </x:c>
      <x:c r="U570" s="65" t="n">
        <x:f>R570/'공식·설정'!$B$7</x:f>
        <x:v>3283</x:v>
      </x:c>
      <x:c r="V570" s="65" t="n">
        <x:f>S570/'공식·설정'!$B$7</x:f>
        <x:v>3283</x:v>
      </x:c>
      <x:c r="W570" s="14" t="n">
        <x:v>755</x:v>
      </x:c>
      <x:c r="X570" s="14" t="n">
        <x:f>INT(ABS(K571-K570)*'공식·설정'!$B$8/K570)</x:f>
        <x:v>755</x:v>
      </x:c>
      <x:c r="Y570" s="68" t="n">
        <x:f>X570-W570</x:f>
        <x:v>0</x:v>
      </x:c>
      <x:c r="Z570" s="66" t="n">
        <x:f>W570/'공식·설정'!$B$8</x:f>
        <x:v>0.0115203857421875</x:v>
      </x:c>
      <x:c r="AA570" s="66" t="n">
        <x:f>X570/'공식·설정'!$B$8</x:f>
        <x:v>0.0115203857421875</x:v>
      </x:c>
      <x:c r="AB570" s="67" t="str">
        <x:f>IF(AND(I570=0,L570=0,Q570=0,T570=0,Y570=0),"PASS","FAIL")</x:f>
        <x:v>PASS</x:v>
      </x:c>
    </x:row>
    <x:row r="571" ht="18" customHeight="1">
      <x:c r="A571" s="14" t="n">
        <x:v>674</x:v>
      </x:c>
      <x:c r="B571" s="14" t="n">
        <x:v>566</x:v>
      </x:c>
      <x:c r="C571" s="14" t="n">
        <x:v>672</x:v>
      </x:c>
      <x:c r="D571" s="14" t="n">
        <x:v>126474</x:v>
      </x:c>
      <x:c r="E571" s="14" t="n">
        <x:v>686</x:v>
      </x:c>
      <x:c r="F571" s="14" t="n">
        <x:v>147119</x:v>
      </x:c>
      <x:c r="G571" s="14" t="n">
        <x:v>129423</x:v>
      </x:c>
      <x:c r="H571" s="14" t="n">
        <x:f>INT((F571-D571)*(A571-C571)/(E571-C571))+D571</x:f>
        <x:v>129423</x:v>
      </x:c>
      <x:c r="I571" s="68" t="n">
        <x:f>H571-G571</x:f>
        <x:v>0</x:v>
      </x:c>
      <x:c r="J571" s="14" t="n">
        <x:v>842580</x:v>
      </x:c>
      <x:c r="K571" s="14" t="n">
        <x:f>INT(H571*'공식·설정'!$B$10/'공식·설정'!$B$15)</x:f>
        <x:v>842580</x:v>
      </x:c>
      <x:c r="L571" s="68" t="n">
        <x:f>K571-J571</x:f>
        <x:v>0</x:v>
      </x:c>
      <x:c r="M571" s="65" t="n">
        <x:f>J571/'공식·설정'!$B$7</x:f>
        <x:v>3291.328125</x:v>
      </x:c>
      <x:c r="N571" s="65" t="n">
        <x:f>K571/'공식·설정'!$B$7</x:f>
        <x:v>3291.328125</x:v>
      </x:c>
      <x:c r="O571" s="14" t="n">
        <x:v>329</x:v>
      </x:c>
      <x:c r="P571" s="14" t="n">
        <x:f>MIN(32767,MAX(0,INT((K571+INT('공식·설정'!$B$12/2))/'공식·설정'!$B$12)))</x:f>
        <x:v>329</x:v>
      </x:c>
      <x:c r="Q571" s="68" t="n">
        <x:f>P571-O571</x:f>
        <x:v>0</x:v>
      </x:c>
      <x:c r="R571" s="14" t="n">
        <x:v>850688</x:v>
      </x:c>
      <x:c r="S571" s="14" t="n">
        <x:f>P571*'공식·설정'!$B$12+'공식·설정'!$B$14</x:f>
        <x:v>850688</x:v>
      </x:c>
      <x:c r="T571" s="68" t="n">
        <x:f>S571-R571</x:f>
        <x:v>0</x:v>
      </x:c>
      <x:c r="U571" s="65" t="n">
        <x:f>R571/'공식·설정'!$B$7</x:f>
        <x:v>3323</x:v>
      </x:c>
      <x:c r="V571" s="65" t="n">
        <x:f>S571/'공식·설정'!$B$7</x:f>
        <x:v>3323</x:v>
      </x:c>
      <x:c r="W571" s="14" t="n">
        <x:v>746</x:v>
      </x:c>
      <x:c r="X571" s="14" t="n">
        <x:f>INT(ABS(K572-K571)*'공식·설정'!$B$8/K571)</x:f>
        <x:v>746</x:v>
      </x:c>
      <x:c r="Y571" s="68" t="n">
        <x:f>X571-W571</x:f>
        <x:v>0</x:v>
      </x:c>
      <x:c r="Z571" s="66" t="n">
        <x:f>W571/'공식·설정'!$B$8</x:f>
        <x:v>0.011383056640625</x:v>
      </x:c>
      <x:c r="AA571" s="66" t="n">
        <x:f>X571/'공식·설정'!$B$8</x:f>
        <x:v>0.011383056640625</x:v>
      </x:c>
      <x:c r="AB571" s="67" t="str">
        <x:f>IF(AND(I571=0,L571=0,Q571=0,T571=0,Y571=0),"PASS","FAIL")</x:f>
        <x:v>PASS</x:v>
      </x:c>
    </x:row>
    <x:row r="572" ht="18" customHeight="1">
      <x:c r="A572" s="14" t="n">
        <x:v>675</x:v>
      </x:c>
      <x:c r="B572" s="14" t="n">
        <x:v>567</x:v>
      </x:c>
      <x:c r="C572" s="14" t="n">
        <x:v>672</x:v>
      </x:c>
      <x:c r="D572" s="14" t="n">
        <x:v>126474</x:v>
      </x:c>
      <x:c r="E572" s="14" t="n">
        <x:v>686</x:v>
      </x:c>
      <x:c r="F572" s="14" t="n">
        <x:v>147119</x:v>
      </x:c>
      <x:c r="G572" s="14" t="n">
        <x:v>130897</x:v>
      </x:c>
      <x:c r="H572" s="14" t="n">
        <x:f>INT((F572-D572)*(A572-C572)/(E572-C572))+D572</x:f>
        <x:v>130897</x:v>
      </x:c>
      <x:c r="I572" s="68" t="n">
        <x:f>H572-G572</x:f>
        <x:v>0</x:v>
      </x:c>
      <x:c r="J572" s="14" t="n">
        <x:v>852176</x:v>
      </x:c>
      <x:c r="K572" s="14" t="n">
        <x:f>INT(H572*'공식·설정'!$B$10/'공식·설정'!$B$15)</x:f>
        <x:v>852176</x:v>
      </x:c>
      <x:c r="L572" s="68" t="n">
        <x:f>K572-J572</x:f>
        <x:v>0</x:v>
      </x:c>
      <x:c r="M572" s="65" t="n">
        <x:f>J572/'공식·설정'!$B$7</x:f>
        <x:v>3328.8125</x:v>
      </x:c>
      <x:c r="N572" s="65" t="n">
        <x:f>K572/'공식·설정'!$B$7</x:f>
        <x:v>3328.8125</x:v>
      </x:c>
      <x:c r="O572" s="14" t="n">
        <x:v>333</x:v>
      </x:c>
      <x:c r="P572" s="14" t="n">
        <x:f>MIN(32767,MAX(0,INT((K572+INT('공식·설정'!$B$12/2))/'공식·설정'!$B$12)))</x:f>
        <x:v>333</x:v>
      </x:c>
      <x:c r="Q572" s="68" t="n">
        <x:f>P572-O572</x:f>
        <x:v>0</x:v>
      </x:c>
      <x:c r="R572" s="14" t="n">
        <x:v>860928</x:v>
      </x:c>
      <x:c r="S572" s="14" t="n">
        <x:f>P572*'공식·설정'!$B$12+'공식·설정'!$B$14</x:f>
        <x:v>860928</x:v>
      </x:c>
      <x:c r="T572" s="68" t="n">
        <x:f>S572-R572</x:f>
        <x:v>0</x:v>
      </x:c>
      <x:c r="U572" s="65" t="n">
        <x:f>R572/'공식·설정'!$B$7</x:f>
        <x:v>3363</x:v>
      </x:c>
      <x:c r="V572" s="65" t="n">
        <x:f>S572/'공식·설정'!$B$7</x:f>
        <x:v>3363</x:v>
      </x:c>
      <x:c r="W572" s="14" t="n">
        <x:v>738</x:v>
      </x:c>
      <x:c r="X572" s="14" t="n">
        <x:f>INT(ABS(K573-K572)*'공식·설정'!$B$8/K572)</x:f>
        <x:v>738</x:v>
      </x:c>
      <x:c r="Y572" s="68" t="n">
        <x:f>X572-W572</x:f>
        <x:v>0</x:v>
      </x:c>
      <x:c r="Z572" s="66" t="n">
        <x:f>W572/'공식·설정'!$B$8</x:f>
        <x:v>0.011260986328125</x:v>
      </x:c>
      <x:c r="AA572" s="66" t="n">
        <x:f>X572/'공식·설정'!$B$8</x:f>
        <x:v>0.011260986328125</x:v>
      </x:c>
      <x:c r="AB572" s="67" t="str">
        <x:f>IF(AND(I572=0,L572=0,Q572=0,T572=0,Y572=0),"PASS","FAIL")</x:f>
        <x:v>PASS</x:v>
      </x:c>
    </x:row>
    <x:row r="573" ht="18" customHeight="1">
      <x:c r="A573" s="14" t="n">
        <x:v>676</x:v>
      </x:c>
      <x:c r="B573" s="14" t="n">
        <x:v>568</x:v>
      </x:c>
      <x:c r="C573" s="14" t="n">
        <x:v>672</x:v>
      </x:c>
      <x:c r="D573" s="14" t="n">
        <x:v>126474</x:v>
      </x:c>
      <x:c r="E573" s="14" t="n">
        <x:v>686</x:v>
      </x:c>
      <x:c r="F573" s="14" t="n">
        <x:v>147119</x:v>
      </x:c>
      <x:c r="G573" s="14" t="n">
        <x:v>132372</x:v>
      </x:c>
      <x:c r="H573" s="14" t="n">
        <x:f>INT((F573-D573)*(A573-C573)/(E573-C573))+D573</x:f>
        <x:v>132372</x:v>
      </x:c>
      <x:c r="I573" s="68" t="n">
        <x:f>H573-G573</x:f>
        <x:v>0</x:v>
      </x:c>
      <x:c r="J573" s="14" t="n">
        <x:v>861779</x:v>
      </x:c>
      <x:c r="K573" s="14" t="n">
        <x:f>INT(H573*'공식·설정'!$B$10/'공식·설정'!$B$15)</x:f>
        <x:v>861779</x:v>
      </x:c>
      <x:c r="L573" s="68" t="n">
        <x:f>K573-J573</x:f>
        <x:v>0</x:v>
      </x:c>
      <x:c r="M573" s="65" t="n">
        <x:f>J573/'공식·설정'!$B$7</x:f>
        <x:v>3366.32421875</x:v>
      </x:c>
      <x:c r="N573" s="65" t="n">
        <x:f>K573/'공식·설정'!$B$7</x:f>
        <x:v>3366.32421875</x:v>
      </x:c>
      <x:c r="O573" s="14" t="n">
        <x:v>337</x:v>
      </x:c>
      <x:c r="P573" s="14" t="n">
        <x:f>MIN(32767,MAX(0,INT((K573+INT('공식·설정'!$B$12/2))/'공식·설정'!$B$12)))</x:f>
        <x:v>337</x:v>
      </x:c>
      <x:c r="Q573" s="68" t="n">
        <x:f>P573-O573</x:f>
        <x:v>0</x:v>
      </x:c>
      <x:c r="R573" s="14" t="n">
        <x:v>871168</x:v>
      </x:c>
      <x:c r="S573" s="14" t="n">
        <x:f>P573*'공식·설정'!$B$12+'공식·설정'!$B$14</x:f>
        <x:v>871168</x:v>
      </x:c>
      <x:c r="T573" s="68" t="n">
        <x:f>S573-R573</x:f>
        <x:v>0</x:v>
      </x:c>
      <x:c r="U573" s="65" t="n">
        <x:f>R573/'공식·설정'!$B$7</x:f>
        <x:v>3403</x:v>
      </x:c>
      <x:c r="V573" s="65" t="n">
        <x:f>S573/'공식·설정'!$B$7</x:f>
        <x:v>3403</x:v>
      </x:c>
      <x:c r="W573" s="14" t="n">
        <x:v>730</x:v>
      </x:c>
      <x:c r="X573" s="14" t="n">
        <x:f>INT(ABS(K574-K573)*'공식·설정'!$B$8/K573)</x:f>
        <x:v>730</x:v>
      </x:c>
      <x:c r="Y573" s="68" t="n">
        <x:f>X573-W573</x:f>
        <x:v>0</x:v>
      </x:c>
      <x:c r="Z573" s="66" t="n">
        <x:f>W573/'공식·설정'!$B$8</x:f>
        <x:v>0.011138916015625</x:v>
      </x:c>
      <x:c r="AA573" s="66" t="n">
        <x:f>X573/'공식·설정'!$B$8</x:f>
        <x:v>0.011138916015625</x:v>
      </x:c>
      <x:c r="AB573" s="67" t="str">
        <x:f>IF(AND(I573=0,L573=0,Q573=0,T573=0,Y573=0),"PASS","FAIL")</x:f>
        <x:v>PASS</x:v>
      </x:c>
    </x:row>
    <x:row r="574" ht="18" customHeight="1">
      <x:c r="A574" s="14" t="n">
        <x:v>677</x:v>
      </x:c>
      <x:c r="B574" s="14" t="n">
        <x:v>569</x:v>
      </x:c>
      <x:c r="C574" s="14" t="n">
        <x:v>672</x:v>
      </x:c>
      <x:c r="D574" s="14" t="n">
        <x:v>126474</x:v>
      </x:c>
      <x:c r="E574" s="14" t="n">
        <x:v>686</x:v>
      </x:c>
      <x:c r="F574" s="14" t="n">
        <x:v>147119</x:v>
      </x:c>
      <x:c r="G574" s="14" t="n">
        <x:v>133847</x:v>
      </x:c>
      <x:c r="H574" s="14" t="n">
        <x:f>INT((F574-D574)*(A574-C574)/(E574-C574))+D574</x:f>
        <x:v>133847</x:v>
      </x:c>
      <x:c r="I574" s="68" t="n">
        <x:f>H574-G574</x:f>
        <x:v>0</x:v>
      </x:c>
      <x:c r="J574" s="14" t="n">
        <x:v>871381</x:v>
      </x:c>
      <x:c r="K574" s="14" t="n">
        <x:f>INT(H574*'공식·설정'!$B$10/'공식·설정'!$B$15)</x:f>
        <x:v>871381</x:v>
      </x:c>
      <x:c r="L574" s="68" t="n">
        <x:f>K574-J574</x:f>
        <x:v>0</x:v>
      </x:c>
      <x:c r="M574" s="65" t="n">
        <x:f>J574/'공식·설정'!$B$7</x:f>
        <x:v>3403.83203125</x:v>
      </x:c>
      <x:c r="N574" s="65" t="n">
        <x:f>K574/'공식·설정'!$B$7</x:f>
        <x:v>3403.83203125</x:v>
      </x:c>
      <x:c r="O574" s="14" t="n">
        <x:v>340</x:v>
      </x:c>
      <x:c r="P574" s="14" t="n">
        <x:f>MIN(32767,MAX(0,INT((K574+INT('공식·설정'!$B$12/2))/'공식·설정'!$B$12)))</x:f>
        <x:v>340</x:v>
      </x:c>
      <x:c r="Q574" s="68" t="n">
        <x:f>P574-O574</x:f>
        <x:v>0</x:v>
      </x:c>
      <x:c r="R574" s="14" t="n">
        <x:v>878848</x:v>
      </x:c>
      <x:c r="S574" s="14" t="n">
        <x:f>P574*'공식·설정'!$B$12+'공식·설정'!$B$14</x:f>
        <x:v>878848</x:v>
      </x:c>
      <x:c r="T574" s="68" t="n">
        <x:f>S574-R574</x:f>
        <x:v>0</x:v>
      </x:c>
      <x:c r="U574" s="65" t="n">
        <x:f>R574/'공식·설정'!$B$7</x:f>
        <x:v>3433</x:v>
      </x:c>
      <x:c r="V574" s="65" t="n">
        <x:f>S574/'공식·설정'!$B$7</x:f>
        <x:v>3433</x:v>
      </x:c>
      <x:c r="W574" s="14" t="n">
        <x:v>721</x:v>
      </x:c>
      <x:c r="X574" s="14" t="n">
        <x:f>INT(ABS(K575-K574)*'공식·설정'!$B$8/K574)</x:f>
        <x:v>721</x:v>
      </x:c>
      <x:c r="Y574" s="68" t="n">
        <x:f>X574-W574</x:f>
        <x:v>0</x:v>
      </x:c>
      <x:c r="Z574" s="66" t="n">
        <x:f>W574/'공식·설정'!$B$8</x:f>
        <x:v>0.0110015869140625</x:v>
      </x:c>
      <x:c r="AA574" s="66" t="n">
        <x:f>X574/'공식·설정'!$B$8</x:f>
        <x:v>0.0110015869140625</x:v>
      </x:c>
      <x:c r="AB574" s="67" t="str">
        <x:f>IF(AND(I574=0,L574=0,Q574=0,T574=0,Y574=0),"PASS","FAIL")</x:f>
        <x:v>PASS</x:v>
      </x:c>
    </x:row>
    <x:row r="575" ht="18" customHeight="1">
      <x:c r="A575" s="14" t="n">
        <x:v>678</x:v>
      </x:c>
      <x:c r="B575" s="14" t="n">
        <x:v>570</x:v>
      </x:c>
      <x:c r="C575" s="14" t="n">
        <x:v>672</x:v>
      </x:c>
      <x:c r="D575" s="14" t="n">
        <x:v>126474</x:v>
      </x:c>
      <x:c r="E575" s="14" t="n">
        <x:v>686</x:v>
      </x:c>
      <x:c r="F575" s="14" t="n">
        <x:v>147119</x:v>
      </x:c>
      <x:c r="G575" s="14" t="n">
        <x:v>135321</x:v>
      </x:c>
      <x:c r="H575" s="14" t="n">
        <x:f>INT((F575-D575)*(A575-C575)/(E575-C575))+D575</x:f>
        <x:v>135321</x:v>
      </x:c>
      <x:c r="I575" s="68" t="n">
        <x:f>H575-G575</x:f>
        <x:v>0</x:v>
      </x:c>
      <x:c r="J575" s="14" t="n">
        <x:v>880977</x:v>
      </x:c>
      <x:c r="K575" s="14" t="n">
        <x:f>INT(H575*'공식·설정'!$B$10/'공식·설정'!$B$15)</x:f>
        <x:v>880977</x:v>
      </x:c>
      <x:c r="L575" s="68" t="n">
        <x:f>K575-J575</x:f>
        <x:v>0</x:v>
      </x:c>
      <x:c r="M575" s="65" t="n">
        <x:f>J575/'공식·설정'!$B$7</x:f>
        <x:v>3441.31640625</x:v>
      </x:c>
      <x:c r="N575" s="65" t="n">
        <x:f>K575/'공식·설정'!$B$7</x:f>
        <x:v>3441.31640625</x:v>
      </x:c>
      <x:c r="O575" s="14" t="n">
        <x:v>344</x:v>
      </x:c>
      <x:c r="P575" s="14" t="n">
        <x:f>MIN(32767,MAX(0,INT((K575+INT('공식·설정'!$B$12/2))/'공식·설정'!$B$12)))</x:f>
        <x:v>344</x:v>
      </x:c>
      <x:c r="Q575" s="68" t="n">
        <x:f>P575-O575</x:f>
        <x:v>0</x:v>
      </x:c>
      <x:c r="R575" s="14" t="n">
        <x:v>889088</x:v>
      </x:c>
      <x:c r="S575" s="14" t="n">
        <x:f>P575*'공식·설정'!$B$12+'공식·설정'!$B$14</x:f>
        <x:v>889088</x:v>
      </x:c>
      <x:c r="T575" s="68" t="n">
        <x:f>S575-R575</x:f>
        <x:v>0</x:v>
      </x:c>
      <x:c r="U575" s="65" t="n">
        <x:f>R575/'공식·설정'!$B$7</x:f>
        <x:v>3473</x:v>
      </x:c>
      <x:c r="V575" s="65" t="n">
        <x:f>S575/'공식·설정'!$B$7</x:f>
        <x:v>3473</x:v>
      </x:c>
      <x:c r="W575" s="14" t="n">
        <x:v>714</x:v>
      </x:c>
      <x:c r="X575" s="14" t="n">
        <x:f>INT(ABS(K576-K575)*'공식·설정'!$B$8/K575)</x:f>
        <x:v>714</x:v>
      </x:c>
      <x:c r="Y575" s="68" t="n">
        <x:f>X575-W575</x:f>
        <x:v>0</x:v>
      </x:c>
      <x:c r="Z575" s="66" t="n">
        <x:f>W575/'공식·설정'!$B$8</x:f>
        <x:v>0.010894775390625</x:v>
      </x:c>
      <x:c r="AA575" s="66" t="n">
        <x:f>X575/'공식·설정'!$B$8</x:f>
        <x:v>0.010894775390625</x:v>
      </x:c>
      <x:c r="AB575" s="67" t="str">
        <x:f>IF(AND(I575=0,L575=0,Q575=0,T575=0,Y575=0),"PASS","FAIL")</x:f>
        <x:v>PASS</x:v>
      </x:c>
    </x:row>
    <x:row r="576" ht="18" customHeight="1">
      <x:c r="A576" s="14" t="n">
        <x:v>679</x:v>
      </x:c>
      <x:c r="B576" s="14" t="n">
        <x:v>571</x:v>
      </x:c>
      <x:c r="C576" s="14" t="n">
        <x:v>672</x:v>
      </x:c>
      <x:c r="D576" s="14" t="n">
        <x:v>126474</x:v>
      </x:c>
      <x:c r="E576" s="14" t="n">
        <x:v>686</x:v>
      </x:c>
      <x:c r="F576" s="14" t="n">
        <x:v>147119</x:v>
      </x:c>
      <x:c r="G576" s="14" t="n">
        <x:v>136796</x:v>
      </x:c>
      <x:c r="H576" s="14" t="n">
        <x:f>INT((F576-D576)*(A576-C576)/(E576-C576))+D576</x:f>
        <x:v>136796</x:v>
      </x:c>
      <x:c r="I576" s="68" t="n">
        <x:f>H576-G576</x:f>
        <x:v>0</x:v>
      </x:c>
      <x:c r="J576" s="14" t="n">
        <x:v>890580</x:v>
      </x:c>
      <x:c r="K576" s="14" t="n">
        <x:f>INT(H576*'공식·설정'!$B$10/'공식·설정'!$B$15)</x:f>
        <x:v>890580</x:v>
      </x:c>
      <x:c r="L576" s="68" t="n">
        <x:f>K576-J576</x:f>
        <x:v>0</x:v>
      </x:c>
      <x:c r="M576" s="65" t="n">
        <x:f>J576/'공식·설정'!$B$7</x:f>
        <x:v>3478.828125</x:v>
      </x:c>
      <x:c r="N576" s="65" t="n">
        <x:f>K576/'공식·설정'!$B$7</x:f>
        <x:v>3478.828125</x:v>
      </x:c>
      <x:c r="O576" s="14" t="n">
        <x:v>348</x:v>
      </x:c>
      <x:c r="P576" s="14" t="n">
        <x:f>MIN(32767,MAX(0,INT((K576+INT('공식·설정'!$B$12/2))/'공식·설정'!$B$12)))</x:f>
        <x:v>348</x:v>
      </x:c>
      <x:c r="Q576" s="68" t="n">
        <x:f>P576-O576</x:f>
        <x:v>0</x:v>
      </x:c>
      <x:c r="R576" s="14" t="n">
        <x:v>899328</x:v>
      </x:c>
      <x:c r="S576" s="14" t="n">
        <x:f>P576*'공식·설정'!$B$12+'공식·설정'!$B$14</x:f>
        <x:v>899328</x:v>
      </x:c>
      <x:c r="T576" s="68" t="n">
        <x:f>S576-R576</x:f>
        <x:v>0</x:v>
      </x:c>
      <x:c r="U576" s="65" t="n">
        <x:f>R576/'공식·설정'!$B$7</x:f>
        <x:v>3513</x:v>
      </x:c>
      <x:c r="V576" s="65" t="n">
        <x:f>S576/'공식·설정'!$B$7</x:f>
        <x:v>3513</x:v>
      </x:c>
      <x:c r="W576" s="14" t="n">
        <x:v>706</x:v>
      </x:c>
      <x:c r="X576" s="14" t="n">
        <x:f>INT(ABS(K577-K576)*'공식·설정'!$B$8/K576)</x:f>
        <x:v>706</x:v>
      </x:c>
      <x:c r="Y576" s="68" t="n">
        <x:f>X576-W576</x:f>
        <x:v>0</x:v>
      </x:c>
      <x:c r="Z576" s="66" t="n">
        <x:f>W576/'공식·설정'!$B$8</x:f>
        <x:v>0.010772705078125</x:v>
      </x:c>
      <x:c r="AA576" s="66" t="n">
        <x:f>X576/'공식·설정'!$B$8</x:f>
        <x:v>0.010772705078125</x:v>
      </x:c>
      <x:c r="AB576" s="67" t="str">
        <x:f>IF(AND(I576=0,L576=0,Q576=0,T576=0,Y576=0),"PASS","FAIL")</x:f>
        <x:v>PASS</x:v>
      </x:c>
    </x:row>
    <x:row r="577" ht="18" customHeight="1">
      <x:c r="A577" s="14" t="n">
        <x:v>680</x:v>
      </x:c>
      <x:c r="B577" s="14" t="n">
        <x:v>572</x:v>
      </x:c>
      <x:c r="C577" s="14" t="n">
        <x:v>672</x:v>
      </x:c>
      <x:c r="D577" s="14" t="n">
        <x:v>126474</x:v>
      </x:c>
      <x:c r="E577" s="14" t="n">
        <x:v>686</x:v>
      </x:c>
      <x:c r="F577" s="14" t="n">
        <x:v>147119</x:v>
      </x:c>
      <x:c r="G577" s="14" t="n">
        <x:v>138271</x:v>
      </x:c>
      <x:c r="H577" s="14" t="n">
        <x:f>INT((F577-D577)*(A577-C577)/(E577-C577))+D577</x:f>
        <x:v>138271</x:v>
      </x:c>
      <x:c r="I577" s="68" t="n">
        <x:f>H577-G577</x:f>
        <x:v>0</x:v>
      </x:c>
      <x:c r="J577" s="14" t="n">
        <x:v>900183</x:v>
      </x:c>
      <x:c r="K577" s="14" t="n">
        <x:f>INT(H577*'공식·설정'!$B$10/'공식·설정'!$B$15)</x:f>
        <x:v>900183</x:v>
      </x:c>
      <x:c r="L577" s="68" t="n">
        <x:f>K577-J577</x:f>
        <x:v>0</x:v>
      </x:c>
      <x:c r="M577" s="65" t="n">
        <x:f>J577/'공식·설정'!$B$7</x:f>
        <x:v>3516.33984375</x:v>
      </x:c>
      <x:c r="N577" s="65" t="n">
        <x:f>K577/'공식·설정'!$B$7</x:f>
        <x:v>3516.33984375</x:v>
      </x:c>
      <x:c r="O577" s="14" t="n">
        <x:v>352</x:v>
      </x:c>
      <x:c r="P577" s="14" t="n">
        <x:f>MIN(32767,MAX(0,INT((K577+INT('공식·설정'!$B$12/2))/'공식·설정'!$B$12)))</x:f>
        <x:v>352</x:v>
      </x:c>
      <x:c r="Q577" s="68" t="n">
        <x:f>P577-O577</x:f>
        <x:v>0</x:v>
      </x:c>
      <x:c r="R577" s="14" t="n">
        <x:v>909568</x:v>
      </x:c>
      <x:c r="S577" s="14" t="n">
        <x:f>P577*'공식·설정'!$B$12+'공식·설정'!$B$14</x:f>
        <x:v>909568</x:v>
      </x:c>
      <x:c r="T577" s="68" t="n">
        <x:f>S577-R577</x:f>
        <x:v>0</x:v>
      </x:c>
      <x:c r="U577" s="65" t="n">
        <x:f>R577/'공식·설정'!$B$7</x:f>
        <x:v>3553</x:v>
      </x:c>
      <x:c r="V577" s="65" t="n">
        <x:f>S577/'공식·설정'!$B$7</x:f>
        <x:v>3553</x:v>
      </x:c>
      <x:c r="W577" s="14" t="n">
        <x:v>698</x:v>
      </x:c>
      <x:c r="X577" s="14" t="n">
        <x:f>INT(ABS(K578-K577)*'공식·설정'!$B$8/K577)</x:f>
        <x:v>698</x:v>
      </x:c>
      <x:c r="Y577" s="68" t="n">
        <x:f>X577-W577</x:f>
        <x:v>0</x:v>
      </x:c>
      <x:c r="Z577" s="66" t="n">
        <x:f>W577/'공식·설정'!$B$8</x:f>
        <x:v>0.010650634765625</x:v>
      </x:c>
      <x:c r="AA577" s="66" t="n">
        <x:f>X577/'공식·설정'!$B$8</x:f>
        <x:v>0.010650634765625</x:v>
      </x:c>
      <x:c r="AB577" s="67" t="str">
        <x:f>IF(AND(I577=0,L577=0,Q577=0,T577=0,Y577=0),"PASS","FAIL")</x:f>
        <x:v>PASS</x:v>
      </x:c>
    </x:row>
    <x:row r="578" ht="18" customHeight="1">
      <x:c r="A578" s="14" t="n">
        <x:v>681</x:v>
      </x:c>
      <x:c r="B578" s="14" t="n">
        <x:v>573</x:v>
      </x:c>
      <x:c r="C578" s="14" t="n">
        <x:v>672</x:v>
      </x:c>
      <x:c r="D578" s="14" t="n">
        <x:v>126474</x:v>
      </x:c>
      <x:c r="E578" s="14" t="n">
        <x:v>686</x:v>
      </x:c>
      <x:c r="F578" s="14" t="n">
        <x:v>147119</x:v>
      </x:c>
      <x:c r="G578" s="14" t="n">
        <x:v>139745</x:v>
      </x:c>
      <x:c r="H578" s="14" t="n">
        <x:f>INT((F578-D578)*(A578-C578)/(E578-C578))+D578</x:f>
        <x:v>139745</x:v>
      </x:c>
      <x:c r="I578" s="68" t="n">
        <x:f>H578-G578</x:f>
        <x:v>0</x:v>
      </x:c>
      <x:c r="J578" s="14" t="n">
        <x:v>909779</x:v>
      </x:c>
      <x:c r="K578" s="14" t="n">
        <x:f>INT(H578*'공식·설정'!$B$10/'공식·설정'!$B$15)</x:f>
        <x:v>909779</x:v>
      </x:c>
      <x:c r="L578" s="68" t="n">
        <x:f>K578-J578</x:f>
        <x:v>0</x:v>
      </x:c>
      <x:c r="M578" s="65" t="n">
        <x:f>J578/'공식·설정'!$B$7</x:f>
        <x:v>3553.82421875</x:v>
      </x:c>
      <x:c r="N578" s="65" t="n">
        <x:f>K578/'공식·설정'!$B$7</x:f>
        <x:v>3553.82421875</x:v>
      </x:c>
      <x:c r="O578" s="14" t="n">
        <x:v>355</x:v>
      </x:c>
      <x:c r="P578" s="14" t="n">
        <x:f>MIN(32767,MAX(0,INT((K578+INT('공식·설정'!$B$12/2))/'공식·설정'!$B$12)))</x:f>
        <x:v>355</x:v>
      </x:c>
      <x:c r="Q578" s="68" t="n">
        <x:f>P578-O578</x:f>
        <x:v>0</x:v>
      </x:c>
      <x:c r="R578" s="14" t="n">
        <x:v>917248</x:v>
      </x:c>
      <x:c r="S578" s="14" t="n">
        <x:f>P578*'공식·설정'!$B$12+'공식·설정'!$B$14</x:f>
        <x:v>917248</x:v>
      </x:c>
      <x:c r="T578" s="68" t="n">
        <x:f>S578-R578</x:f>
        <x:v>0</x:v>
      </x:c>
      <x:c r="U578" s="65" t="n">
        <x:f>R578/'공식·설정'!$B$7</x:f>
        <x:v>3583</x:v>
      </x:c>
      <x:c r="V578" s="65" t="n">
        <x:f>S578/'공식·설정'!$B$7</x:f>
        <x:v>3583</x:v>
      </x:c>
      <x:c r="W578" s="14" t="n">
        <x:v>691</x:v>
      </x:c>
      <x:c r="X578" s="14" t="n">
        <x:f>INT(ABS(K579-K578)*'공식·설정'!$B$8/K578)</x:f>
        <x:v>691</x:v>
      </x:c>
      <x:c r="Y578" s="68" t="n">
        <x:f>X578-W578</x:f>
        <x:v>0</x:v>
      </x:c>
      <x:c r="Z578" s="66" t="n">
        <x:f>W578/'공식·설정'!$B$8</x:f>
        <x:v>0.0105438232421875</x:v>
      </x:c>
      <x:c r="AA578" s="66" t="n">
        <x:f>X578/'공식·설정'!$B$8</x:f>
        <x:v>0.0105438232421875</x:v>
      </x:c>
      <x:c r="AB578" s="67" t="str">
        <x:f>IF(AND(I578=0,L578=0,Q578=0,T578=0,Y578=0),"PASS","FAIL")</x:f>
        <x:v>PASS</x:v>
      </x:c>
    </x:row>
    <x:row r="579" ht="18" customHeight="1">
      <x:c r="A579" s="14" t="n">
        <x:v>682</x:v>
      </x:c>
      <x:c r="B579" s="14" t="n">
        <x:v>574</x:v>
      </x:c>
      <x:c r="C579" s="14" t="n">
        <x:v>672</x:v>
      </x:c>
      <x:c r="D579" s="14" t="n">
        <x:v>126474</x:v>
      </x:c>
      <x:c r="E579" s="14" t="n">
        <x:v>686</x:v>
      </x:c>
      <x:c r="F579" s="14" t="n">
        <x:v>147119</x:v>
      </x:c>
      <x:c r="G579" s="14" t="n">
        <x:v>141220</x:v>
      </x:c>
      <x:c r="H579" s="14" t="n">
        <x:f>INT((F579-D579)*(A579-C579)/(E579-C579))+D579</x:f>
        <x:v>141220</x:v>
      </x:c>
      <x:c r="I579" s="68" t="n">
        <x:f>H579-G579</x:f>
        <x:v>0</x:v>
      </x:c>
      <x:c r="J579" s="14" t="n">
        <x:v>919382</x:v>
      </x:c>
      <x:c r="K579" s="14" t="n">
        <x:f>INT(H579*'공식·설정'!$B$10/'공식·설정'!$B$15)</x:f>
        <x:v>919382</x:v>
      </x:c>
      <x:c r="L579" s="68" t="n">
        <x:f>K579-J579</x:f>
        <x:v>0</x:v>
      </x:c>
      <x:c r="M579" s="65" t="n">
        <x:f>J579/'공식·설정'!$B$7</x:f>
        <x:v>3591.3359375</x:v>
      </x:c>
      <x:c r="N579" s="65" t="n">
        <x:f>K579/'공식·설정'!$B$7</x:f>
        <x:v>3591.3359375</x:v>
      </x:c>
      <x:c r="O579" s="14" t="n">
        <x:v>359</x:v>
      </x:c>
      <x:c r="P579" s="14" t="n">
        <x:f>MIN(32767,MAX(0,INT((K579+INT('공식·설정'!$B$12/2))/'공식·설정'!$B$12)))</x:f>
        <x:v>359</x:v>
      </x:c>
      <x:c r="Q579" s="68" t="n">
        <x:f>P579-O579</x:f>
        <x:v>0</x:v>
      </x:c>
      <x:c r="R579" s="14" t="n">
        <x:v>927488</x:v>
      </x:c>
      <x:c r="S579" s="14" t="n">
        <x:f>P579*'공식·설정'!$B$12+'공식·설정'!$B$14</x:f>
        <x:v>927488</x:v>
      </x:c>
      <x:c r="T579" s="68" t="n">
        <x:f>S579-R579</x:f>
        <x:v>0</x:v>
      </x:c>
      <x:c r="U579" s="65" t="n">
        <x:f>R579/'공식·설정'!$B$7</x:f>
        <x:v>3623</x:v>
      </x:c>
      <x:c r="V579" s="65" t="n">
        <x:f>S579/'공식·설정'!$B$7</x:f>
        <x:v>3623</x:v>
      </x:c>
      <x:c r="W579" s="14" t="n">
        <x:v>684</x:v>
      </x:c>
      <x:c r="X579" s="14" t="n">
        <x:f>INT(ABS(K580-K579)*'공식·설정'!$B$8/K579)</x:f>
        <x:v>684</x:v>
      </x:c>
      <x:c r="Y579" s="68" t="n">
        <x:f>X579-W579</x:f>
        <x:v>0</x:v>
      </x:c>
      <x:c r="Z579" s="66" t="n">
        <x:f>W579/'공식·설정'!$B$8</x:f>
        <x:v>0.01043701171875</x:v>
      </x:c>
      <x:c r="AA579" s="66" t="n">
        <x:f>X579/'공식·설정'!$B$8</x:f>
        <x:v>0.01043701171875</x:v>
      </x:c>
      <x:c r="AB579" s="67" t="str">
        <x:f>IF(AND(I579=0,L579=0,Q579=0,T579=0,Y579=0),"PASS","FAIL")</x:f>
        <x:v>PASS</x:v>
      </x:c>
    </x:row>
    <x:row r="580" ht="18" customHeight="1">
      <x:c r="A580" s="14" t="n">
        <x:v>683</x:v>
      </x:c>
      <x:c r="B580" s="14" t="n">
        <x:v>575</x:v>
      </x:c>
      <x:c r="C580" s="14" t="n">
        <x:v>672</x:v>
      </x:c>
      <x:c r="D580" s="14" t="n">
        <x:v>126474</x:v>
      </x:c>
      <x:c r="E580" s="14" t="n">
        <x:v>686</x:v>
      </x:c>
      <x:c r="F580" s="14" t="n">
        <x:v>147119</x:v>
      </x:c>
      <x:c r="G580" s="14" t="n">
        <x:v>142695</x:v>
      </x:c>
      <x:c r="H580" s="14" t="n">
        <x:f>INT((F580-D580)*(A580-C580)/(E580-C580))+D580</x:f>
        <x:v>142695</x:v>
      </x:c>
      <x:c r="I580" s="68" t="n">
        <x:f>H580-G580</x:f>
        <x:v>0</x:v>
      </x:c>
      <x:c r="J580" s="14" t="n">
        <x:v>928984</x:v>
      </x:c>
      <x:c r="K580" s="14" t="n">
        <x:f>INT(H580*'공식·설정'!$B$10/'공식·설정'!$B$15)</x:f>
        <x:v>928984</x:v>
      </x:c>
      <x:c r="L580" s="68" t="n">
        <x:f>K580-J580</x:f>
        <x:v>0</x:v>
      </x:c>
      <x:c r="M580" s="65" t="n">
        <x:f>J580/'공식·설정'!$B$7</x:f>
        <x:v>3628.84375</x:v>
      </x:c>
      <x:c r="N580" s="65" t="n">
        <x:f>K580/'공식·설정'!$B$7</x:f>
        <x:v>3628.84375</x:v>
      </x:c>
      <x:c r="O580" s="14" t="n">
        <x:v>363</x:v>
      </x:c>
      <x:c r="P580" s="14" t="n">
        <x:f>MIN(32767,MAX(0,INT((K580+INT('공식·설정'!$B$12/2))/'공식·설정'!$B$12)))</x:f>
        <x:v>363</x:v>
      </x:c>
      <x:c r="Q580" s="68" t="n">
        <x:f>P580-O580</x:f>
        <x:v>0</x:v>
      </x:c>
      <x:c r="R580" s="14" t="n">
        <x:v>937728</x:v>
      </x:c>
      <x:c r="S580" s="14" t="n">
        <x:f>P580*'공식·설정'!$B$12+'공식·설정'!$B$14</x:f>
        <x:v>937728</x:v>
      </x:c>
      <x:c r="T580" s="68" t="n">
        <x:f>S580-R580</x:f>
        <x:v>0</x:v>
      </x:c>
      <x:c r="U580" s="65" t="n">
        <x:f>R580/'공식·설정'!$B$7</x:f>
        <x:v>3663</x:v>
      </x:c>
      <x:c r="V580" s="65" t="n">
        <x:f>S580/'공식·설정'!$B$7</x:f>
        <x:v>3663</x:v>
      </x:c>
      <x:c r="W580" s="14" t="n">
        <x:v>676</x:v>
      </x:c>
      <x:c r="X580" s="14" t="n">
        <x:f>INT(ABS(K581-K580)*'공식·설정'!$B$8/K580)</x:f>
        <x:v>676</x:v>
      </x:c>
      <x:c r="Y580" s="68" t="n">
        <x:f>X580-W580</x:f>
        <x:v>0</x:v>
      </x:c>
      <x:c r="Z580" s="66" t="n">
        <x:f>W580/'공식·설정'!$B$8</x:f>
        <x:v>0.01031494140625</x:v>
      </x:c>
      <x:c r="AA580" s="66" t="n">
        <x:f>X580/'공식·설정'!$B$8</x:f>
        <x:v>0.01031494140625</x:v>
      </x:c>
      <x:c r="AB580" s="67" t="str">
        <x:f>IF(AND(I580=0,L580=0,Q580=0,T580=0,Y580=0),"PASS","FAIL")</x:f>
        <x:v>PASS</x:v>
      </x:c>
    </x:row>
    <x:row r="581" ht="18" customHeight="1">
      <x:c r="A581" s="14" t="n">
        <x:v>684</x:v>
      </x:c>
      <x:c r="B581" s="14" t="n">
        <x:v>576</x:v>
      </x:c>
      <x:c r="C581" s="14" t="n">
        <x:v>672</x:v>
      </x:c>
      <x:c r="D581" s="14" t="n">
        <x:v>126474</x:v>
      </x:c>
      <x:c r="E581" s="14" t="n">
        <x:v>686</x:v>
      </x:c>
      <x:c r="F581" s="14" t="n">
        <x:v>147119</x:v>
      </x:c>
      <x:c r="G581" s="14" t="n">
        <x:v>144169</x:v>
      </x:c>
      <x:c r="H581" s="14" t="n">
        <x:f>INT((F581-D581)*(A581-C581)/(E581-C581))+D581</x:f>
        <x:v>144169</x:v>
      </x:c>
      <x:c r="I581" s="68" t="n">
        <x:f>H581-G581</x:f>
        <x:v>0</x:v>
      </x:c>
      <x:c r="J581" s="14" t="n">
        <x:v>938580</x:v>
      </x:c>
      <x:c r="K581" s="14" t="n">
        <x:f>INT(H581*'공식·설정'!$B$10/'공식·설정'!$B$15)</x:f>
        <x:v>938580</x:v>
      </x:c>
      <x:c r="L581" s="68" t="n">
        <x:f>K581-J581</x:f>
        <x:v>0</x:v>
      </x:c>
      <x:c r="M581" s="65" t="n">
        <x:f>J581/'공식·설정'!$B$7</x:f>
        <x:v>3666.328125</x:v>
      </x:c>
      <x:c r="N581" s="65" t="n">
        <x:f>K581/'공식·설정'!$B$7</x:f>
        <x:v>3666.328125</x:v>
      </x:c>
      <x:c r="O581" s="14" t="n">
        <x:v>367</x:v>
      </x:c>
      <x:c r="P581" s="14" t="n">
        <x:f>MIN(32767,MAX(0,INT((K581+INT('공식·설정'!$B$12/2))/'공식·설정'!$B$12)))</x:f>
        <x:v>367</x:v>
      </x:c>
      <x:c r="Q581" s="68" t="n">
        <x:f>P581-O581</x:f>
        <x:v>0</x:v>
      </x:c>
      <x:c r="R581" s="14" t="n">
        <x:v>947968</x:v>
      </x:c>
      <x:c r="S581" s="14" t="n">
        <x:f>P581*'공식·설정'!$B$12+'공식·설정'!$B$14</x:f>
        <x:v>947968</x:v>
      </x:c>
      <x:c r="T581" s="68" t="n">
        <x:f>S581-R581</x:f>
        <x:v>0</x:v>
      </x:c>
      <x:c r="U581" s="65" t="n">
        <x:f>R581/'공식·설정'!$B$7</x:f>
        <x:v>3703</x:v>
      </x:c>
      <x:c r="V581" s="65" t="n">
        <x:f>S581/'공식·설정'!$B$7</x:f>
        <x:v>3703</x:v>
      </x:c>
      <x:c r="W581" s="14" t="n">
        <x:v>670</x:v>
      </x:c>
      <x:c r="X581" s="14" t="n">
        <x:f>INT(ABS(K582-K581)*'공식·설정'!$B$8/K581)</x:f>
        <x:v>670</x:v>
      </x:c>
      <x:c r="Y581" s="68" t="n">
        <x:f>X581-W581</x:f>
        <x:v>0</x:v>
      </x:c>
      <x:c r="Z581" s="66" t="n">
        <x:f>W581/'공식·설정'!$B$8</x:f>
        <x:v>0.010223388671875</x:v>
      </x:c>
      <x:c r="AA581" s="66" t="n">
        <x:f>X581/'공식·설정'!$B$8</x:f>
        <x:v>0.010223388671875</x:v>
      </x:c>
      <x:c r="AB581" s="67" t="str">
        <x:f>IF(AND(I581=0,L581=0,Q581=0,T581=0,Y581=0),"PASS","FAIL")</x:f>
        <x:v>PASS</x:v>
      </x:c>
    </x:row>
    <x:row r="582" ht="18" customHeight="1">
      <x:c r="A582" s="14" t="n">
        <x:v>685</x:v>
      </x:c>
      <x:c r="B582" s="14" t="n">
        <x:v>577</x:v>
      </x:c>
      <x:c r="C582" s="14" t="n">
        <x:v>672</x:v>
      </x:c>
      <x:c r="D582" s="14" t="n">
        <x:v>126474</x:v>
      </x:c>
      <x:c r="E582" s="14" t="n">
        <x:v>686</x:v>
      </x:c>
      <x:c r="F582" s="14" t="n">
        <x:v>147119</x:v>
      </x:c>
      <x:c r="G582" s="14" t="n">
        <x:v>145644</x:v>
      </x:c>
      <x:c r="H582" s="14" t="n">
        <x:f>INT((F582-D582)*(A582-C582)/(E582-C582))+D582</x:f>
        <x:v>145644</x:v>
      </x:c>
      <x:c r="I582" s="68" t="n">
        <x:f>H582-G582</x:f>
        <x:v>0</x:v>
      </x:c>
      <x:c r="J582" s="14" t="n">
        <x:v>948183</x:v>
      </x:c>
      <x:c r="K582" s="14" t="n">
        <x:f>INT(H582*'공식·설정'!$B$10/'공식·설정'!$B$15)</x:f>
        <x:v>948183</x:v>
      </x:c>
      <x:c r="L582" s="68" t="n">
        <x:f>K582-J582</x:f>
        <x:v>0</x:v>
      </x:c>
      <x:c r="M582" s="65" t="n">
        <x:f>J582/'공식·설정'!$B$7</x:f>
        <x:v>3703.83984375</x:v>
      </x:c>
      <x:c r="N582" s="65" t="n">
        <x:f>K582/'공식·설정'!$B$7</x:f>
        <x:v>3703.83984375</x:v>
      </x:c>
      <x:c r="O582" s="14" t="n">
        <x:v>370</x:v>
      </x:c>
      <x:c r="P582" s="14" t="n">
        <x:f>MIN(32767,MAX(0,INT((K582+INT('공식·설정'!$B$12/2))/'공식·설정'!$B$12)))</x:f>
        <x:v>370</x:v>
      </x:c>
      <x:c r="Q582" s="68" t="n">
        <x:f>P582-O582</x:f>
        <x:v>0</x:v>
      </x:c>
      <x:c r="R582" s="14" t="n">
        <x:v>955648</x:v>
      </x:c>
      <x:c r="S582" s="14" t="n">
        <x:f>P582*'공식·설정'!$B$12+'공식·설정'!$B$14</x:f>
        <x:v>955648</x:v>
      </x:c>
      <x:c r="T582" s="68" t="n">
        <x:f>S582-R582</x:f>
        <x:v>0</x:v>
      </x:c>
      <x:c r="U582" s="65" t="n">
        <x:f>R582/'공식·설정'!$B$7</x:f>
        <x:v>3733</x:v>
      </x:c>
      <x:c r="V582" s="65" t="n">
        <x:f>S582/'공식·설정'!$B$7</x:f>
        <x:v>3733</x:v>
      </x:c>
      <x:c r="W582" s="14" t="n">
        <x:v>663</x:v>
      </x:c>
      <x:c r="X582" s="14" t="n">
        <x:f>INT(ABS(K583-K582)*'공식·설정'!$B$8/K582)</x:f>
        <x:v>663</x:v>
      </x:c>
      <x:c r="Y582" s="68" t="n">
        <x:f>X582-W582</x:f>
        <x:v>0</x:v>
      </x:c>
      <x:c r="Z582" s="66" t="n">
        <x:f>W582/'공식·설정'!$B$8</x:f>
        <x:v>0.0101165771484375</x:v>
      </x:c>
      <x:c r="AA582" s="66" t="n">
        <x:f>X582/'공식·설정'!$B$8</x:f>
        <x:v>0.0101165771484375</x:v>
      </x:c>
      <x:c r="AB582" s="67" t="str">
        <x:f>IF(AND(I582=0,L582=0,Q582=0,T582=0,Y582=0),"PASS","FAIL")</x:f>
        <x:v>PASS</x:v>
      </x:c>
    </x:row>
    <x:row r="583" ht="18" customHeight="1">
      <x:c r="A583" s="14" t="n">
        <x:v>686</x:v>
      </x:c>
      <x:c r="B583" s="14" t="n">
        <x:v>578</x:v>
      </x:c>
      <x:c r="C583" s="14" t="n">
        <x:v>686</x:v>
      </x:c>
      <x:c r="D583" s="14" t="n">
        <x:v>147119</x:v>
      </x:c>
      <x:c r="E583" s="14" t="n">
        <x:v>700</x:v>
      </x:c>
      <x:c r="F583" s="14" t="n">
        <x:v>171132</x:v>
      </x:c>
      <x:c r="G583" s="14" t="n">
        <x:v>147119</x:v>
      </x:c>
      <x:c r="H583" s="14" t="n">
        <x:f>INT((F583-D583)*(A583-C583)/(E583-C583))+D583</x:f>
        <x:v>147119</x:v>
      </x:c>
      <x:c r="I583" s="68" t="n">
        <x:f>H583-G583</x:f>
        <x:v>0</x:v>
      </x:c>
      <x:c r="J583" s="14" t="n">
        <x:v>957786</x:v>
      </x:c>
      <x:c r="K583" s="14" t="n">
        <x:f>INT(H583*'공식·설정'!$B$10/'공식·설정'!$B$15)</x:f>
        <x:v>957786</x:v>
      </x:c>
      <x:c r="L583" s="68" t="n">
        <x:f>K583-J583</x:f>
        <x:v>0</x:v>
      </x:c>
      <x:c r="M583" s="65" t="n">
        <x:f>J583/'공식·설정'!$B$7</x:f>
        <x:v>3741.3515625</x:v>
      </x:c>
      <x:c r="N583" s="65" t="n">
        <x:f>K583/'공식·설정'!$B$7</x:f>
        <x:v>3741.3515625</x:v>
      </x:c>
      <x:c r="O583" s="14" t="n">
        <x:v>374</x:v>
      </x:c>
      <x:c r="P583" s="14" t="n">
        <x:f>MIN(32767,MAX(0,INT((K583+INT('공식·설정'!$B$12/2))/'공식·설정'!$B$12)))</x:f>
        <x:v>374</x:v>
      </x:c>
      <x:c r="Q583" s="68" t="n">
        <x:f>P583-O583</x:f>
        <x:v>0</x:v>
      </x:c>
      <x:c r="R583" s="14" t="n">
        <x:v>965888</x:v>
      </x:c>
      <x:c r="S583" s="14" t="n">
        <x:f>P583*'공식·설정'!$B$12+'공식·설정'!$B$14</x:f>
        <x:v>965888</x:v>
      </x:c>
      <x:c r="T583" s="68" t="n">
        <x:f>S583-R583</x:f>
        <x:v>0</x:v>
      </x:c>
      <x:c r="U583" s="65" t="n">
        <x:f>R583/'공식·설정'!$B$7</x:f>
        <x:v>3773</x:v>
      </x:c>
      <x:c r="V583" s="65" t="n">
        <x:f>S583/'공식·설정'!$B$7</x:f>
        <x:v>3773</x:v>
      </x:c>
      <x:c r="W583" s="14" t="n">
        <x:v>763</x:v>
      </x:c>
      <x:c r="X583" s="14" t="n">
        <x:f>INT(ABS(K584-K583)*'공식·설정'!$B$8/K583)</x:f>
        <x:v>763</x:v>
      </x:c>
      <x:c r="Y583" s="68" t="n">
        <x:f>X583-W583</x:f>
        <x:v>0</x:v>
      </x:c>
      <x:c r="Z583" s="66" t="n">
        <x:f>W583/'공식·설정'!$B$8</x:f>
        <x:v>0.0116424560546875</x:v>
      </x:c>
      <x:c r="AA583" s="66" t="n">
        <x:f>X583/'공식·설정'!$B$8</x:f>
        <x:v>0.0116424560546875</x:v>
      </x:c>
      <x:c r="AB583" s="67" t="str">
        <x:f>IF(AND(I583=0,L583=0,Q583=0,T583=0,Y583=0),"PASS","FAIL")</x:f>
        <x:v>PASS</x:v>
      </x:c>
    </x:row>
    <x:row r="584" ht="18" customHeight="1">
      <x:c r="A584" s="14" t="n">
        <x:v>687</x:v>
      </x:c>
      <x:c r="B584" s="14" t="n">
        <x:v>579</x:v>
      </x:c>
      <x:c r="C584" s="14" t="n">
        <x:v>686</x:v>
      </x:c>
      <x:c r="D584" s="14" t="n">
        <x:v>147119</x:v>
      </x:c>
      <x:c r="E584" s="14" t="n">
        <x:v>700</x:v>
      </x:c>
      <x:c r="F584" s="14" t="n">
        <x:v>171132</x:v>
      </x:c>
      <x:c r="G584" s="14" t="n">
        <x:v>148834</x:v>
      </x:c>
      <x:c r="H584" s="14" t="n">
        <x:f>INT((F584-D584)*(A584-C584)/(E584-C584))+D584</x:f>
        <x:v>148834</x:v>
      </x:c>
      <x:c r="I584" s="68" t="n">
        <x:f>H584-G584</x:f>
        <x:v>0</x:v>
      </x:c>
      <x:c r="J584" s="14" t="n">
        <x:v>968951</x:v>
      </x:c>
      <x:c r="K584" s="14" t="n">
        <x:f>INT(H584*'공식·설정'!$B$10/'공식·설정'!$B$15)</x:f>
        <x:v>968951</x:v>
      </x:c>
      <x:c r="L584" s="68" t="n">
        <x:f>K584-J584</x:f>
        <x:v>0</x:v>
      </x:c>
      <x:c r="M584" s="65" t="n">
        <x:f>J584/'공식·설정'!$B$7</x:f>
        <x:v>3784.96484375</x:v>
      </x:c>
      <x:c r="N584" s="65" t="n">
        <x:f>K584/'공식·설정'!$B$7</x:f>
        <x:v>3784.96484375</x:v>
      </x:c>
      <x:c r="O584" s="14" t="n">
        <x:v>378</x:v>
      </x:c>
      <x:c r="P584" s="14" t="n">
        <x:f>MIN(32767,MAX(0,INT((K584+INT('공식·설정'!$B$12/2))/'공식·설정'!$B$12)))</x:f>
        <x:v>378</x:v>
      </x:c>
      <x:c r="Q584" s="68" t="n">
        <x:f>P584-O584</x:f>
        <x:v>0</x:v>
      </x:c>
      <x:c r="R584" s="14" t="n">
        <x:v>976128</x:v>
      </x:c>
      <x:c r="S584" s="14" t="n">
        <x:f>P584*'공식·설정'!$B$12+'공식·설정'!$B$14</x:f>
        <x:v>976128</x:v>
      </x:c>
      <x:c r="T584" s="68" t="n">
        <x:f>S584-R584</x:f>
        <x:v>0</x:v>
      </x:c>
      <x:c r="U584" s="65" t="n">
        <x:f>R584/'공식·설정'!$B$7</x:f>
        <x:v>3813</x:v>
      </x:c>
      <x:c r="V584" s="65" t="n">
        <x:f>S584/'공식·설정'!$B$7</x:f>
        <x:v>3813</x:v>
      </x:c>
      <x:c r="W584" s="14" t="n">
        <x:v>755</x:v>
      </x:c>
      <x:c r="X584" s="14" t="n">
        <x:f>INT(ABS(K585-K584)*'공식·설정'!$B$8/K584)</x:f>
        <x:v>755</x:v>
      </x:c>
      <x:c r="Y584" s="68" t="n">
        <x:f>X584-W584</x:f>
        <x:v>0</x:v>
      </x:c>
      <x:c r="Z584" s="66" t="n">
        <x:f>W584/'공식·설정'!$B$8</x:f>
        <x:v>0.0115203857421875</x:v>
      </x:c>
      <x:c r="AA584" s="66" t="n">
        <x:f>X584/'공식·설정'!$B$8</x:f>
        <x:v>0.0115203857421875</x:v>
      </x:c>
      <x:c r="AB584" s="67" t="str">
        <x:f>IF(AND(I584=0,L584=0,Q584=0,T584=0,Y584=0),"PASS","FAIL")</x:f>
        <x:v>PASS</x:v>
      </x:c>
    </x:row>
    <x:row r="585" ht="18" customHeight="1">
      <x:c r="A585" s="14" t="n">
        <x:v>688</x:v>
      </x:c>
      <x:c r="B585" s="14" t="n">
        <x:v>580</x:v>
      </x:c>
      <x:c r="C585" s="14" t="n">
        <x:v>686</x:v>
      </x:c>
      <x:c r="D585" s="14" t="n">
        <x:v>147119</x:v>
      </x:c>
      <x:c r="E585" s="14" t="n">
        <x:v>700</x:v>
      </x:c>
      <x:c r="F585" s="14" t="n">
        <x:v>171132</x:v>
      </x:c>
      <x:c r="G585" s="14" t="n">
        <x:v>150549</x:v>
      </x:c>
      <x:c r="H585" s="14" t="n">
        <x:f>INT((F585-D585)*(A585-C585)/(E585-C585))+D585</x:f>
        <x:v>150549</x:v>
      </x:c>
      <x:c r="I585" s="68" t="n">
        <x:f>H585-G585</x:f>
        <x:v>0</x:v>
      </x:c>
      <x:c r="J585" s="14" t="n">
        <x:v>980116</x:v>
      </x:c>
      <x:c r="K585" s="14" t="n">
        <x:f>INT(H585*'공식·설정'!$B$10/'공식·설정'!$B$15)</x:f>
        <x:v>980116</x:v>
      </x:c>
      <x:c r="L585" s="68" t="n">
        <x:f>K585-J585</x:f>
        <x:v>0</x:v>
      </x:c>
      <x:c r="M585" s="65" t="n">
        <x:f>J585/'공식·설정'!$B$7</x:f>
        <x:v>3828.578125</x:v>
      </x:c>
      <x:c r="N585" s="65" t="n">
        <x:f>K585/'공식·설정'!$B$7</x:f>
        <x:v>3828.578125</x:v>
      </x:c>
      <x:c r="O585" s="14" t="n">
        <x:v>383</x:v>
      </x:c>
      <x:c r="P585" s="14" t="n">
        <x:f>MIN(32767,MAX(0,INT((K585+INT('공식·설정'!$B$12/2))/'공식·설정'!$B$12)))</x:f>
        <x:v>383</x:v>
      </x:c>
      <x:c r="Q585" s="68" t="n">
        <x:f>P585-O585</x:f>
        <x:v>0</x:v>
      </x:c>
      <x:c r="R585" s="14" t="n">
        <x:v>988928</x:v>
      </x:c>
      <x:c r="S585" s="14" t="n">
        <x:f>P585*'공식·설정'!$B$12+'공식·설정'!$B$14</x:f>
        <x:v>988928</x:v>
      </x:c>
      <x:c r="T585" s="68" t="n">
        <x:f>S585-R585</x:f>
        <x:v>0</x:v>
      </x:c>
      <x:c r="U585" s="65" t="n">
        <x:f>R585/'공식·설정'!$B$7</x:f>
        <x:v>3863</x:v>
      </x:c>
      <x:c r="V585" s="65" t="n">
        <x:f>S585/'공식·설정'!$B$7</x:f>
        <x:v>3863</x:v>
      </x:c>
      <x:c r="W585" s="14" t="n">
        <x:v>746</x:v>
      </x:c>
      <x:c r="X585" s="14" t="n">
        <x:f>INT(ABS(K586-K585)*'공식·설정'!$B$8/K585)</x:f>
        <x:v>746</x:v>
      </x:c>
      <x:c r="Y585" s="68" t="n">
        <x:f>X585-W585</x:f>
        <x:v>0</x:v>
      </x:c>
      <x:c r="Z585" s="66" t="n">
        <x:f>W585/'공식·설정'!$B$8</x:f>
        <x:v>0.011383056640625</x:v>
      </x:c>
      <x:c r="AA585" s="66" t="n">
        <x:f>X585/'공식·설정'!$B$8</x:f>
        <x:v>0.011383056640625</x:v>
      </x:c>
      <x:c r="AB585" s="67" t="str">
        <x:f>IF(AND(I585=0,L585=0,Q585=0,T585=0,Y585=0),"PASS","FAIL")</x:f>
        <x:v>PASS</x:v>
      </x:c>
    </x:row>
    <x:row r="586" ht="18" customHeight="1">
      <x:c r="A586" s="14" t="n">
        <x:v>689</x:v>
      </x:c>
      <x:c r="B586" s="14" t="n">
        <x:v>581</x:v>
      </x:c>
      <x:c r="C586" s="14" t="n">
        <x:v>686</x:v>
      </x:c>
      <x:c r="D586" s="14" t="n">
        <x:v>147119</x:v>
      </x:c>
      <x:c r="E586" s="14" t="n">
        <x:v>700</x:v>
      </x:c>
      <x:c r="F586" s="14" t="n">
        <x:v>171132</x:v>
      </x:c>
      <x:c r="G586" s="14" t="n">
        <x:v>152264</x:v>
      </x:c>
      <x:c r="H586" s="14" t="n">
        <x:f>INT((F586-D586)*(A586-C586)/(E586-C586))+D586</x:f>
        <x:v>152264</x:v>
      </x:c>
      <x:c r="I586" s="68" t="n">
        <x:f>H586-G586</x:f>
        <x:v>0</x:v>
      </x:c>
      <x:c r="J586" s="14" t="n">
        <x:v>991281</x:v>
      </x:c>
      <x:c r="K586" s="14" t="n">
        <x:f>INT(H586*'공식·설정'!$B$10/'공식·설정'!$B$15)</x:f>
        <x:v>991281</x:v>
      </x:c>
      <x:c r="L586" s="68" t="n">
        <x:f>K586-J586</x:f>
        <x:v>0</x:v>
      </x:c>
      <x:c r="M586" s="65" t="n">
        <x:f>J586/'공식·설정'!$B$7</x:f>
        <x:v>3872.19140625</x:v>
      </x:c>
      <x:c r="N586" s="65" t="n">
        <x:f>K586/'공식·설정'!$B$7</x:f>
        <x:v>3872.19140625</x:v>
      </x:c>
      <x:c r="O586" s="14" t="n">
        <x:v>387</x:v>
      </x:c>
      <x:c r="P586" s="14" t="n">
        <x:f>MIN(32767,MAX(0,INT((K586+INT('공식·설정'!$B$12/2))/'공식·설정'!$B$12)))</x:f>
        <x:v>387</x:v>
      </x:c>
      <x:c r="Q586" s="68" t="n">
        <x:f>P586-O586</x:f>
        <x:v>0</x:v>
      </x:c>
      <x:c r="R586" s="14" t="n">
        <x:v>999168</x:v>
      </x:c>
      <x:c r="S586" s="14" t="n">
        <x:f>P586*'공식·설정'!$B$12+'공식·설정'!$B$14</x:f>
        <x:v>999168</x:v>
      </x:c>
      <x:c r="T586" s="68" t="n">
        <x:f>S586-R586</x:f>
        <x:v>0</x:v>
      </x:c>
      <x:c r="U586" s="65" t="n">
        <x:f>R586/'공식·설정'!$B$7</x:f>
        <x:v>3903</x:v>
      </x:c>
      <x:c r="V586" s="65" t="n">
        <x:f>S586/'공식·설정'!$B$7</x:f>
        <x:v>3903</x:v>
      </x:c>
      <x:c r="W586" s="14" t="n">
        <x:v>738</x:v>
      </x:c>
      <x:c r="X586" s="14" t="n">
        <x:f>INT(ABS(K587-K586)*'공식·설정'!$B$8/K586)</x:f>
        <x:v>738</x:v>
      </x:c>
      <x:c r="Y586" s="68" t="n">
        <x:f>X586-W586</x:f>
        <x:v>0</x:v>
      </x:c>
      <x:c r="Z586" s="66" t="n">
        <x:f>W586/'공식·설정'!$B$8</x:f>
        <x:v>0.011260986328125</x:v>
      </x:c>
      <x:c r="AA586" s="66" t="n">
        <x:f>X586/'공식·설정'!$B$8</x:f>
        <x:v>0.011260986328125</x:v>
      </x:c>
      <x:c r="AB586" s="67" t="str">
        <x:f>IF(AND(I586=0,L586=0,Q586=0,T586=0,Y586=0),"PASS","FAIL")</x:f>
        <x:v>PASS</x:v>
      </x:c>
    </x:row>
    <x:row r="587" ht="18" customHeight="1">
      <x:c r="A587" s="14" t="n">
        <x:v>690</x:v>
      </x:c>
      <x:c r="B587" s="14" t="n">
        <x:v>582</x:v>
      </x:c>
      <x:c r="C587" s="14" t="n">
        <x:v>686</x:v>
      </x:c>
      <x:c r="D587" s="14" t="n">
        <x:v>147119</x:v>
      </x:c>
      <x:c r="E587" s="14" t="n">
        <x:v>700</x:v>
      </x:c>
      <x:c r="F587" s="14" t="n">
        <x:v>171132</x:v>
      </x:c>
      <x:c r="G587" s="14" t="n">
        <x:v>153979</x:v>
      </x:c>
      <x:c r="H587" s="14" t="n">
        <x:f>INT((F587-D587)*(A587-C587)/(E587-C587))+D587</x:f>
        <x:v>153979</x:v>
      </x:c>
      <x:c r="I587" s="68" t="n">
        <x:f>H587-G587</x:f>
        <x:v>0</x:v>
      </x:c>
      <x:c r="J587" s="14" t="n">
        <x:v>1002446</x:v>
      </x:c>
      <x:c r="K587" s="14" t="n">
        <x:f>INT(H587*'공식·설정'!$B$10/'공식·설정'!$B$15)</x:f>
        <x:v>1002446</x:v>
      </x:c>
      <x:c r="L587" s="68" t="n">
        <x:f>K587-J587</x:f>
        <x:v>0</x:v>
      </x:c>
      <x:c r="M587" s="65" t="n">
        <x:f>J587/'공식·설정'!$B$7</x:f>
        <x:v>3915.8046875</x:v>
      </x:c>
      <x:c r="N587" s="65" t="n">
        <x:f>K587/'공식·설정'!$B$7</x:f>
        <x:v>3915.8046875</x:v>
      </x:c>
      <x:c r="O587" s="14" t="n">
        <x:v>392</x:v>
      </x:c>
      <x:c r="P587" s="14" t="n">
        <x:f>MIN(32767,MAX(0,INT((K587+INT('공식·설정'!$B$12/2))/'공식·설정'!$B$12)))</x:f>
        <x:v>392</x:v>
      </x:c>
      <x:c r="Q587" s="68" t="n">
        <x:f>P587-O587</x:f>
        <x:v>0</x:v>
      </x:c>
      <x:c r="R587" s="14" t="n">
        <x:v>1011968</x:v>
      </x:c>
      <x:c r="S587" s="14" t="n">
        <x:f>P587*'공식·설정'!$B$12+'공식·설정'!$B$14</x:f>
        <x:v>1011968</x:v>
      </x:c>
      <x:c r="T587" s="68" t="n">
        <x:f>S587-R587</x:f>
        <x:v>0</x:v>
      </x:c>
      <x:c r="U587" s="65" t="n">
        <x:f>R587/'공식·설정'!$B$7</x:f>
        <x:v>3953</x:v>
      </x:c>
      <x:c r="V587" s="65" t="n">
        <x:f>S587/'공식·설정'!$B$7</x:f>
        <x:v>3953</x:v>
      </x:c>
      <x:c r="W587" s="14" t="n">
        <x:v>730</x:v>
      </x:c>
      <x:c r="X587" s="14" t="n">
        <x:f>INT(ABS(K588-K587)*'공식·설정'!$B$8/K587)</x:f>
        <x:v>730</x:v>
      </x:c>
      <x:c r="Y587" s="68" t="n">
        <x:f>X587-W587</x:f>
        <x:v>0</x:v>
      </x:c>
      <x:c r="Z587" s="66" t="n">
        <x:f>W587/'공식·설정'!$B$8</x:f>
        <x:v>0.011138916015625</x:v>
      </x:c>
      <x:c r="AA587" s="66" t="n">
        <x:f>X587/'공식·설정'!$B$8</x:f>
        <x:v>0.011138916015625</x:v>
      </x:c>
      <x:c r="AB587" s="67" t="str">
        <x:f>IF(AND(I587=0,L587=0,Q587=0,T587=0,Y587=0),"PASS","FAIL")</x:f>
        <x:v>PASS</x:v>
      </x:c>
    </x:row>
    <x:row r="588" ht="18" customHeight="1">
      <x:c r="A588" s="14" t="n">
        <x:v>691</x:v>
      </x:c>
      <x:c r="B588" s="14" t="n">
        <x:v>583</x:v>
      </x:c>
      <x:c r="C588" s="14" t="n">
        <x:v>686</x:v>
      </x:c>
      <x:c r="D588" s="14" t="n">
        <x:v>147119</x:v>
      </x:c>
      <x:c r="E588" s="14" t="n">
        <x:v>700</x:v>
      </x:c>
      <x:c r="F588" s="14" t="n">
        <x:v>171132</x:v>
      </x:c>
      <x:c r="G588" s="14" t="n">
        <x:v>155695</x:v>
      </x:c>
      <x:c r="H588" s="14" t="n">
        <x:f>INT((F588-D588)*(A588-C588)/(E588-C588))+D588</x:f>
        <x:v>155695</x:v>
      </x:c>
      <x:c r="I588" s="68" t="n">
        <x:f>H588-G588</x:f>
        <x:v>0</x:v>
      </x:c>
      <x:c r="J588" s="14" t="n">
        <x:v>1013618</x:v>
      </x:c>
      <x:c r="K588" s="14" t="n">
        <x:f>INT(H588*'공식·설정'!$B$10/'공식·설정'!$B$15)</x:f>
        <x:v>1013618</x:v>
      </x:c>
      <x:c r="L588" s="68" t="n">
        <x:f>K588-J588</x:f>
        <x:v>0</x:v>
      </x:c>
      <x:c r="M588" s="65" t="n">
        <x:f>J588/'공식·설정'!$B$7</x:f>
        <x:v>3959.4453125</x:v>
      </x:c>
      <x:c r="N588" s="65" t="n">
        <x:f>K588/'공식·설정'!$B$7</x:f>
        <x:v>3959.4453125</x:v>
      </x:c>
      <x:c r="O588" s="14" t="n">
        <x:v>396</x:v>
      </x:c>
      <x:c r="P588" s="14" t="n">
        <x:f>MIN(32767,MAX(0,INT((K588+INT('공식·설정'!$B$12/2))/'공식·설정'!$B$12)))</x:f>
        <x:v>396</x:v>
      </x:c>
      <x:c r="Q588" s="68" t="n">
        <x:f>P588-O588</x:f>
        <x:v>0</x:v>
      </x:c>
      <x:c r="R588" s="14" t="n">
        <x:v>1022208</x:v>
      </x:c>
      <x:c r="S588" s="14" t="n">
        <x:f>P588*'공식·설정'!$B$12+'공식·설정'!$B$14</x:f>
        <x:v>1022208</x:v>
      </x:c>
      <x:c r="T588" s="68" t="n">
        <x:f>S588-R588</x:f>
        <x:v>0</x:v>
      </x:c>
      <x:c r="U588" s="65" t="n">
        <x:f>R588/'공식·설정'!$B$7</x:f>
        <x:v>3993</x:v>
      </x:c>
      <x:c r="V588" s="65" t="n">
        <x:f>S588/'공식·설정'!$B$7</x:f>
        <x:v>3993</x:v>
      </x:c>
      <x:c r="W588" s="14" t="n">
        <x:v>721</x:v>
      </x:c>
      <x:c r="X588" s="14" t="n">
        <x:f>INT(ABS(K589-K588)*'공식·설정'!$B$8/K588)</x:f>
        <x:v>721</x:v>
      </x:c>
      <x:c r="Y588" s="68" t="n">
        <x:f>X588-W588</x:f>
        <x:v>0</x:v>
      </x:c>
      <x:c r="Z588" s="66" t="n">
        <x:f>W588/'공식·설정'!$B$8</x:f>
        <x:v>0.0110015869140625</x:v>
      </x:c>
      <x:c r="AA588" s="66" t="n">
        <x:f>X588/'공식·설정'!$B$8</x:f>
        <x:v>0.0110015869140625</x:v>
      </x:c>
      <x:c r="AB588" s="67" t="str">
        <x:f>IF(AND(I588=0,L588=0,Q588=0,T588=0,Y588=0),"PASS","FAIL")</x:f>
        <x:v>PASS</x:v>
      </x:c>
    </x:row>
    <x:row r="589" ht="18" customHeight="1">
      <x:c r="A589" s="14" t="n">
        <x:v>692</x:v>
      </x:c>
      <x:c r="B589" s="14" t="n">
        <x:v>584</x:v>
      </x:c>
      <x:c r="C589" s="14" t="n">
        <x:v>686</x:v>
      </x:c>
      <x:c r="D589" s="14" t="n">
        <x:v>147119</x:v>
      </x:c>
      <x:c r="E589" s="14" t="n">
        <x:v>700</x:v>
      </x:c>
      <x:c r="F589" s="14" t="n">
        <x:v>171132</x:v>
      </x:c>
      <x:c r="G589" s="14" t="n">
        <x:v>157410</x:v>
      </x:c>
      <x:c r="H589" s="14" t="n">
        <x:f>INT((F589-D589)*(A589-C589)/(E589-C589))+D589</x:f>
        <x:v>157410</x:v>
      </x:c>
      <x:c r="I589" s="68" t="n">
        <x:f>H589-G589</x:f>
        <x:v>0</x:v>
      </x:c>
      <x:c r="J589" s="14" t="n">
        <x:v>1024783</x:v>
      </x:c>
      <x:c r="K589" s="14" t="n">
        <x:f>INT(H589*'공식·설정'!$B$10/'공식·설정'!$B$15)</x:f>
        <x:v>1024783</x:v>
      </x:c>
      <x:c r="L589" s="68" t="n">
        <x:f>K589-J589</x:f>
        <x:v>0</x:v>
      </x:c>
      <x:c r="M589" s="65" t="n">
        <x:f>J589/'공식·설정'!$B$7</x:f>
        <x:v>4003.05859375</x:v>
      </x:c>
      <x:c r="N589" s="65" t="n">
        <x:f>K589/'공식·설정'!$B$7</x:f>
        <x:v>4003.05859375</x:v>
      </x:c>
      <x:c r="O589" s="14" t="n">
        <x:v>400</x:v>
      </x:c>
      <x:c r="P589" s="14" t="n">
        <x:f>MIN(32767,MAX(0,INT((K589+INT('공식·설정'!$B$12/2))/'공식·설정'!$B$12)))</x:f>
        <x:v>400</x:v>
      </x:c>
      <x:c r="Q589" s="68" t="n">
        <x:f>P589-O589</x:f>
        <x:v>0</x:v>
      </x:c>
      <x:c r="R589" s="14" t="n">
        <x:v>1032448</x:v>
      </x:c>
      <x:c r="S589" s="14" t="n">
        <x:f>P589*'공식·설정'!$B$12+'공식·설정'!$B$14</x:f>
        <x:v>1032448</x:v>
      </x:c>
      <x:c r="T589" s="68" t="n">
        <x:f>S589-R589</x:f>
        <x:v>0</x:v>
      </x:c>
      <x:c r="U589" s="65" t="n">
        <x:f>R589/'공식·설정'!$B$7</x:f>
        <x:v>4033</x:v>
      </x:c>
      <x:c r="V589" s="65" t="n">
        <x:f>S589/'공식·설정'!$B$7</x:f>
        <x:v>4033</x:v>
      </x:c>
      <x:c r="W589" s="14" t="n">
        <x:v>714</x:v>
      </x:c>
      <x:c r="X589" s="14" t="n">
        <x:f>INT(ABS(K590-K589)*'공식·설정'!$B$8/K589)</x:f>
        <x:v>714</x:v>
      </x:c>
      <x:c r="Y589" s="68" t="n">
        <x:f>X589-W589</x:f>
        <x:v>0</x:v>
      </x:c>
      <x:c r="Z589" s="66" t="n">
        <x:f>W589/'공식·설정'!$B$8</x:f>
        <x:v>0.010894775390625</x:v>
      </x:c>
      <x:c r="AA589" s="66" t="n">
        <x:f>X589/'공식·설정'!$B$8</x:f>
        <x:v>0.010894775390625</x:v>
      </x:c>
      <x:c r="AB589" s="67" t="str">
        <x:f>IF(AND(I589=0,L589=0,Q589=0,T589=0,Y589=0),"PASS","FAIL")</x:f>
        <x:v>PASS</x:v>
      </x:c>
    </x:row>
    <x:row r="590" ht="18" customHeight="1">
      <x:c r="A590" s="14" t="n">
        <x:v>693</x:v>
      </x:c>
      <x:c r="B590" s="14" t="n">
        <x:v>585</x:v>
      </x:c>
      <x:c r="C590" s="14" t="n">
        <x:v>686</x:v>
      </x:c>
      <x:c r="D590" s="14" t="n">
        <x:v>147119</x:v>
      </x:c>
      <x:c r="E590" s="14" t="n">
        <x:v>700</x:v>
      </x:c>
      <x:c r="F590" s="14" t="n">
        <x:v>171132</x:v>
      </x:c>
      <x:c r="G590" s="14" t="n">
        <x:v>159125</x:v>
      </x:c>
      <x:c r="H590" s="14" t="n">
        <x:f>INT((F590-D590)*(A590-C590)/(E590-C590))+D590</x:f>
        <x:v>159125</x:v>
      </x:c>
      <x:c r="I590" s="68" t="n">
        <x:f>H590-G590</x:f>
        <x:v>0</x:v>
      </x:c>
      <x:c r="J590" s="14" t="n">
        <x:v>1035948</x:v>
      </x:c>
      <x:c r="K590" s="14" t="n">
        <x:f>INT(H590*'공식·설정'!$B$10/'공식·설정'!$B$15)</x:f>
        <x:v>1035948</x:v>
      </x:c>
      <x:c r="L590" s="68" t="n">
        <x:f>K590-J590</x:f>
        <x:v>0</x:v>
      </x:c>
      <x:c r="M590" s="65" t="n">
        <x:f>J590/'공식·설정'!$B$7</x:f>
        <x:v>4046.671875</x:v>
      </x:c>
      <x:c r="N590" s="65" t="n">
        <x:f>K590/'공식·설정'!$B$7</x:f>
        <x:v>4046.671875</x:v>
      </x:c>
      <x:c r="O590" s="14" t="n">
        <x:v>405</x:v>
      </x:c>
      <x:c r="P590" s="14" t="n">
        <x:f>MIN(32767,MAX(0,INT((K590+INT('공식·설정'!$B$12/2))/'공식·설정'!$B$12)))</x:f>
        <x:v>405</x:v>
      </x:c>
      <x:c r="Q590" s="68" t="n">
        <x:f>P590-O590</x:f>
        <x:v>0</x:v>
      </x:c>
      <x:c r="R590" s="14" t="n">
        <x:v>1045248</x:v>
      </x:c>
      <x:c r="S590" s="14" t="n">
        <x:f>P590*'공식·설정'!$B$12+'공식·설정'!$B$14</x:f>
        <x:v>1045248</x:v>
      </x:c>
      <x:c r="T590" s="68" t="n">
        <x:f>S590-R590</x:f>
        <x:v>0</x:v>
      </x:c>
      <x:c r="U590" s="65" t="n">
        <x:f>R590/'공식·설정'!$B$7</x:f>
        <x:v>4083</x:v>
      </x:c>
      <x:c r="V590" s="65" t="n">
        <x:f>S590/'공식·설정'!$B$7</x:f>
        <x:v>4083</x:v>
      </x:c>
      <x:c r="W590" s="14" t="n">
        <x:v>706</x:v>
      </x:c>
      <x:c r="X590" s="14" t="n">
        <x:f>INT(ABS(K591-K590)*'공식·설정'!$B$8/K590)</x:f>
        <x:v>706</x:v>
      </x:c>
      <x:c r="Y590" s="68" t="n">
        <x:f>X590-W590</x:f>
        <x:v>0</x:v>
      </x:c>
      <x:c r="Z590" s="66" t="n">
        <x:f>W590/'공식·설정'!$B$8</x:f>
        <x:v>0.010772705078125</x:v>
      </x:c>
      <x:c r="AA590" s="66" t="n">
        <x:f>X590/'공식·설정'!$B$8</x:f>
        <x:v>0.010772705078125</x:v>
      </x:c>
      <x:c r="AB590" s="67" t="str">
        <x:f>IF(AND(I590=0,L590=0,Q590=0,T590=0,Y590=0),"PASS","FAIL")</x:f>
        <x:v>PASS</x:v>
      </x:c>
    </x:row>
    <x:row r="591" ht="18" customHeight="1">
      <x:c r="A591" s="14" t="n">
        <x:v>694</x:v>
      </x:c>
      <x:c r="B591" s="14" t="n">
        <x:v>586</x:v>
      </x:c>
      <x:c r="C591" s="14" t="n">
        <x:v>686</x:v>
      </x:c>
      <x:c r="D591" s="14" t="n">
        <x:v>147119</x:v>
      </x:c>
      <x:c r="E591" s="14" t="n">
        <x:v>700</x:v>
      </x:c>
      <x:c r="F591" s="14" t="n">
        <x:v>171132</x:v>
      </x:c>
      <x:c r="G591" s="14" t="n">
        <x:v>160840</x:v>
      </x:c>
      <x:c r="H591" s="14" t="n">
        <x:f>INT((F591-D591)*(A591-C591)/(E591-C591))+D591</x:f>
        <x:v>160840</x:v>
      </x:c>
      <x:c r="I591" s="68" t="n">
        <x:f>H591-G591</x:f>
        <x:v>0</x:v>
      </x:c>
      <x:c r="J591" s="14" t="n">
        <x:v>1047113</x:v>
      </x:c>
      <x:c r="K591" s="14" t="n">
        <x:f>INT(H591*'공식·설정'!$B$10/'공식·설정'!$B$15)</x:f>
        <x:v>1047113</x:v>
      </x:c>
      <x:c r="L591" s="68" t="n">
        <x:f>K591-J591</x:f>
        <x:v>0</x:v>
      </x:c>
      <x:c r="M591" s="65" t="n">
        <x:f>J591/'공식·설정'!$B$7</x:f>
        <x:v>4090.28515625</x:v>
      </x:c>
      <x:c r="N591" s="65" t="n">
        <x:f>K591/'공식·설정'!$B$7</x:f>
        <x:v>4090.28515625</x:v>
      </x:c>
      <x:c r="O591" s="14" t="n">
        <x:v>409</x:v>
      </x:c>
      <x:c r="P591" s="14" t="n">
        <x:f>MIN(32767,MAX(0,INT((K591+INT('공식·설정'!$B$12/2))/'공식·설정'!$B$12)))</x:f>
        <x:v>409</x:v>
      </x:c>
      <x:c r="Q591" s="68" t="n">
        <x:f>P591-O591</x:f>
        <x:v>0</x:v>
      </x:c>
      <x:c r="R591" s="14" t="n">
        <x:v>1055488</x:v>
      </x:c>
      <x:c r="S591" s="14" t="n">
        <x:f>P591*'공식·설정'!$B$12+'공식·설정'!$B$14</x:f>
        <x:v>1055488</x:v>
      </x:c>
      <x:c r="T591" s="68" t="n">
        <x:f>S591-R591</x:f>
        <x:v>0</x:v>
      </x:c>
      <x:c r="U591" s="65" t="n">
        <x:f>R591/'공식·설정'!$B$7</x:f>
        <x:v>4123</x:v>
      </x:c>
      <x:c r="V591" s="65" t="n">
        <x:f>S591/'공식·설정'!$B$7</x:f>
        <x:v>4123</x:v>
      </x:c>
      <x:c r="W591" s="14" t="n">
        <x:v>698</x:v>
      </x:c>
      <x:c r="X591" s="14" t="n">
        <x:f>INT(ABS(K592-K591)*'공식·설정'!$B$8/K591)</x:f>
        <x:v>698</x:v>
      </x:c>
      <x:c r="Y591" s="68" t="n">
        <x:f>X591-W591</x:f>
        <x:v>0</x:v>
      </x:c>
      <x:c r="Z591" s="66" t="n">
        <x:f>W591/'공식·설정'!$B$8</x:f>
        <x:v>0.010650634765625</x:v>
      </x:c>
      <x:c r="AA591" s="66" t="n">
        <x:f>X591/'공식·설정'!$B$8</x:f>
        <x:v>0.010650634765625</x:v>
      </x:c>
      <x:c r="AB591" s="67" t="str">
        <x:f>IF(AND(I591=0,L591=0,Q591=0,T591=0,Y591=0),"PASS","FAIL")</x:f>
        <x:v>PASS</x:v>
      </x:c>
    </x:row>
    <x:row r="592" ht="18" customHeight="1">
      <x:c r="A592" s="14" t="n">
        <x:v>695</x:v>
      </x:c>
      <x:c r="B592" s="14" t="n">
        <x:v>587</x:v>
      </x:c>
      <x:c r="C592" s="14" t="n">
        <x:v>686</x:v>
      </x:c>
      <x:c r="D592" s="14" t="n">
        <x:v>147119</x:v>
      </x:c>
      <x:c r="E592" s="14" t="n">
        <x:v>700</x:v>
      </x:c>
      <x:c r="F592" s="14" t="n">
        <x:v>171132</x:v>
      </x:c>
      <x:c r="G592" s="14" t="n">
        <x:v>162555</x:v>
      </x:c>
      <x:c r="H592" s="14" t="n">
        <x:f>INT((F592-D592)*(A592-C592)/(E592-C592))+D592</x:f>
        <x:v>162555</x:v>
      </x:c>
      <x:c r="I592" s="68" t="n">
        <x:f>H592-G592</x:f>
        <x:v>0</x:v>
      </x:c>
      <x:c r="J592" s="14" t="n">
        <x:v>1058278</x:v>
      </x:c>
      <x:c r="K592" s="14" t="n">
        <x:f>INT(H592*'공식·설정'!$B$10/'공식·설정'!$B$15)</x:f>
        <x:v>1058278</x:v>
      </x:c>
      <x:c r="L592" s="68" t="n">
        <x:f>K592-J592</x:f>
        <x:v>0</x:v>
      </x:c>
      <x:c r="M592" s="65" t="n">
        <x:f>J592/'공식·설정'!$B$7</x:f>
        <x:v>4133.8984375</x:v>
      </x:c>
      <x:c r="N592" s="65" t="n">
        <x:f>K592/'공식·설정'!$B$7</x:f>
        <x:v>4133.8984375</x:v>
      </x:c>
      <x:c r="O592" s="14" t="n">
        <x:v>413</x:v>
      </x:c>
      <x:c r="P592" s="14" t="n">
        <x:f>MIN(32767,MAX(0,INT((K592+INT('공식·설정'!$B$12/2))/'공식·설정'!$B$12)))</x:f>
        <x:v>413</x:v>
      </x:c>
      <x:c r="Q592" s="68" t="n">
        <x:f>P592-O592</x:f>
        <x:v>0</x:v>
      </x:c>
      <x:c r="R592" s="14" t="n">
        <x:v>1065728</x:v>
      </x:c>
      <x:c r="S592" s="14" t="n">
        <x:f>P592*'공식·설정'!$B$12+'공식·설정'!$B$14</x:f>
        <x:v>1065728</x:v>
      </x:c>
      <x:c r="T592" s="68" t="n">
        <x:f>S592-R592</x:f>
        <x:v>0</x:v>
      </x:c>
      <x:c r="U592" s="65" t="n">
        <x:f>R592/'공식·설정'!$B$7</x:f>
        <x:v>4163</x:v>
      </x:c>
      <x:c r="V592" s="65" t="n">
        <x:f>S592/'공식·설정'!$B$7</x:f>
        <x:v>4163</x:v>
      </x:c>
      <x:c r="W592" s="14" t="n">
        <x:v>691</x:v>
      </x:c>
      <x:c r="X592" s="14" t="n">
        <x:f>INT(ABS(K593-K592)*'공식·설정'!$B$8/K592)</x:f>
        <x:v>691</x:v>
      </x:c>
      <x:c r="Y592" s="68" t="n">
        <x:f>X592-W592</x:f>
        <x:v>0</x:v>
      </x:c>
      <x:c r="Z592" s="66" t="n">
        <x:f>W592/'공식·설정'!$B$8</x:f>
        <x:v>0.0105438232421875</x:v>
      </x:c>
      <x:c r="AA592" s="66" t="n">
        <x:f>X592/'공식·설정'!$B$8</x:f>
        <x:v>0.0105438232421875</x:v>
      </x:c>
      <x:c r="AB592" s="67" t="str">
        <x:f>IF(AND(I592=0,L592=0,Q592=0,T592=0,Y592=0),"PASS","FAIL")</x:f>
        <x:v>PASS</x:v>
      </x:c>
    </x:row>
    <x:row r="593" ht="18" customHeight="1">
      <x:c r="A593" s="14" t="n">
        <x:v>696</x:v>
      </x:c>
      <x:c r="B593" s="14" t="n">
        <x:v>588</x:v>
      </x:c>
      <x:c r="C593" s="14" t="n">
        <x:v>686</x:v>
      </x:c>
      <x:c r="D593" s="14" t="n">
        <x:v>147119</x:v>
      </x:c>
      <x:c r="E593" s="14" t="n">
        <x:v>700</x:v>
      </x:c>
      <x:c r="F593" s="14" t="n">
        <x:v>171132</x:v>
      </x:c>
      <x:c r="G593" s="14" t="n">
        <x:v>164271</x:v>
      </x:c>
      <x:c r="H593" s="14" t="n">
        <x:f>INT((F593-D593)*(A593-C593)/(E593-C593))+D593</x:f>
        <x:v>164271</x:v>
      </x:c>
      <x:c r="I593" s="68" t="n">
        <x:f>H593-G593</x:f>
        <x:v>0</x:v>
      </x:c>
      <x:c r="J593" s="14" t="n">
        <x:v>1069450</x:v>
      </x:c>
      <x:c r="K593" s="14" t="n">
        <x:f>INT(H593*'공식·설정'!$B$10/'공식·설정'!$B$15)</x:f>
        <x:v>1069450</x:v>
      </x:c>
      <x:c r="L593" s="68" t="n">
        <x:f>K593-J593</x:f>
        <x:v>0</x:v>
      </x:c>
      <x:c r="M593" s="65" t="n">
        <x:f>J593/'공식·설정'!$B$7</x:f>
        <x:v>4177.5390625</x:v>
      </x:c>
      <x:c r="N593" s="65" t="n">
        <x:f>K593/'공식·설정'!$B$7</x:f>
        <x:v>4177.5390625</x:v>
      </x:c>
      <x:c r="O593" s="14" t="n">
        <x:v>418</x:v>
      </x:c>
      <x:c r="P593" s="14" t="n">
        <x:f>MIN(32767,MAX(0,INT((K593+INT('공식·설정'!$B$12/2))/'공식·설정'!$B$12)))</x:f>
        <x:v>418</x:v>
      </x:c>
      <x:c r="Q593" s="68" t="n">
        <x:f>P593-O593</x:f>
        <x:v>0</x:v>
      </x:c>
      <x:c r="R593" s="14" t="n">
        <x:v>1078528</x:v>
      </x:c>
      <x:c r="S593" s="14" t="n">
        <x:f>P593*'공식·설정'!$B$12+'공식·설정'!$B$14</x:f>
        <x:v>1078528</x:v>
      </x:c>
      <x:c r="T593" s="68" t="n">
        <x:f>S593-R593</x:f>
        <x:v>0</x:v>
      </x:c>
      <x:c r="U593" s="65" t="n">
        <x:f>R593/'공식·설정'!$B$7</x:f>
        <x:v>4213</x:v>
      </x:c>
      <x:c r="V593" s="65" t="n">
        <x:f>S593/'공식·설정'!$B$7</x:f>
        <x:v>4213</x:v>
      </x:c>
      <x:c r="W593" s="14" t="n">
        <x:v>684</x:v>
      </x:c>
      <x:c r="X593" s="14" t="n">
        <x:f>INT(ABS(K594-K593)*'공식·설정'!$B$8/K593)</x:f>
        <x:v>684</x:v>
      </x:c>
      <x:c r="Y593" s="68" t="n">
        <x:f>X593-W593</x:f>
        <x:v>0</x:v>
      </x:c>
      <x:c r="Z593" s="66" t="n">
        <x:f>W593/'공식·설정'!$B$8</x:f>
        <x:v>0.01043701171875</x:v>
      </x:c>
      <x:c r="AA593" s="66" t="n">
        <x:f>X593/'공식·설정'!$B$8</x:f>
        <x:v>0.01043701171875</x:v>
      </x:c>
      <x:c r="AB593" s="67" t="str">
        <x:f>IF(AND(I593=0,L593=0,Q593=0,T593=0,Y593=0),"PASS","FAIL")</x:f>
        <x:v>PASS</x:v>
      </x:c>
    </x:row>
    <x:row r="594" ht="18" customHeight="1">
      <x:c r="A594" s="14" t="n">
        <x:v>697</x:v>
      </x:c>
      <x:c r="B594" s="14" t="n">
        <x:v>589</x:v>
      </x:c>
      <x:c r="C594" s="14" t="n">
        <x:v>686</x:v>
      </x:c>
      <x:c r="D594" s="14" t="n">
        <x:v>147119</x:v>
      </x:c>
      <x:c r="E594" s="14" t="n">
        <x:v>700</x:v>
      </x:c>
      <x:c r="F594" s="14" t="n">
        <x:v>171132</x:v>
      </x:c>
      <x:c r="G594" s="14" t="n">
        <x:v>165986</x:v>
      </x:c>
      <x:c r="H594" s="14" t="n">
        <x:f>INT((F594-D594)*(A594-C594)/(E594-C594))+D594</x:f>
        <x:v>165986</x:v>
      </x:c>
      <x:c r="I594" s="68" t="n">
        <x:f>H594-G594</x:f>
        <x:v>0</x:v>
      </x:c>
      <x:c r="J594" s="14" t="n">
        <x:v>1080615</x:v>
      </x:c>
      <x:c r="K594" s="14" t="n">
        <x:f>INT(H594*'공식·설정'!$B$10/'공식·설정'!$B$15)</x:f>
        <x:v>1080615</x:v>
      </x:c>
      <x:c r="L594" s="68" t="n">
        <x:f>K594-J594</x:f>
        <x:v>0</x:v>
      </x:c>
      <x:c r="M594" s="65" t="n">
        <x:f>J594/'공식·설정'!$B$7</x:f>
        <x:v>4221.15234375</x:v>
      </x:c>
      <x:c r="N594" s="65" t="n">
        <x:f>K594/'공식·설정'!$B$7</x:f>
        <x:v>4221.15234375</x:v>
      </x:c>
      <x:c r="O594" s="14" t="n">
        <x:v>422</x:v>
      </x:c>
      <x:c r="P594" s="14" t="n">
        <x:f>MIN(32767,MAX(0,INT((K594+INT('공식·설정'!$B$12/2))/'공식·설정'!$B$12)))</x:f>
        <x:v>422</x:v>
      </x:c>
      <x:c r="Q594" s="68" t="n">
        <x:f>P594-O594</x:f>
        <x:v>0</x:v>
      </x:c>
      <x:c r="R594" s="14" t="n">
        <x:v>1088768</x:v>
      </x:c>
      <x:c r="S594" s="14" t="n">
        <x:f>P594*'공식·설정'!$B$12+'공식·설정'!$B$14</x:f>
        <x:v>1088768</x:v>
      </x:c>
      <x:c r="T594" s="68" t="n">
        <x:f>S594-R594</x:f>
        <x:v>0</x:v>
      </x:c>
      <x:c r="U594" s="65" t="n">
        <x:f>R594/'공식·설정'!$B$7</x:f>
        <x:v>4253</x:v>
      </x:c>
      <x:c r="V594" s="65" t="n">
        <x:f>S594/'공식·설정'!$B$7</x:f>
        <x:v>4253</x:v>
      </x:c>
      <x:c r="W594" s="14" t="n">
        <x:v>677</x:v>
      </x:c>
      <x:c r="X594" s="14" t="n">
        <x:f>INT(ABS(K595-K594)*'공식·설정'!$B$8/K594)</x:f>
        <x:v>677</x:v>
      </x:c>
      <x:c r="Y594" s="68" t="n">
        <x:f>X594-W594</x:f>
        <x:v>0</x:v>
      </x:c>
      <x:c r="Z594" s="66" t="n">
        <x:f>W594/'공식·설정'!$B$8</x:f>
        <x:v>0.0103302001953125</x:v>
      </x:c>
      <x:c r="AA594" s="66" t="n">
        <x:f>X594/'공식·설정'!$B$8</x:f>
        <x:v>0.0103302001953125</x:v>
      </x:c>
      <x:c r="AB594" s="67" t="str">
        <x:f>IF(AND(I594=0,L594=0,Q594=0,T594=0,Y594=0),"PASS","FAIL")</x:f>
        <x:v>PASS</x:v>
      </x:c>
    </x:row>
    <x:row r="595" ht="18" customHeight="1">
      <x:c r="A595" s="14" t="n">
        <x:v>698</x:v>
      </x:c>
      <x:c r="B595" s="14" t="n">
        <x:v>590</x:v>
      </x:c>
      <x:c r="C595" s="14" t="n">
        <x:v>686</x:v>
      </x:c>
      <x:c r="D595" s="14" t="n">
        <x:v>147119</x:v>
      </x:c>
      <x:c r="E595" s="14" t="n">
        <x:v>700</x:v>
      </x:c>
      <x:c r="F595" s="14" t="n">
        <x:v>171132</x:v>
      </x:c>
      <x:c r="G595" s="14" t="n">
        <x:v>167701</x:v>
      </x:c>
      <x:c r="H595" s="14" t="n">
        <x:f>INT((F595-D595)*(A595-C595)/(E595-C595))+D595</x:f>
        <x:v>167701</x:v>
      </x:c>
      <x:c r="I595" s="68" t="n">
        <x:f>H595-G595</x:f>
        <x:v>0</x:v>
      </x:c>
      <x:c r="J595" s="14" t="n">
        <x:v>1091780</x:v>
      </x:c>
      <x:c r="K595" s="14" t="n">
        <x:f>INT(H595*'공식·설정'!$B$10/'공식·설정'!$B$15)</x:f>
        <x:v>1091780</x:v>
      </x:c>
      <x:c r="L595" s="68" t="n">
        <x:f>K595-J595</x:f>
        <x:v>0</x:v>
      </x:c>
      <x:c r="M595" s="65" t="n">
        <x:f>J595/'공식·설정'!$B$7</x:f>
        <x:v>4264.765625</x:v>
      </x:c>
      <x:c r="N595" s="65" t="n">
        <x:f>K595/'공식·설정'!$B$7</x:f>
        <x:v>4264.765625</x:v>
      </x:c>
      <x:c r="O595" s="14" t="n">
        <x:v>426</x:v>
      </x:c>
      <x:c r="P595" s="14" t="n">
        <x:f>MIN(32767,MAX(0,INT((K595+INT('공식·설정'!$B$12/2))/'공식·설정'!$B$12)))</x:f>
        <x:v>426</x:v>
      </x:c>
      <x:c r="Q595" s="68" t="n">
        <x:f>P595-O595</x:f>
        <x:v>0</x:v>
      </x:c>
      <x:c r="R595" s="14" t="n">
        <x:v>1099008</x:v>
      </x:c>
      <x:c r="S595" s="14" t="n">
        <x:f>P595*'공식·설정'!$B$12+'공식·설정'!$B$14</x:f>
        <x:v>1099008</x:v>
      </x:c>
      <x:c r="T595" s="68" t="n">
        <x:f>S595-R595</x:f>
        <x:v>0</x:v>
      </x:c>
      <x:c r="U595" s="65" t="n">
        <x:f>R595/'공식·설정'!$B$7</x:f>
        <x:v>4293</x:v>
      </x:c>
      <x:c r="V595" s="65" t="n">
        <x:f>S595/'공식·설정'!$B$7</x:f>
        <x:v>4293</x:v>
      </x:c>
      <x:c r="W595" s="14" t="n">
        <x:v>670</x:v>
      </x:c>
      <x:c r="X595" s="14" t="n">
        <x:f>INT(ABS(K596-K595)*'공식·설정'!$B$8/K595)</x:f>
        <x:v>670</x:v>
      </x:c>
      <x:c r="Y595" s="68" t="n">
        <x:f>X595-W595</x:f>
        <x:v>0</x:v>
      </x:c>
      <x:c r="Z595" s="66" t="n">
        <x:f>W595/'공식·설정'!$B$8</x:f>
        <x:v>0.010223388671875</x:v>
      </x:c>
      <x:c r="AA595" s="66" t="n">
        <x:f>X595/'공식·설정'!$B$8</x:f>
        <x:v>0.010223388671875</x:v>
      </x:c>
      <x:c r="AB595" s="67" t="str">
        <x:f>IF(AND(I595=0,L595=0,Q595=0,T595=0,Y595=0),"PASS","FAIL")</x:f>
        <x:v>PASS</x:v>
      </x:c>
    </x:row>
    <x:row r="596" ht="18" customHeight="1">
      <x:c r="A596" s="14" t="n">
        <x:v>699</x:v>
      </x:c>
      <x:c r="B596" s="14" t="n">
        <x:v>591</x:v>
      </x:c>
      <x:c r="C596" s="14" t="n">
        <x:v>686</x:v>
      </x:c>
      <x:c r="D596" s="14" t="n">
        <x:v>147119</x:v>
      </x:c>
      <x:c r="E596" s="14" t="n">
        <x:v>700</x:v>
      </x:c>
      <x:c r="F596" s="14" t="n">
        <x:v>171132</x:v>
      </x:c>
      <x:c r="G596" s="14" t="n">
        <x:v>169416</x:v>
      </x:c>
      <x:c r="H596" s="14" t="n">
        <x:f>INT((F596-D596)*(A596-C596)/(E596-C596))+D596</x:f>
        <x:v>169416</x:v>
      </x:c>
      <x:c r="I596" s="68" t="n">
        <x:f>H596-G596</x:f>
        <x:v>0</x:v>
      </x:c>
      <x:c r="J596" s="14" t="n">
        <x:v>1102945</x:v>
      </x:c>
      <x:c r="K596" s="14" t="n">
        <x:f>INT(H596*'공식·설정'!$B$10/'공식·설정'!$B$15)</x:f>
        <x:v>1102945</x:v>
      </x:c>
      <x:c r="L596" s="68" t="n">
        <x:f>K596-J596</x:f>
        <x:v>0</x:v>
      </x:c>
      <x:c r="M596" s="65" t="n">
        <x:f>J596/'공식·설정'!$B$7</x:f>
        <x:v>4308.37890625</x:v>
      </x:c>
      <x:c r="N596" s="65" t="n">
        <x:f>K596/'공식·설정'!$B$7</x:f>
        <x:v>4308.37890625</x:v>
      </x:c>
      <x:c r="O596" s="14" t="n">
        <x:v>431</x:v>
      </x:c>
      <x:c r="P596" s="14" t="n">
        <x:f>MIN(32767,MAX(0,INT((K596+INT('공식·설정'!$B$12/2))/'공식·설정'!$B$12)))</x:f>
        <x:v>431</x:v>
      </x:c>
      <x:c r="Q596" s="68" t="n">
        <x:f>P596-O596</x:f>
        <x:v>0</x:v>
      </x:c>
      <x:c r="R596" s="14" t="n">
        <x:v>1111808</x:v>
      </x:c>
      <x:c r="S596" s="14" t="n">
        <x:f>P596*'공식·설정'!$B$12+'공식·설정'!$B$14</x:f>
        <x:v>1111808</x:v>
      </x:c>
      <x:c r="T596" s="68" t="n">
        <x:f>S596-R596</x:f>
        <x:v>0</x:v>
      </x:c>
      <x:c r="U596" s="65" t="n">
        <x:f>R596/'공식·설정'!$B$7</x:f>
        <x:v>4343</x:v>
      </x:c>
      <x:c r="V596" s="65" t="n">
        <x:f>S596/'공식·설정'!$B$7</x:f>
        <x:v>4343</x:v>
      </x:c>
      <x:c r="W596" s="14" t="n">
        <x:v>663</x:v>
      </x:c>
      <x:c r="X596" s="14" t="n">
        <x:f>INT(ABS(K597-K596)*'공식·설정'!$B$8/K596)</x:f>
        <x:v>663</x:v>
      </x:c>
      <x:c r="Y596" s="68" t="n">
        <x:f>X596-W596</x:f>
        <x:v>0</x:v>
      </x:c>
      <x:c r="Z596" s="66" t="n">
        <x:f>W596/'공식·설정'!$B$8</x:f>
        <x:v>0.0101165771484375</x:v>
      </x:c>
      <x:c r="AA596" s="66" t="n">
        <x:f>X596/'공식·설정'!$B$8</x:f>
        <x:v>0.0101165771484375</x:v>
      </x:c>
      <x:c r="AB596" s="67" t="str">
        <x:f>IF(AND(I596=0,L596=0,Q596=0,T596=0,Y596=0),"PASS","FAIL")</x:f>
        <x:v>PASS</x:v>
      </x:c>
    </x:row>
    <x:row r="597" ht="18" customHeight="1">
      <x:c r="A597" s="14" t="n">
        <x:v>700</x:v>
      </x:c>
      <x:c r="B597" s="14" t="n">
        <x:v>592</x:v>
      </x:c>
      <x:c r="C597" s="14" t="n">
        <x:v>700</x:v>
      </x:c>
      <x:c r="D597" s="14" t="n">
        <x:v>171132</x:v>
      </x:c>
      <x:c r="E597" s="14" t="n">
        <x:v>714</x:v>
      </x:c>
      <x:c r="F597" s="14" t="n">
        <x:v>199062</x:v>
      </x:c>
      <x:c r="G597" s="14" t="n">
        <x:v>171132</x:v>
      </x:c>
      <x:c r="H597" s="14" t="n">
        <x:f>INT((F597-D597)*(A597-C597)/(E597-C597))+D597</x:f>
        <x:v>171132</x:v>
      </x:c>
      <x:c r="I597" s="68" t="n">
        <x:f>H597-G597</x:f>
        <x:v>0</x:v>
      </x:c>
      <x:c r="J597" s="14" t="n">
        <x:v>1114117</x:v>
      </x:c>
      <x:c r="K597" s="14" t="n">
        <x:f>INT(H597*'공식·설정'!$B$10/'공식·설정'!$B$15)</x:f>
        <x:v>1114117</x:v>
      </x:c>
      <x:c r="L597" s="68" t="n">
        <x:f>K597-J597</x:f>
        <x:v>0</x:v>
      </x:c>
      <x:c r="M597" s="65" t="n">
        <x:f>J597/'공식·설정'!$B$7</x:f>
        <x:v>4352.01953125</x:v>
      </x:c>
      <x:c r="N597" s="65" t="n">
        <x:f>K597/'공식·설정'!$B$7</x:f>
        <x:v>4352.01953125</x:v>
      </x:c>
      <x:c r="O597" s="14" t="n">
        <x:v>435</x:v>
      </x:c>
      <x:c r="P597" s="14" t="n">
        <x:f>MIN(32767,MAX(0,INT((K597+INT('공식·설정'!$B$12/2))/'공식·설정'!$B$12)))</x:f>
        <x:v>435</x:v>
      </x:c>
      <x:c r="Q597" s="68" t="n">
        <x:f>P597-O597</x:f>
        <x:v>0</x:v>
      </x:c>
      <x:c r="R597" s="14" t="n">
        <x:v>1122048</x:v>
      </x:c>
      <x:c r="S597" s="14" t="n">
        <x:f>P597*'공식·설정'!$B$12+'공식·설정'!$B$14</x:f>
        <x:v>1122048</x:v>
      </x:c>
      <x:c r="T597" s="68" t="n">
        <x:f>S597-R597</x:f>
        <x:v>0</x:v>
      </x:c>
      <x:c r="U597" s="65" t="n">
        <x:f>R597/'공식·설정'!$B$7</x:f>
        <x:v>4383</x:v>
      </x:c>
      <x:c r="V597" s="65" t="n">
        <x:f>S597/'공식·설정'!$B$7</x:f>
        <x:v>4383</x:v>
      </x:c>
      <x:c r="W597" s="14" t="n">
        <x:v>763</x:v>
      </x:c>
      <x:c r="X597" s="14" t="n">
        <x:f>INT(ABS(K598-K597)*'공식·설정'!$B$8/K597)</x:f>
        <x:v>763</x:v>
      </x:c>
      <x:c r="Y597" s="68" t="n">
        <x:f>X597-W597</x:f>
        <x:v>0</x:v>
      </x:c>
      <x:c r="Z597" s="66" t="n">
        <x:f>W597/'공식·설정'!$B$8</x:f>
        <x:v>0.0116424560546875</x:v>
      </x:c>
      <x:c r="AA597" s="66" t="n">
        <x:f>X597/'공식·설정'!$B$8</x:f>
        <x:v>0.0116424560546875</x:v>
      </x:c>
      <x:c r="AB597" s="67" t="str">
        <x:f>IF(AND(I597=0,L597=0,Q597=0,T597=0,Y597=0),"PASS","FAIL")</x:f>
        <x:v>PASS</x:v>
      </x:c>
    </x:row>
    <x:row r="598" ht="18" customHeight="1">
      <x:c r="A598" s="14" t="n">
        <x:v>701</x:v>
      </x:c>
      <x:c r="B598" s="14" t="n">
        <x:v>593</x:v>
      </x:c>
      <x:c r="C598" s="14" t="n">
        <x:v>700</x:v>
      </x:c>
      <x:c r="D598" s="14" t="n">
        <x:v>171132</x:v>
      </x:c>
      <x:c r="E598" s="14" t="n">
        <x:v>714</x:v>
      </x:c>
      <x:c r="F598" s="14" t="n">
        <x:v>199062</x:v>
      </x:c>
      <x:c r="G598" s="14" t="n">
        <x:v>173127</x:v>
      </x:c>
      <x:c r="H598" s="14" t="n">
        <x:f>INT((F598-D598)*(A598-C598)/(E598-C598))+D598</x:f>
        <x:v>173127</x:v>
      </x:c>
      <x:c r="I598" s="68" t="n">
        <x:f>H598-G598</x:f>
        <x:v>0</x:v>
      </x:c>
      <x:c r="J598" s="14" t="n">
        <x:v>1127105</x:v>
      </x:c>
      <x:c r="K598" s="14" t="n">
        <x:f>INT(H598*'공식·설정'!$B$10/'공식·설정'!$B$15)</x:f>
        <x:v>1127105</x:v>
      </x:c>
      <x:c r="L598" s="68" t="n">
        <x:f>K598-J598</x:f>
        <x:v>0</x:v>
      </x:c>
      <x:c r="M598" s="65" t="n">
        <x:f>J598/'공식·설정'!$B$7</x:f>
        <x:v>4402.75390625</x:v>
      </x:c>
      <x:c r="N598" s="65" t="n">
        <x:f>K598/'공식·설정'!$B$7</x:f>
        <x:v>4402.75390625</x:v>
      </x:c>
      <x:c r="O598" s="14" t="n">
        <x:v>440</x:v>
      </x:c>
      <x:c r="P598" s="14" t="n">
        <x:f>MIN(32767,MAX(0,INT((K598+INT('공식·설정'!$B$12/2))/'공식·설정'!$B$12)))</x:f>
        <x:v>440</x:v>
      </x:c>
      <x:c r="Q598" s="68" t="n">
        <x:f>P598-O598</x:f>
        <x:v>0</x:v>
      </x:c>
      <x:c r="R598" s="14" t="n">
        <x:v>1134848</x:v>
      </x:c>
      <x:c r="S598" s="14" t="n">
        <x:f>P598*'공식·설정'!$B$12+'공식·설정'!$B$14</x:f>
        <x:v>1134848</x:v>
      </x:c>
      <x:c r="T598" s="68" t="n">
        <x:f>S598-R598</x:f>
        <x:v>0</x:v>
      </x:c>
      <x:c r="U598" s="65" t="n">
        <x:f>R598/'공식·설정'!$B$7</x:f>
        <x:v>4433</x:v>
      </x:c>
      <x:c r="V598" s="65" t="n">
        <x:f>S598/'공식·설정'!$B$7</x:f>
        <x:v>4433</x:v>
      </x:c>
      <x:c r="W598" s="14" t="n">
        <x:v>755</x:v>
      </x:c>
      <x:c r="X598" s="14" t="n">
        <x:f>INT(ABS(K599-K598)*'공식·설정'!$B$8/K598)</x:f>
        <x:v>755</x:v>
      </x:c>
      <x:c r="Y598" s="68" t="n">
        <x:f>X598-W598</x:f>
        <x:v>0</x:v>
      </x:c>
      <x:c r="Z598" s="66" t="n">
        <x:f>W598/'공식·설정'!$B$8</x:f>
        <x:v>0.0115203857421875</x:v>
      </x:c>
      <x:c r="AA598" s="66" t="n">
        <x:f>X598/'공식·설정'!$B$8</x:f>
        <x:v>0.0115203857421875</x:v>
      </x:c>
      <x:c r="AB598" s="67" t="str">
        <x:f>IF(AND(I598=0,L598=0,Q598=0,T598=0,Y598=0),"PASS","FAIL")</x:f>
        <x:v>PASS</x:v>
      </x:c>
    </x:row>
    <x:row r="599" ht="18" customHeight="1">
      <x:c r="A599" s="14" t="n">
        <x:v>702</x:v>
      </x:c>
      <x:c r="B599" s="14" t="n">
        <x:v>594</x:v>
      </x:c>
      <x:c r="C599" s="14" t="n">
        <x:v>700</x:v>
      </x:c>
      <x:c r="D599" s="14" t="n">
        <x:v>171132</x:v>
      </x:c>
      <x:c r="E599" s="14" t="n">
        <x:v>714</x:v>
      </x:c>
      <x:c r="F599" s="14" t="n">
        <x:v>199062</x:v>
      </x:c>
      <x:c r="G599" s="14" t="n">
        <x:v>175122</x:v>
      </x:c>
      <x:c r="H599" s="14" t="n">
        <x:f>INT((F599-D599)*(A599-C599)/(E599-C599))+D599</x:f>
        <x:v>175122</x:v>
      </x:c>
      <x:c r="I599" s="68" t="n">
        <x:f>H599-G599</x:f>
        <x:v>0</x:v>
      </x:c>
      <x:c r="J599" s="14" t="n">
        <x:v>1140093</x:v>
      </x:c>
      <x:c r="K599" s="14" t="n">
        <x:f>INT(H599*'공식·설정'!$B$10/'공식·설정'!$B$15)</x:f>
        <x:v>1140093</x:v>
      </x:c>
      <x:c r="L599" s="68" t="n">
        <x:f>K599-J599</x:f>
        <x:v>0</x:v>
      </x:c>
      <x:c r="M599" s="65" t="n">
        <x:f>J599/'공식·설정'!$B$7</x:f>
        <x:v>4453.48828125</x:v>
      </x:c>
      <x:c r="N599" s="65" t="n">
        <x:f>K599/'공식·설정'!$B$7</x:f>
        <x:v>4453.48828125</x:v>
      </x:c>
      <x:c r="O599" s="14" t="n">
        <x:v>445</x:v>
      </x:c>
      <x:c r="P599" s="14" t="n">
        <x:f>MIN(32767,MAX(0,INT((K599+INT('공식·설정'!$B$12/2))/'공식·설정'!$B$12)))</x:f>
        <x:v>445</x:v>
      </x:c>
      <x:c r="Q599" s="68" t="n">
        <x:f>P599-O599</x:f>
        <x:v>0</x:v>
      </x:c>
      <x:c r="R599" s="14" t="n">
        <x:v>1147648</x:v>
      </x:c>
      <x:c r="S599" s="14" t="n">
        <x:f>P599*'공식·설정'!$B$12+'공식·설정'!$B$14</x:f>
        <x:v>1147648</x:v>
      </x:c>
      <x:c r="T599" s="68" t="n">
        <x:f>S599-R599</x:f>
        <x:v>0</x:v>
      </x:c>
      <x:c r="U599" s="65" t="n">
        <x:f>R599/'공식·설정'!$B$7</x:f>
        <x:v>4483</x:v>
      </x:c>
      <x:c r="V599" s="65" t="n">
        <x:f>S599/'공식·설정'!$B$7</x:f>
        <x:v>4483</x:v>
      </x:c>
      <x:c r="W599" s="14" t="n">
        <x:v>746</x:v>
      </x:c>
      <x:c r="X599" s="14" t="n">
        <x:f>INT(ABS(K600-K599)*'공식·설정'!$B$8/K599)</x:f>
        <x:v>746</x:v>
      </x:c>
      <x:c r="Y599" s="68" t="n">
        <x:f>X599-W599</x:f>
        <x:v>0</x:v>
      </x:c>
      <x:c r="Z599" s="66" t="n">
        <x:f>W599/'공식·설정'!$B$8</x:f>
        <x:v>0.011383056640625</x:v>
      </x:c>
      <x:c r="AA599" s="66" t="n">
        <x:f>X599/'공식·설정'!$B$8</x:f>
        <x:v>0.011383056640625</x:v>
      </x:c>
      <x:c r="AB599" s="67" t="str">
        <x:f>IF(AND(I599=0,L599=0,Q599=0,T599=0,Y599=0),"PASS","FAIL")</x:f>
        <x:v>PASS</x:v>
      </x:c>
    </x:row>
    <x:row r="600" ht="18" customHeight="1">
      <x:c r="A600" s="14" t="n">
        <x:v>703</x:v>
      </x:c>
      <x:c r="B600" s="14" t="n">
        <x:v>595</x:v>
      </x:c>
      <x:c r="C600" s="14" t="n">
        <x:v>700</x:v>
      </x:c>
      <x:c r="D600" s="14" t="n">
        <x:v>171132</x:v>
      </x:c>
      <x:c r="E600" s="14" t="n">
        <x:v>714</x:v>
      </x:c>
      <x:c r="F600" s="14" t="n">
        <x:v>199062</x:v>
      </x:c>
      <x:c r="G600" s="14" t="n">
        <x:v>177117</x:v>
      </x:c>
      <x:c r="H600" s="14" t="n">
        <x:f>INT((F600-D600)*(A600-C600)/(E600-C600))+D600</x:f>
        <x:v>177117</x:v>
      </x:c>
      <x:c r="I600" s="68" t="n">
        <x:f>H600-G600</x:f>
        <x:v>0</x:v>
      </x:c>
      <x:c r="J600" s="14" t="n">
        <x:v>1153081</x:v>
      </x:c>
      <x:c r="K600" s="14" t="n">
        <x:f>INT(H600*'공식·설정'!$B$10/'공식·설정'!$B$15)</x:f>
        <x:v>1153081</x:v>
      </x:c>
      <x:c r="L600" s="68" t="n">
        <x:f>K600-J600</x:f>
        <x:v>0</x:v>
      </x:c>
      <x:c r="M600" s="65" t="n">
        <x:f>J600/'공식·설정'!$B$7</x:f>
        <x:v>4504.22265625</x:v>
      </x:c>
      <x:c r="N600" s="65" t="n">
        <x:f>K600/'공식·설정'!$B$7</x:f>
        <x:v>4504.22265625</x:v>
      </x:c>
      <x:c r="O600" s="14" t="n">
        <x:v>450</x:v>
      </x:c>
      <x:c r="P600" s="14" t="n">
        <x:f>MIN(32767,MAX(0,INT((K600+INT('공식·설정'!$B$12/2))/'공식·설정'!$B$12)))</x:f>
        <x:v>450</x:v>
      </x:c>
      <x:c r="Q600" s="68" t="n">
        <x:f>P600-O600</x:f>
        <x:v>0</x:v>
      </x:c>
      <x:c r="R600" s="14" t="n">
        <x:v>1160448</x:v>
      </x:c>
      <x:c r="S600" s="14" t="n">
        <x:f>P600*'공식·설정'!$B$12+'공식·설정'!$B$14</x:f>
        <x:v>1160448</x:v>
      </x:c>
      <x:c r="T600" s="68" t="n">
        <x:f>S600-R600</x:f>
        <x:v>0</x:v>
      </x:c>
      <x:c r="U600" s="65" t="n">
        <x:f>R600/'공식·설정'!$B$7</x:f>
        <x:v>4533</x:v>
      </x:c>
      <x:c r="V600" s="65" t="n">
        <x:f>S600/'공식·설정'!$B$7</x:f>
        <x:v>4533</x:v>
      </x:c>
      <x:c r="W600" s="14" t="n">
        <x:v>738</x:v>
      </x:c>
      <x:c r="X600" s="14" t="n">
        <x:f>INT(ABS(K601-K600)*'공식·설정'!$B$8/K600)</x:f>
        <x:v>738</x:v>
      </x:c>
      <x:c r="Y600" s="68" t="n">
        <x:f>X600-W600</x:f>
        <x:v>0</x:v>
      </x:c>
      <x:c r="Z600" s="66" t="n">
        <x:f>W600/'공식·설정'!$B$8</x:f>
        <x:v>0.011260986328125</x:v>
      </x:c>
      <x:c r="AA600" s="66" t="n">
        <x:f>X600/'공식·설정'!$B$8</x:f>
        <x:v>0.011260986328125</x:v>
      </x:c>
      <x:c r="AB600" s="67" t="str">
        <x:f>IF(AND(I600=0,L600=0,Q600=0,T600=0,Y600=0),"PASS","FAIL")</x:f>
        <x:v>PASS</x:v>
      </x:c>
    </x:row>
    <x:row r="601" ht="18" customHeight="1">
      <x:c r="A601" s="14" t="n">
        <x:v>704</x:v>
      </x:c>
      <x:c r="B601" s="14" t="n">
        <x:v>596</x:v>
      </x:c>
      <x:c r="C601" s="14" t="n">
        <x:v>700</x:v>
      </x:c>
      <x:c r="D601" s="14" t="n">
        <x:v>171132</x:v>
      </x:c>
      <x:c r="E601" s="14" t="n">
        <x:v>714</x:v>
      </x:c>
      <x:c r="F601" s="14" t="n">
        <x:v>199062</x:v>
      </x:c>
      <x:c r="G601" s="14" t="n">
        <x:v>179112</x:v>
      </x:c>
      <x:c r="H601" s="14" t="n">
        <x:f>INT((F601-D601)*(A601-C601)/(E601-C601))+D601</x:f>
        <x:v>179112</x:v>
      </x:c>
      <x:c r="I601" s="68" t="n">
        <x:f>H601-G601</x:f>
        <x:v>0</x:v>
      </x:c>
      <x:c r="J601" s="14" t="n">
        <x:v>1166069</x:v>
      </x:c>
      <x:c r="K601" s="14" t="n">
        <x:f>INT(H601*'공식·설정'!$B$10/'공식·설정'!$B$15)</x:f>
        <x:v>1166069</x:v>
      </x:c>
      <x:c r="L601" s="68" t="n">
        <x:f>K601-J601</x:f>
        <x:v>0</x:v>
      </x:c>
      <x:c r="M601" s="65" t="n">
        <x:f>J601/'공식·설정'!$B$7</x:f>
        <x:v>4554.95703125</x:v>
      </x:c>
      <x:c r="N601" s="65" t="n">
        <x:f>K601/'공식·설정'!$B$7</x:f>
        <x:v>4554.95703125</x:v>
      </x:c>
      <x:c r="O601" s="14" t="n">
        <x:v>455</x:v>
      </x:c>
      <x:c r="P601" s="14" t="n">
        <x:f>MIN(32767,MAX(0,INT((K601+INT('공식·설정'!$B$12/2))/'공식·설정'!$B$12)))</x:f>
        <x:v>455</x:v>
      </x:c>
      <x:c r="Q601" s="68" t="n">
        <x:f>P601-O601</x:f>
        <x:v>0</x:v>
      </x:c>
      <x:c r="R601" s="14" t="n">
        <x:v>1173248</x:v>
      </x:c>
      <x:c r="S601" s="14" t="n">
        <x:f>P601*'공식·설정'!$B$12+'공식·설정'!$B$14</x:f>
        <x:v>1173248</x:v>
      </x:c>
      <x:c r="T601" s="68" t="n">
        <x:f>S601-R601</x:f>
        <x:v>0</x:v>
      </x:c>
      <x:c r="U601" s="65" t="n">
        <x:f>R601/'공식·설정'!$B$7</x:f>
        <x:v>4583</x:v>
      </x:c>
      <x:c r="V601" s="65" t="n">
        <x:f>S601/'공식·설정'!$B$7</x:f>
        <x:v>4583</x:v>
      </x:c>
      <x:c r="W601" s="14" t="n">
        <x:v>729</x:v>
      </x:c>
      <x:c r="X601" s="14" t="n">
        <x:f>INT(ABS(K602-K601)*'공식·설정'!$B$8/K601)</x:f>
        <x:v>729</x:v>
      </x:c>
      <x:c r="Y601" s="68" t="n">
        <x:f>X601-W601</x:f>
        <x:v>0</x:v>
      </x:c>
      <x:c r="Z601" s="66" t="n">
        <x:f>W601/'공식·설정'!$B$8</x:f>
        <x:v>0.0111236572265625</x:v>
      </x:c>
      <x:c r="AA601" s="66" t="n">
        <x:f>X601/'공식·설정'!$B$8</x:f>
        <x:v>0.0111236572265625</x:v>
      </x:c>
      <x:c r="AB601" s="67" t="str">
        <x:f>IF(AND(I601=0,L601=0,Q601=0,T601=0,Y601=0),"PASS","FAIL")</x:f>
        <x:v>PASS</x:v>
      </x:c>
    </x:row>
    <x:row r="602" ht="18" customHeight="1">
      <x:c r="A602" s="14" t="n">
        <x:v>705</x:v>
      </x:c>
      <x:c r="B602" s="14" t="n">
        <x:v>597</x:v>
      </x:c>
      <x:c r="C602" s="14" t="n">
        <x:v>700</x:v>
      </x:c>
      <x:c r="D602" s="14" t="n">
        <x:v>171132</x:v>
      </x:c>
      <x:c r="E602" s="14" t="n">
        <x:v>714</x:v>
      </x:c>
      <x:c r="F602" s="14" t="n">
        <x:v>199062</x:v>
      </x:c>
      <x:c r="G602" s="14" t="n">
        <x:v>181107</x:v>
      </x:c>
      <x:c r="H602" s="14" t="n">
        <x:f>INT((F602-D602)*(A602-C602)/(E602-C602))+D602</x:f>
        <x:v>181107</x:v>
      </x:c>
      <x:c r="I602" s="68" t="n">
        <x:f>H602-G602</x:f>
        <x:v>0</x:v>
      </x:c>
      <x:c r="J602" s="14" t="n">
        <x:v>1179057</x:v>
      </x:c>
      <x:c r="K602" s="14" t="n">
        <x:f>INT(H602*'공식·설정'!$B$10/'공식·설정'!$B$15)</x:f>
        <x:v>1179057</x:v>
      </x:c>
      <x:c r="L602" s="68" t="n">
        <x:f>K602-J602</x:f>
        <x:v>0</x:v>
      </x:c>
      <x:c r="M602" s="65" t="n">
        <x:f>J602/'공식·설정'!$B$7</x:f>
        <x:v>4605.69140625</x:v>
      </x:c>
      <x:c r="N602" s="65" t="n">
        <x:f>K602/'공식·설정'!$B$7</x:f>
        <x:v>4605.69140625</x:v>
      </x:c>
      <x:c r="O602" s="14" t="n">
        <x:v>461</x:v>
      </x:c>
      <x:c r="P602" s="14" t="n">
        <x:f>MIN(32767,MAX(0,INT((K602+INT('공식·설정'!$B$12/2))/'공식·설정'!$B$12)))</x:f>
        <x:v>461</x:v>
      </x:c>
      <x:c r="Q602" s="68" t="n">
        <x:f>P602-O602</x:f>
        <x:v>0</x:v>
      </x:c>
      <x:c r="R602" s="14" t="n">
        <x:v>1188608</x:v>
      </x:c>
      <x:c r="S602" s="14" t="n">
        <x:f>P602*'공식·설정'!$B$12+'공식·설정'!$B$14</x:f>
        <x:v>1188608</x:v>
      </x:c>
      <x:c r="T602" s="68" t="n">
        <x:f>S602-R602</x:f>
        <x:v>0</x:v>
      </x:c>
      <x:c r="U602" s="65" t="n">
        <x:f>R602/'공식·설정'!$B$7</x:f>
        <x:v>4643</x:v>
      </x:c>
      <x:c r="V602" s="65" t="n">
        <x:f>S602/'공식·설정'!$B$7</x:f>
        <x:v>4643</x:v>
      </x:c>
      <x:c r="W602" s="14" t="n">
        <x:v>721</x:v>
      </x:c>
      <x:c r="X602" s="14" t="n">
        <x:f>INT(ABS(K603-K602)*'공식·설정'!$B$8/K602)</x:f>
        <x:v>721</x:v>
      </x:c>
      <x:c r="Y602" s="68" t="n">
        <x:f>X602-W602</x:f>
        <x:v>0</x:v>
      </x:c>
      <x:c r="Z602" s="66" t="n">
        <x:f>W602/'공식·설정'!$B$8</x:f>
        <x:v>0.0110015869140625</x:v>
      </x:c>
      <x:c r="AA602" s="66" t="n">
        <x:f>X602/'공식·설정'!$B$8</x:f>
        <x:v>0.0110015869140625</x:v>
      </x:c>
      <x:c r="AB602" s="67" t="str">
        <x:f>IF(AND(I602=0,L602=0,Q602=0,T602=0,Y602=0),"PASS","FAIL")</x:f>
        <x:v>PASS</x:v>
      </x:c>
    </x:row>
    <x:row r="603" ht="18" customHeight="1">
      <x:c r="A603" s="14" t="n">
        <x:v>706</x:v>
      </x:c>
      <x:c r="B603" s="14" t="n">
        <x:v>598</x:v>
      </x:c>
      <x:c r="C603" s="14" t="n">
        <x:v>700</x:v>
      </x:c>
      <x:c r="D603" s="14" t="n">
        <x:v>171132</x:v>
      </x:c>
      <x:c r="E603" s="14" t="n">
        <x:v>714</x:v>
      </x:c>
      <x:c r="F603" s="14" t="n">
        <x:v>199062</x:v>
      </x:c>
      <x:c r="G603" s="14" t="n">
        <x:v>183102</x:v>
      </x:c>
      <x:c r="H603" s="14" t="n">
        <x:f>INT((F603-D603)*(A603-C603)/(E603-C603))+D603</x:f>
        <x:v>183102</x:v>
      </x:c>
      <x:c r="I603" s="68" t="n">
        <x:f>H603-G603</x:f>
        <x:v>0</x:v>
      </x:c>
      <x:c r="J603" s="14" t="n">
        <x:v>1192045</x:v>
      </x:c>
      <x:c r="K603" s="14" t="n">
        <x:f>INT(H603*'공식·설정'!$B$10/'공식·설정'!$B$15)</x:f>
        <x:v>1192045</x:v>
      </x:c>
      <x:c r="L603" s="68" t="n">
        <x:f>K603-J603</x:f>
        <x:v>0</x:v>
      </x:c>
      <x:c r="M603" s="65" t="n">
        <x:f>J603/'공식·설정'!$B$7</x:f>
        <x:v>4656.42578125</x:v>
      </x:c>
      <x:c r="N603" s="65" t="n">
        <x:f>K603/'공식·설정'!$B$7</x:f>
        <x:v>4656.42578125</x:v>
      </x:c>
      <x:c r="O603" s="14" t="n">
        <x:v>466</x:v>
      </x:c>
      <x:c r="P603" s="14" t="n">
        <x:f>MIN(32767,MAX(0,INT((K603+INT('공식·설정'!$B$12/2))/'공식·설정'!$B$12)))</x:f>
        <x:v>466</x:v>
      </x:c>
      <x:c r="Q603" s="68" t="n">
        <x:f>P603-O603</x:f>
        <x:v>0</x:v>
      </x:c>
      <x:c r="R603" s="14" t="n">
        <x:v>1201408</x:v>
      </x:c>
      <x:c r="S603" s="14" t="n">
        <x:f>P603*'공식·설정'!$B$12+'공식·설정'!$B$14</x:f>
        <x:v>1201408</x:v>
      </x:c>
      <x:c r="T603" s="68" t="n">
        <x:f>S603-R603</x:f>
        <x:v>0</x:v>
      </x:c>
      <x:c r="U603" s="65" t="n">
        <x:f>R603/'공식·설정'!$B$7</x:f>
        <x:v>4693</x:v>
      </x:c>
      <x:c r="V603" s="65" t="n">
        <x:f>S603/'공식·설정'!$B$7</x:f>
        <x:v>4693</x:v>
      </x:c>
      <x:c r="W603" s="14" t="n">
        <x:v>714</x:v>
      </x:c>
      <x:c r="X603" s="14" t="n">
        <x:f>INT(ABS(K604-K603)*'공식·설정'!$B$8/K603)</x:f>
        <x:v>714</x:v>
      </x:c>
      <x:c r="Y603" s="68" t="n">
        <x:f>X603-W603</x:f>
        <x:v>0</x:v>
      </x:c>
      <x:c r="Z603" s="66" t="n">
        <x:f>W603/'공식·설정'!$B$8</x:f>
        <x:v>0.010894775390625</x:v>
      </x:c>
      <x:c r="AA603" s="66" t="n">
        <x:f>X603/'공식·설정'!$B$8</x:f>
        <x:v>0.010894775390625</x:v>
      </x:c>
      <x:c r="AB603" s="67" t="str">
        <x:f>IF(AND(I603=0,L603=0,Q603=0,T603=0,Y603=0),"PASS","FAIL")</x:f>
        <x:v>PASS</x:v>
      </x:c>
    </x:row>
    <x:row r="604" ht="18" customHeight="1">
      <x:c r="A604" s="14" t="n">
        <x:v>707</x:v>
      </x:c>
      <x:c r="B604" s="14" t="n">
        <x:v>599</x:v>
      </x:c>
      <x:c r="C604" s="14" t="n">
        <x:v>700</x:v>
      </x:c>
      <x:c r="D604" s="14" t="n">
        <x:v>171132</x:v>
      </x:c>
      <x:c r="E604" s="14" t="n">
        <x:v>714</x:v>
      </x:c>
      <x:c r="F604" s="14" t="n">
        <x:v>199062</x:v>
      </x:c>
      <x:c r="G604" s="14" t="n">
        <x:v>185097</x:v>
      </x:c>
      <x:c r="H604" s="14" t="n">
        <x:f>INT((F604-D604)*(A604-C604)/(E604-C604))+D604</x:f>
        <x:v>185097</x:v>
      </x:c>
      <x:c r="I604" s="68" t="n">
        <x:f>H604-G604</x:f>
        <x:v>0</x:v>
      </x:c>
      <x:c r="J604" s="14" t="n">
        <x:v>1205033</x:v>
      </x:c>
      <x:c r="K604" s="14" t="n">
        <x:f>INT(H604*'공식·설정'!$B$10/'공식·설정'!$B$15)</x:f>
        <x:v>1205033</x:v>
      </x:c>
      <x:c r="L604" s="68" t="n">
        <x:f>K604-J604</x:f>
        <x:v>0</x:v>
      </x:c>
      <x:c r="M604" s="65" t="n">
        <x:f>J604/'공식·설정'!$B$7</x:f>
        <x:v>4707.16015625</x:v>
      </x:c>
      <x:c r="N604" s="65" t="n">
        <x:f>K604/'공식·설정'!$B$7</x:f>
        <x:v>4707.16015625</x:v>
      </x:c>
      <x:c r="O604" s="14" t="n">
        <x:v>471</x:v>
      </x:c>
      <x:c r="P604" s="14" t="n">
        <x:f>MIN(32767,MAX(0,INT((K604+INT('공식·설정'!$B$12/2))/'공식·설정'!$B$12)))</x:f>
        <x:v>471</x:v>
      </x:c>
      <x:c r="Q604" s="68" t="n">
        <x:f>P604-O604</x:f>
        <x:v>0</x:v>
      </x:c>
      <x:c r="R604" s="14" t="n">
        <x:v>1214208</x:v>
      </x:c>
      <x:c r="S604" s="14" t="n">
        <x:f>P604*'공식·설정'!$B$12+'공식·설정'!$B$14</x:f>
        <x:v>1214208</x:v>
      </x:c>
      <x:c r="T604" s="68" t="n">
        <x:f>S604-R604</x:f>
        <x:v>0</x:v>
      </x:c>
      <x:c r="U604" s="65" t="n">
        <x:f>R604/'공식·설정'!$B$7</x:f>
        <x:v>4743</x:v>
      </x:c>
      <x:c r="V604" s="65" t="n">
        <x:f>S604/'공식·설정'!$B$7</x:f>
        <x:v>4743</x:v>
      </x:c>
      <x:c r="W604" s="14" t="n">
        <x:v>706</x:v>
      </x:c>
      <x:c r="X604" s="14" t="n">
        <x:f>INT(ABS(K605-K604)*'공식·설정'!$B$8/K604)</x:f>
        <x:v>706</x:v>
      </x:c>
      <x:c r="Y604" s="68" t="n">
        <x:f>X604-W604</x:f>
        <x:v>0</x:v>
      </x:c>
      <x:c r="Z604" s="66" t="n">
        <x:f>W604/'공식·설정'!$B$8</x:f>
        <x:v>0.010772705078125</x:v>
      </x:c>
      <x:c r="AA604" s="66" t="n">
        <x:f>X604/'공식·설정'!$B$8</x:f>
        <x:v>0.010772705078125</x:v>
      </x:c>
      <x:c r="AB604" s="67" t="str">
        <x:f>IF(AND(I604=0,L604=0,Q604=0,T604=0,Y604=0),"PASS","FAIL")</x:f>
        <x:v>PASS</x:v>
      </x:c>
    </x:row>
    <x:row r="605" ht="18" customHeight="1">
      <x:c r="A605" s="14" t="n">
        <x:v>708</x:v>
      </x:c>
      <x:c r="B605" s="14" t="n">
        <x:v>600</x:v>
      </x:c>
      <x:c r="C605" s="14" t="n">
        <x:v>700</x:v>
      </x:c>
      <x:c r="D605" s="14" t="n">
        <x:v>171132</x:v>
      </x:c>
      <x:c r="E605" s="14" t="n">
        <x:v>714</x:v>
      </x:c>
      <x:c r="F605" s="14" t="n">
        <x:v>199062</x:v>
      </x:c>
      <x:c r="G605" s="14" t="n">
        <x:v>187092</x:v>
      </x:c>
      <x:c r="H605" s="14" t="n">
        <x:f>INT((F605-D605)*(A605-C605)/(E605-C605))+D605</x:f>
        <x:v>187092</x:v>
      </x:c>
      <x:c r="I605" s="68" t="n">
        <x:f>H605-G605</x:f>
        <x:v>0</x:v>
      </x:c>
      <x:c r="J605" s="14" t="n">
        <x:v>1218021</x:v>
      </x:c>
      <x:c r="K605" s="14" t="n">
        <x:f>INT(H605*'공식·설정'!$B$10/'공식·설정'!$B$15)</x:f>
        <x:v>1218021</x:v>
      </x:c>
      <x:c r="L605" s="68" t="n">
        <x:f>K605-J605</x:f>
        <x:v>0</x:v>
      </x:c>
      <x:c r="M605" s="65" t="n">
        <x:f>J605/'공식·설정'!$B$7</x:f>
        <x:v>4757.89453125</x:v>
      </x:c>
      <x:c r="N605" s="65" t="n">
        <x:f>K605/'공식·설정'!$B$7</x:f>
        <x:v>4757.89453125</x:v>
      </x:c>
      <x:c r="O605" s="14" t="n">
        <x:v>476</x:v>
      </x:c>
      <x:c r="P605" s="14" t="n">
        <x:f>MIN(32767,MAX(0,INT((K605+INT('공식·설정'!$B$12/2))/'공식·설정'!$B$12)))</x:f>
        <x:v>476</x:v>
      </x:c>
      <x:c r="Q605" s="68" t="n">
        <x:f>P605-O605</x:f>
        <x:v>0</x:v>
      </x:c>
      <x:c r="R605" s="14" t="n">
        <x:v>1227008</x:v>
      </x:c>
      <x:c r="S605" s="14" t="n">
        <x:f>P605*'공식·설정'!$B$12+'공식·설정'!$B$14</x:f>
        <x:v>1227008</x:v>
      </x:c>
      <x:c r="T605" s="68" t="n">
        <x:f>S605-R605</x:f>
        <x:v>0</x:v>
      </x:c>
      <x:c r="U605" s="65" t="n">
        <x:f>R605/'공식·설정'!$B$7</x:f>
        <x:v>4793</x:v>
      </x:c>
      <x:c r="V605" s="65" t="n">
        <x:f>S605/'공식·설정'!$B$7</x:f>
        <x:v>4793</x:v>
      </x:c>
      <x:c r="W605" s="14" t="n">
        <x:v>698</x:v>
      </x:c>
      <x:c r="X605" s="14" t="n">
        <x:f>INT(ABS(K606-K605)*'공식·설정'!$B$8/K605)</x:f>
        <x:v>698</x:v>
      </x:c>
      <x:c r="Y605" s="68" t="n">
        <x:f>X605-W605</x:f>
        <x:v>0</x:v>
      </x:c>
      <x:c r="Z605" s="66" t="n">
        <x:f>W605/'공식·설정'!$B$8</x:f>
        <x:v>0.010650634765625</x:v>
      </x:c>
      <x:c r="AA605" s="66" t="n">
        <x:f>X605/'공식·설정'!$B$8</x:f>
        <x:v>0.010650634765625</x:v>
      </x:c>
      <x:c r="AB605" s="67" t="str">
        <x:f>IF(AND(I605=0,L605=0,Q605=0,T605=0,Y605=0),"PASS","FAIL")</x:f>
        <x:v>PASS</x:v>
      </x:c>
    </x:row>
    <x:row r="606" ht="18" customHeight="1">
      <x:c r="A606" s="14" t="n">
        <x:v>709</x:v>
      </x:c>
      <x:c r="B606" s="14" t="n">
        <x:v>601</x:v>
      </x:c>
      <x:c r="C606" s="14" t="n">
        <x:v>700</x:v>
      </x:c>
      <x:c r="D606" s="14" t="n">
        <x:v>171132</x:v>
      </x:c>
      <x:c r="E606" s="14" t="n">
        <x:v>714</x:v>
      </x:c>
      <x:c r="F606" s="14" t="n">
        <x:v>199062</x:v>
      </x:c>
      <x:c r="G606" s="14" t="n">
        <x:v>189087</x:v>
      </x:c>
      <x:c r="H606" s="14" t="n">
        <x:f>INT((F606-D606)*(A606-C606)/(E606-C606))+D606</x:f>
        <x:v>189087</x:v>
      </x:c>
      <x:c r="I606" s="68" t="n">
        <x:f>H606-G606</x:f>
        <x:v>0</x:v>
      </x:c>
      <x:c r="J606" s="14" t="n">
        <x:v>1231009</x:v>
      </x:c>
      <x:c r="K606" s="14" t="n">
        <x:f>INT(H606*'공식·설정'!$B$10/'공식·설정'!$B$15)</x:f>
        <x:v>1231009</x:v>
      </x:c>
      <x:c r="L606" s="68" t="n">
        <x:f>K606-J606</x:f>
        <x:v>0</x:v>
      </x:c>
      <x:c r="M606" s="65" t="n">
        <x:f>J606/'공식·설정'!$B$7</x:f>
        <x:v>4808.62890625</x:v>
      </x:c>
      <x:c r="N606" s="65" t="n">
        <x:f>K606/'공식·설정'!$B$7</x:f>
        <x:v>4808.62890625</x:v>
      </x:c>
      <x:c r="O606" s="14" t="n">
        <x:v>481</x:v>
      </x:c>
      <x:c r="P606" s="14" t="n">
        <x:f>MIN(32767,MAX(0,INT((K606+INT('공식·설정'!$B$12/2))/'공식·설정'!$B$12)))</x:f>
        <x:v>481</x:v>
      </x:c>
      <x:c r="Q606" s="68" t="n">
        <x:f>P606-O606</x:f>
        <x:v>0</x:v>
      </x:c>
      <x:c r="R606" s="14" t="n">
        <x:v>1239808</x:v>
      </x:c>
      <x:c r="S606" s="14" t="n">
        <x:f>P606*'공식·설정'!$B$12+'공식·설정'!$B$14</x:f>
        <x:v>1239808</x:v>
      </x:c>
      <x:c r="T606" s="68" t="n">
        <x:f>S606-R606</x:f>
        <x:v>0</x:v>
      </x:c>
      <x:c r="U606" s="65" t="n">
        <x:f>R606/'공식·설정'!$B$7</x:f>
        <x:v>4843</x:v>
      </x:c>
      <x:c r="V606" s="65" t="n">
        <x:f>S606/'공식·설정'!$B$7</x:f>
        <x:v>4843</x:v>
      </x:c>
      <x:c r="W606" s="14" t="n">
        <x:v>691</x:v>
      </x:c>
      <x:c r="X606" s="14" t="n">
        <x:f>INT(ABS(K607-K606)*'공식·설정'!$B$8/K606)</x:f>
        <x:v>691</x:v>
      </x:c>
      <x:c r="Y606" s="68" t="n">
        <x:f>X606-W606</x:f>
        <x:v>0</x:v>
      </x:c>
      <x:c r="Z606" s="66" t="n">
        <x:f>W606/'공식·설정'!$B$8</x:f>
        <x:v>0.0105438232421875</x:v>
      </x:c>
      <x:c r="AA606" s="66" t="n">
        <x:f>X606/'공식·설정'!$B$8</x:f>
        <x:v>0.0105438232421875</x:v>
      </x:c>
      <x:c r="AB606" s="67" t="str">
        <x:f>IF(AND(I606=0,L606=0,Q606=0,T606=0,Y606=0),"PASS","FAIL")</x:f>
        <x:v>PASS</x:v>
      </x:c>
    </x:row>
    <x:row r="607" ht="18" customHeight="1">
      <x:c r="A607" s="14" t="n">
        <x:v>710</x:v>
      </x:c>
      <x:c r="B607" s="14" t="n">
        <x:v>602</x:v>
      </x:c>
      <x:c r="C607" s="14" t="n">
        <x:v>700</x:v>
      </x:c>
      <x:c r="D607" s="14" t="n">
        <x:v>171132</x:v>
      </x:c>
      <x:c r="E607" s="14" t="n">
        <x:v>714</x:v>
      </x:c>
      <x:c r="F607" s="14" t="n">
        <x:v>199062</x:v>
      </x:c>
      <x:c r="G607" s="14" t="n">
        <x:v>191082</x:v>
      </x:c>
      <x:c r="H607" s="14" t="n">
        <x:f>INT((F607-D607)*(A607-C607)/(E607-C607))+D607</x:f>
        <x:v>191082</x:v>
      </x:c>
      <x:c r="I607" s="68" t="n">
        <x:f>H607-G607</x:f>
        <x:v>0</x:v>
      </x:c>
      <x:c r="J607" s="14" t="n">
        <x:v>1243997</x:v>
      </x:c>
      <x:c r="K607" s="14" t="n">
        <x:f>INT(H607*'공식·설정'!$B$10/'공식·설정'!$B$15)</x:f>
        <x:v>1243997</x:v>
      </x:c>
      <x:c r="L607" s="68" t="n">
        <x:f>K607-J607</x:f>
        <x:v>0</x:v>
      </x:c>
      <x:c r="M607" s="65" t="n">
        <x:f>J607/'공식·설정'!$B$7</x:f>
        <x:v>4859.36328125</x:v>
      </x:c>
      <x:c r="N607" s="65" t="n">
        <x:f>K607/'공식·설정'!$B$7</x:f>
        <x:v>4859.36328125</x:v>
      </x:c>
      <x:c r="O607" s="14" t="n">
        <x:v>486</x:v>
      </x:c>
      <x:c r="P607" s="14" t="n">
        <x:f>MIN(32767,MAX(0,INT((K607+INT('공식·설정'!$B$12/2))/'공식·설정'!$B$12)))</x:f>
        <x:v>486</x:v>
      </x:c>
      <x:c r="Q607" s="68" t="n">
        <x:f>P607-O607</x:f>
        <x:v>0</x:v>
      </x:c>
      <x:c r="R607" s="14" t="n">
        <x:v>1252608</x:v>
      </x:c>
      <x:c r="S607" s="14" t="n">
        <x:f>P607*'공식·설정'!$B$12+'공식·설정'!$B$14</x:f>
        <x:v>1252608</x:v>
      </x:c>
      <x:c r="T607" s="68" t="n">
        <x:f>S607-R607</x:f>
        <x:v>0</x:v>
      </x:c>
      <x:c r="U607" s="65" t="n">
        <x:f>R607/'공식·설정'!$B$7</x:f>
        <x:v>4893</x:v>
      </x:c>
      <x:c r="V607" s="65" t="n">
        <x:f>S607/'공식·설정'!$B$7</x:f>
        <x:v>4893</x:v>
      </x:c>
      <x:c r="W607" s="14" t="n">
        <x:v>684</x:v>
      </x:c>
      <x:c r="X607" s="14" t="n">
        <x:f>INT(ABS(K608-K607)*'공식·설정'!$B$8/K607)</x:f>
        <x:v>684</x:v>
      </x:c>
      <x:c r="Y607" s="68" t="n">
        <x:f>X607-W607</x:f>
        <x:v>0</x:v>
      </x:c>
      <x:c r="Z607" s="66" t="n">
        <x:f>W607/'공식·설정'!$B$8</x:f>
        <x:v>0.01043701171875</x:v>
      </x:c>
      <x:c r="AA607" s="66" t="n">
        <x:f>X607/'공식·설정'!$B$8</x:f>
        <x:v>0.01043701171875</x:v>
      </x:c>
      <x:c r="AB607" s="67" t="str">
        <x:f>IF(AND(I607=0,L607=0,Q607=0,T607=0,Y607=0),"PASS","FAIL")</x:f>
        <x:v>PASS</x:v>
      </x:c>
    </x:row>
    <x:row r="608" ht="18" customHeight="1">
      <x:c r="A608" s="14" t="n">
        <x:v>711</x:v>
      </x:c>
      <x:c r="B608" s="14" t="n">
        <x:v>603</x:v>
      </x:c>
      <x:c r="C608" s="14" t="n">
        <x:v>700</x:v>
      </x:c>
      <x:c r="D608" s="14" t="n">
        <x:v>171132</x:v>
      </x:c>
      <x:c r="E608" s="14" t="n">
        <x:v>714</x:v>
      </x:c>
      <x:c r="F608" s="14" t="n">
        <x:v>199062</x:v>
      </x:c>
      <x:c r="G608" s="14" t="n">
        <x:v>193077</x:v>
      </x:c>
      <x:c r="H608" s="14" t="n">
        <x:f>INT((F608-D608)*(A608-C608)/(E608-C608))+D608</x:f>
        <x:v>193077</x:v>
      </x:c>
      <x:c r="I608" s="68" t="n">
        <x:f>H608-G608</x:f>
        <x:v>0</x:v>
      </x:c>
      <x:c r="J608" s="14" t="n">
        <x:v>1256985</x:v>
      </x:c>
      <x:c r="K608" s="14" t="n">
        <x:f>INT(H608*'공식·설정'!$B$10/'공식·설정'!$B$15)</x:f>
        <x:v>1256985</x:v>
      </x:c>
      <x:c r="L608" s="68" t="n">
        <x:f>K608-J608</x:f>
        <x:v>0</x:v>
      </x:c>
      <x:c r="M608" s="65" t="n">
        <x:f>J608/'공식·설정'!$B$7</x:f>
        <x:v>4910.09765625</x:v>
      </x:c>
      <x:c r="N608" s="65" t="n">
        <x:f>K608/'공식·설정'!$B$7</x:f>
        <x:v>4910.09765625</x:v>
      </x:c>
      <x:c r="O608" s="14" t="n">
        <x:v>491</x:v>
      </x:c>
      <x:c r="P608" s="14" t="n">
        <x:f>MIN(32767,MAX(0,INT((K608+INT('공식·설정'!$B$12/2))/'공식·설정'!$B$12)))</x:f>
        <x:v>491</x:v>
      </x:c>
      <x:c r="Q608" s="68" t="n">
        <x:f>P608-O608</x:f>
        <x:v>0</x:v>
      </x:c>
      <x:c r="R608" s="14" t="n">
        <x:v>1265408</x:v>
      </x:c>
      <x:c r="S608" s="14" t="n">
        <x:f>P608*'공식·설정'!$B$12+'공식·설정'!$B$14</x:f>
        <x:v>1265408</x:v>
      </x:c>
      <x:c r="T608" s="68" t="n">
        <x:f>S608-R608</x:f>
        <x:v>0</x:v>
      </x:c>
      <x:c r="U608" s="65" t="n">
        <x:f>R608/'공식·설정'!$B$7</x:f>
        <x:v>4943</x:v>
      </x:c>
      <x:c r="V608" s="65" t="n">
        <x:f>S608/'공식·설정'!$B$7</x:f>
        <x:v>4943</x:v>
      </x:c>
      <x:c r="W608" s="14" t="n">
        <x:v>677</x:v>
      </x:c>
      <x:c r="X608" s="14" t="n">
        <x:f>INT(ABS(K609-K608)*'공식·설정'!$B$8/K608)</x:f>
        <x:v>677</x:v>
      </x:c>
      <x:c r="Y608" s="68" t="n">
        <x:f>X608-W608</x:f>
        <x:v>0</x:v>
      </x:c>
      <x:c r="Z608" s="66" t="n">
        <x:f>W608/'공식·설정'!$B$8</x:f>
        <x:v>0.0103302001953125</x:v>
      </x:c>
      <x:c r="AA608" s="66" t="n">
        <x:f>X608/'공식·설정'!$B$8</x:f>
        <x:v>0.0103302001953125</x:v>
      </x:c>
      <x:c r="AB608" s="67" t="str">
        <x:f>IF(AND(I608=0,L608=0,Q608=0,T608=0,Y608=0),"PASS","FAIL")</x:f>
        <x:v>PASS</x:v>
      </x:c>
    </x:row>
    <x:row r="609" ht="18" customHeight="1">
      <x:c r="A609" s="14" t="n">
        <x:v>712</x:v>
      </x:c>
      <x:c r="B609" s="14" t="n">
        <x:v>604</x:v>
      </x:c>
      <x:c r="C609" s="14" t="n">
        <x:v>700</x:v>
      </x:c>
      <x:c r="D609" s="14" t="n">
        <x:v>171132</x:v>
      </x:c>
      <x:c r="E609" s="14" t="n">
        <x:v>714</x:v>
      </x:c>
      <x:c r="F609" s="14" t="n">
        <x:v>199062</x:v>
      </x:c>
      <x:c r="G609" s="14" t="n">
        <x:v>195072</x:v>
      </x:c>
      <x:c r="H609" s="14" t="n">
        <x:f>INT((F609-D609)*(A609-C609)/(E609-C609))+D609</x:f>
        <x:v>195072</x:v>
      </x:c>
      <x:c r="I609" s="68" t="n">
        <x:f>H609-G609</x:f>
        <x:v>0</x:v>
      </x:c>
      <x:c r="J609" s="14" t="n">
        <x:v>1269973</x:v>
      </x:c>
      <x:c r="K609" s="14" t="n">
        <x:f>INT(H609*'공식·설정'!$B$10/'공식·설정'!$B$15)</x:f>
        <x:v>1269973</x:v>
      </x:c>
      <x:c r="L609" s="68" t="n">
        <x:f>K609-J609</x:f>
        <x:v>0</x:v>
      </x:c>
      <x:c r="M609" s="65" t="n">
        <x:f>J609/'공식·설정'!$B$7</x:f>
        <x:v>4960.83203125</x:v>
      </x:c>
      <x:c r="N609" s="65" t="n">
        <x:f>K609/'공식·설정'!$B$7</x:f>
        <x:v>4960.83203125</x:v>
      </x:c>
      <x:c r="O609" s="14" t="n">
        <x:v>496</x:v>
      </x:c>
      <x:c r="P609" s="14" t="n">
        <x:f>MIN(32767,MAX(0,INT((K609+INT('공식·설정'!$B$12/2))/'공식·설정'!$B$12)))</x:f>
        <x:v>496</x:v>
      </x:c>
      <x:c r="Q609" s="68" t="n">
        <x:f>P609-O609</x:f>
        <x:v>0</x:v>
      </x:c>
      <x:c r="R609" s="14" t="n">
        <x:v>1278208</x:v>
      </x:c>
      <x:c r="S609" s="14" t="n">
        <x:f>P609*'공식·설정'!$B$12+'공식·설정'!$B$14</x:f>
        <x:v>1278208</x:v>
      </x:c>
      <x:c r="T609" s="68" t="n">
        <x:f>S609-R609</x:f>
        <x:v>0</x:v>
      </x:c>
      <x:c r="U609" s="65" t="n">
        <x:f>R609/'공식·설정'!$B$7</x:f>
        <x:v>4993</x:v>
      </x:c>
      <x:c r="V609" s="65" t="n">
        <x:f>S609/'공식·설정'!$B$7</x:f>
        <x:v>4993</x:v>
      </x:c>
      <x:c r="W609" s="14" t="n">
        <x:v>670</x:v>
      </x:c>
      <x:c r="X609" s="14" t="n">
        <x:f>INT(ABS(K610-K609)*'공식·설정'!$B$8/K609)</x:f>
        <x:v>670</x:v>
      </x:c>
      <x:c r="Y609" s="68" t="n">
        <x:f>X609-W609</x:f>
        <x:v>0</x:v>
      </x:c>
      <x:c r="Z609" s="66" t="n">
        <x:f>W609/'공식·설정'!$B$8</x:f>
        <x:v>0.010223388671875</x:v>
      </x:c>
      <x:c r="AA609" s="66" t="n">
        <x:f>X609/'공식·설정'!$B$8</x:f>
        <x:v>0.010223388671875</x:v>
      </x:c>
      <x:c r="AB609" s="67" t="str">
        <x:f>IF(AND(I609=0,L609=0,Q609=0,T609=0,Y609=0),"PASS","FAIL")</x:f>
        <x:v>PASS</x:v>
      </x:c>
    </x:row>
    <x:row r="610" ht="18" customHeight="1">
      <x:c r="A610" s="14" t="n">
        <x:v>713</x:v>
      </x:c>
      <x:c r="B610" s="14" t="n">
        <x:v>605</x:v>
      </x:c>
      <x:c r="C610" s="14" t="n">
        <x:v>700</x:v>
      </x:c>
      <x:c r="D610" s="14" t="n">
        <x:v>171132</x:v>
      </x:c>
      <x:c r="E610" s="14" t="n">
        <x:v>714</x:v>
      </x:c>
      <x:c r="F610" s="14" t="n">
        <x:v>199062</x:v>
      </x:c>
      <x:c r="G610" s="14" t="n">
        <x:v>197067</x:v>
      </x:c>
      <x:c r="H610" s="14" t="n">
        <x:f>INT((F610-D610)*(A610-C610)/(E610-C610))+D610</x:f>
        <x:v>197067</x:v>
      </x:c>
      <x:c r="I610" s="68" t="n">
        <x:f>H610-G610</x:f>
        <x:v>0</x:v>
      </x:c>
      <x:c r="J610" s="14" t="n">
        <x:v>1282961</x:v>
      </x:c>
      <x:c r="K610" s="14" t="n">
        <x:f>INT(H610*'공식·설정'!$B$10/'공식·설정'!$B$15)</x:f>
        <x:v>1282961</x:v>
      </x:c>
      <x:c r="L610" s="68" t="n">
        <x:f>K610-J610</x:f>
        <x:v>0</x:v>
      </x:c>
      <x:c r="M610" s="65" t="n">
        <x:f>J610/'공식·설정'!$B$7</x:f>
        <x:v>5011.56640625</x:v>
      </x:c>
      <x:c r="N610" s="65" t="n">
        <x:f>K610/'공식·설정'!$B$7</x:f>
        <x:v>5011.56640625</x:v>
      </x:c>
      <x:c r="O610" s="14" t="n">
        <x:v>501</x:v>
      </x:c>
      <x:c r="P610" s="14" t="n">
        <x:f>MIN(32767,MAX(0,INT((K610+INT('공식·설정'!$B$12/2))/'공식·설정'!$B$12)))</x:f>
        <x:v>501</x:v>
      </x:c>
      <x:c r="Q610" s="68" t="n">
        <x:f>P610-O610</x:f>
        <x:v>0</x:v>
      </x:c>
      <x:c r="R610" s="14" t="n">
        <x:v>1291008</x:v>
      </x:c>
      <x:c r="S610" s="14" t="n">
        <x:f>P610*'공식·설정'!$B$12+'공식·설정'!$B$14</x:f>
        <x:v>1291008</x:v>
      </x:c>
      <x:c r="T610" s="68" t="n">
        <x:f>S610-R610</x:f>
        <x:v>0</x:v>
      </x:c>
      <x:c r="U610" s="65" t="n">
        <x:f>R610/'공식·설정'!$B$7</x:f>
        <x:v>5043</x:v>
      </x:c>
      <x:c r="V610" s="65" t="n">
        <x:f>S610/'공식·설정'!$B$7</x:f>
        <x:v>5043</x:v>
      </x:c>
      <x:c r="W610" s="14" t="n">
        <x:v>663</x:v>
      </x:c>
      <x:c r="X610" s="14" t="n">
        <x:f>INT(ABS(K611-K610)*'공식·설정'!$B$8/K610)</x:f>
        <x:v>663</x:v>
      </x:c>
      <x:c r="Y610" s="68" t="n">
        <x:f>X610-W610</x:f>
        <x:v>0</x:v>
      </x:c>
      <x:c r="Z610" s="66" t="n">
        <x:f>W610/'공식·설정'!$B$8</x:f>
        <x:v>0.0101165771484375</x:v>
      </x:c>
      <x:c r="AA610" s="66" t="n">
        <x:f>X610/'공식·설정'!$B$8</x:f>
        <x:v>0.0101165771484375</x:v>
      </x:c>
      <x:c r="AB610" s="67" t="str">
        <x:f>IF(AND(I610=0,L610=0,Q610=0,T610=0,Y610=0),"PASS","FAIL")</x:f>
        <x:v>PASS</x:v>
      </x:c>
    </x:row>
    <x:row r="611" ht="18" customHeight="1">
      <x:c r="A611" s="14" t="n">
        <x:v>714</x:v>
      </x:c>
      <x:c r="B611" s="14" t="n">
        <x:v>606</x:v>
      </x:c>
      <x:c r="C611" s="14" t="n">
        <x:v>714</x:v>
      </x:c>
      <x:c r="D611" s="14" t="n">
        <x:v>199062</x:v>
      </x:c>
      <x:c r="E611" s="14" t="n">
        <x:v>721</x:v>
      </x:c>
      <x:c r="F611" s="14" t="n">
        <x:v>215304</x:v>
      </x:c>
      <x:c r="G611" s="14" t="n">
        <x:v>199062</x:v>
      </x:c>
      <x:c r="H611" s="14" t="n">
        <x:f>INT((F611-D611)*(A611-C611)/(E611-C611))+D611</x:f>
        <x:v>199062</x:v>
      </x:c>
      <x:c r="I611" s="68" t="n">
        <x:f>H611-G611</x:f>
        <x:v>0</x:v>
      </x:c>
      <x:c r="J611" s="14" t="n">
        <x:v>1295949</x:v>
      </x:c>
      <x:c r="K611" s="14" t="n">
        <x:f>INT(H611*'공식·설정'!$B$10/'공식·설정'!$B$15)</x:f>
        <x:v>1295949</x:v>
      </x:c>
      <x:c r="L611" s="68" t="n">
        <x:f>K611-J611</x:f>
        <x:v>0</x:v>
      </x:c>
      <x:c r="M611" s="65" t="n">
        <x:f>J611/'공식·설정'!$B$7</x:f>
        <x:v>5062.30078125</x:v>
      </x:c>
      <x:c r="N611" s="65" t="n">
        <x:f>K611/'공식·설정'!$B$7</x:f>
        <x:v>5062.30078125</x:v>
      </x:c>
      <x:c r="O611" s="14" t="n">
        <x:v>506</x:v>
      </x:c>
      <x:c r="P611" s="14" t="n">
        <x:f>MIN(32767,MAX(0,INT((K611+INT('공식·설정'!$B$12/2))/'공식·설정'!$B$12)))</x:f>
        <x:v>506</x:v>
      </x:c>
      <x:c r="Q611" s="68" t="n">
        <x:f>P611-O611</x:f>
        <x:v>0</x:v>
      </x:c>
      <x:c r="R611" s="14" t="n">
        <x:v>1303808</x:v>
      </x:c>
      <x:c r="S611" s="14" t="n">
        <x:f>P611*'공식·설정'!$B$12+'공식·설정'!$B$14</x:f>
        <x:v>1303808</x:v>
      </x:c>
      <x:c r="T611" s="68" t="n">
        <x:f>S611-R611</x:f>
        <x:v>0</x:v>
      </x:c>
      <x:c r="U611" s="65" t="n">
        <x:f>R611/'공식·설정'!$B$7</x:f>
        <x:v>5093</x:v>
      </x:c>
      <x:c r="V611" s="65" t="n">
        <x:f>S611/'공식·설정'!$B$7</x:f>
        <x:v>5093</x:v>
      </x:c>
      <x:c r="W611" s="14" t="n">
        <x:v>763</x:v>
      </x:c>
      <x:c r="X611" s="14" t="n">
        <x:f>INT(ABS(K612-K611)*'공식·설정'!$B$8/K611)</x:f>
        <x:v>763</x:v>
      </x:c>
      <x:c r="Y611" s="68" t="n">
        <x:f>X611-W611</x:f>
        <x:v>0</x:v>
      </x:c>
      <x:c r="Z611" s="66" t="n">
        <x:f>W611/'공식·설정'!$B$8</x:f>
        <x:v>0.0116424560546875</x:v>
      </x:c>
      <x:c r="AA611" s="66" t="n">
        <x:f>X611/'공식·설정'!$B$8</x:f>
        <x:v>0.0116424560546875</x:v>
      </x:c>
      <x:c r="AB611" s="67" t="str">
        <x:f>IF(AND(I611=0,L611=0,Q611=0,T611=0,Y611=0),"PASS","FAIL")</x:f>
        <x:v>PASS</x:v>
      </x:c>
    </x:row>
    <x:row r="612" ht="18" customHeight="1">
      <x:c r="A612" s="14" t="n">
        <x:v>715</x:v>
      </x:c>
      <x:c r="B612" s="14" t="n">
        <x:v>607</x:v>
      </x:c>
      <x:c r="C612" s="14" t="n">
        <x:v>714</x:v>
      </x:c>
      <x:c r="D612" s="14" t="n">
        <x:v>199062</x:v>
      </x:c>
      <x:c r="E612" s="14" t="n">
        <x:v>721</x:v>
      </x:c>
      <x:c r="F612" s="14" t="n">
        <x:v>215304</x:v>
      </x:c>
      <x:c r="G612" s="14" t="n">
        <x:v>201382</x:v>
      </x:c>
      <x:c r="H612" s="14" t="n">
        <x:f>INT((F612-D612)*(A612-C612)/(E612-C612))+D612</x:f>
        <x:v>201382</x:v>
      </x:c>
      <x:c r="I612" s="68" t="n">
        <x:f>H612-G612</x:f>
        <x:v>0</x:v>
      </x:c>
      <x:c r="J612" s="14" t="n">
        <x:v>1311053</x:v>
      </x:c>
      <x:c r="K612" s="14" t="n">
        <x:f>INT(H612*'공식·설정'!$B$10/'공식·설정'!$B$15)</x:f>
        <x:v>1311053</x:v>
      </x:c>
      <x:c r="L612" s="68" t="n">
        <x:f>K612-J612</x:f>
        <x:v>0</x:v>
      </x:c>
      <x:c r="M612" s="65" t="n">
        <x:f>J612/'공식·설정'!$B$7</x:f>
        <x:v>5121.30078125</x:v>
      </x:c>
      <x:c r="N612" s="65" t="n">
        <x:f>K612/'공식·설정'!$B$7</x:f>
        <x:v>5121.30078125</x:v>
      </x:c>
      <x:c r="O612" s="14" t="n">
        <x:v>512</x:v>
      </x:c>
      <x:c r="P612" s="14" t="n">
        <x:f>MIN(32767,MAX(0,INT((K612+INT('공식·설정'!$B$12/2))/'공식·설정'!$B$12)))</x:f>
        <x:v>512</x:v>
      </x:c>
      <x:c r="Q612" s="68" t="n">
        <x:f>P612-O612</x:f>
        <x:v>0</x:v>
      </x:c>
      <x:c r="R612" s="14" t="n">
        <x:v>1319168</x:v>
      </x:c>
      <x:c r="S612" s="14" t="n">
        <x:f>P612*'공식·설정'!$B$12+'공식·설정'!$B$14</x:f>
        <x:v>1319168</x:v>
      </x:c>
      <x:c r="T612" s="68" t="n">
        <x:f>S612-R612</x:f>
        <x:v>0</x:v>
      </x:c>
      <x:c r="U612" s="65" t="n">
        <x:f>R612/'공식·설정'!$B$7</x:f>
        <x:v>5153</x:v>
      </x:c>
      <x:c r="V612" s="65" t="n">
        <x:f>S612/'공식·설정'!$B$7</x:f>
        <x:v>5153</x:v>
      </x:c>
      <x:c r="W612" s="14" t="n">
        <x:v>755</x:v>
      </x:c>
      <x:c r="X612" s="14" t="n">
        <x:f>INT(ABS(K613-K612)*'공식·설정'!$B$8/K612)</x:f>
        <x:v>755</x:v>
      </x:c>
      <x:c r="Y612" s="68" t="n">
        <x:f>X612-W612</x:f>
        <x:v>0</x:v>
      </x:c>
      <x:c r="Z612" s="66" t="n">
        <x:f>W612/'공식·설정'!$B$8</x:f>
        <x:v>0.0115203857421875</x:v>
      </x:c>
      <x:c r="AA612" s="66" t="n">
        <x:f>X612/'공식·설정'!$B$8</x:f>
        <x:v>0.0115203857421875</x:v>
      </x:c>
      <x:c r="AB612" s="67" t="str">
        <x:f>IF(AND(I612=0,L612=0,Q612=0,T612=0,Y612=0),"PASS","FAIL")</x:f>
        <x:v>PASS</x:v>
      </x:c>
    </x:row>
    <x:row r="613" ht="18" customHeight="1">
      <x:c r="A613" s="14" t="n">
        <x:v>716</x:v>
      </x:c>
      <x:c r="B613" s="14" t="n">
        <x:v>608</x:v>
      </x:c>
      <x:c r="C613" s="14" t="n">
        <x:v>714</x:v>
      </x:c>
      <x:c r="D613" s="14" t="n">
        <x:v>199062</x:v>
      </x:c>
      <x:c r="E613" s="14" t="n">
        <x:v>721</x:v>
      </x:c>
      <x:c r="F613" s="14" t="n">
        <x:v>215304</x:v>
      </x:c>
      <x:c r="G613" s="14" t="n">
        <x:v>203702</x:v>
      </x:c>
      <x:c r="H613" s="14" t="n">
        <x:f>INT((F613-D613)*(A613-C613)/(E613-C613))+D613</x:f>
        <x:v>203702</x:v>
      </x:c>
      <x:c r="I613" s="68" t="n">
        <x:f>H613-G613</x:f>
        <x:v>0</x:v>
      </x:c>
      <x:c r="J613" s="14" t="n">
        <x:v>1326157</x:v>
      </x:c>
      <x:c r="K613" s="14" t="n">
        <x:f>INT(H613*'공식·설정'!$B$10/'공식·설정'!$B$15)</x:f>
        <x:v>1326157</x:v>
      </x:c>
      <x:c r="L613" s="68" t="n">
        <x:f>K613-J613</x:f>
        <x:v>0</x:v>
      </x:c>
      <x:c r="M613" s="65" t="n">
        <x:f>J613/'공식·설정'!$B$7</x:f>
        <x:v>5180.30078125</x:v>
      </x:c>
      <x:c r="N613" s="65" t="n">
        <x:f>K613/'공식·설정'!$B$7</x:f>
        <x:v>5180.30078125</x:v>
      </x:c>
      <x:c r="O613" s="14" t="n">
        <x:v>518</x:v>
      </x:c>
      <x:c r="P613" s="14" t="n">
        <x:f>MIN(32767,MAX(0,INT((K613+INT('공식·설정'!$B$12/2))/'공식·설정'!$B$12)))</x:f>
        <x:v>518</x:v>
      </x:c>
      <x:c r="Q613" s="68" t="n">
        <x:f>P613-O613</x:f>
        <x:v>0</x:v>
      </x:c>
      <x:c r="R613" s="14" t="n">
        <x:v>1334528</x:v>
      </x:c>
      <x:c r="S613" s="14" t="n">
        <x:f>P613*'공식·설정'!$B$12+'공식·설정'!$B$14</x:f>
        <x:v>1334528</x:v>
      </x:c>
      <x:c r="T613" s="68" t="n">
        <x:f>S613-R613</x:f>
        <x:v>0</x:v>
      </x:c>
      <x:c r="U613" s="65" t="n">
        <x:f>R613/'공식·설정'!$B$7</x:f>
        <x:v>5213</x:v>
      </x:c>
      <x:c r="V613" s="65" t="n">
        <x:f>S613/'공식·설정'!$B$7</x:f>
        <x:v>5213</x:v>
      </x:c>
      <x:c r="W613" s="14" t="n">
        <x:v>746</x:v>
      </x:c>
      <x:c r="X613" s="14" t="n">
        <x:f>INT(ABS(K614-K613)*'공식·설정'!$B$8/K613)</x:f>
        <x:v>746</x:v>
      </x:c>
      <x:c r="Y613" s="68" t="n">
        <x:f>X613-W613</x:f>
        <x:v>0</x:v>
      </x:c>
      <x:c r="Z613" s="66" t="n">
        <x:f>W613/'공식·설정'!$B$8</x:f>
        <x:v>0.011383056640625</x:v>
      </x:c>
      <x:c r="AA613" s="66" t="n">
        <x:f>X613/'공식·설정'!$B$8</x:f>
        <x:v>0.011383056640625</x:v>
      </x:c>
      <x:c r="AB613" s="67" t="str">
        <x:f>IF(AND(I613=0,L613=0,Q613=0,T613=0,Y613=0),"PASS","FAIL")</x:f>
        <x:v>PASS</x:v>
      </x:c>
    </x:row>
    <x:row r="614" ht="18" customHeight="1">
      <x:c r="A614" s="14" t="n">
        <x:v>717</x:v>
      </x:c>
      <x:c r="B614" s="14" t="n">
        <x:v>609</x:v>
      </x:c>
      <x:c r="C614" s="14" t="n">
        <x:v>714</x:v>
      </x:c>
      <x:c r="D614" s="14" t="n">
        <x:v>199062</x:v>
      </x:c>
      <x:c r="E614" s="14" t="n">
        <x:v>721</x:v>
      </x:c>
      <x:c r="F614" s="14" t="n">
        <x:v>215304</x:v>
      </x:c>
      <x:c r="G614" s="14" t="n">
        <x:v>206022</x:v>
      </x:c>
      <x:c r="H614" s="14" t="n">
        <x:f>INT((F614-D614)*(A614-C614)/(E614-C614))+D614</x:f>
        <x:v>206022</x:v>
      </x:c>
      <x:c r="I614" s="68" t="n">
        <x:f>H614-G614</x:f>
        <x:v>0</x:v>
      </x:c>
      <x:c r="J614" s="14" t="n">
        <x:v>1341261</x:v>
      </x:c>
      <x:c r="K614" s="14" t="n">
        <x:f>INT(H614*'공식·설정'!$B$10/'공식·설정'!$B$15)</x:f>
        <x:v>1341261</x:v>
      </x:c>
      <x:c r="L614" s="68" t="n">
        <x:f>K614-J614</x:f>
        <x:v>0</x:v>
      </x:c>
      <x:c r="M614" s="65" t="n">
        <x:f>J614/'공식·설정'!$B$7</x:f>
        <x:v>5239.30078125</x:v>
      </x:c>
      <x:c r="N614" s="65" t="n">
        <x:f>K614/'공식·설정'!$B$7</x:f>
        <x:v>5239.30078125</x:v>
      </x:c>
      <x:c r="O614" s="14" t="n">
        <x:v>524</x:v>
      </x:c>
      <x:c r="P614" s="14" t="n">
        <x:f>MIN(32767,MAX(0,INT((K614+INT('공식·설정'!$B$12/2))/'공식·설정'!$B$12)))</x:f>
        <x:v>524</x:v>
      </x:c>
      <x:c r="Q614" s="68" t="n">
        <x:f>P614-O614</x:f>
        <x:v>0</x:v>
      </x:c>
      <x:c r="R614" s="14" t="n">
        <x:v>1349888</x:v>
      </x:c>
      <x:c r="S614" s="14" t="n">
        <x:f>P614*'공식·설정'!$B$12+'공식·설정'!$B$14</x:f>
        <x:v>1349888</x:v>
      </x:c>
      <x:c r="T614" s="68" t="n">
        <x:f>S614-R614</x:f>
        <x:v>0</x:v>
      </x:c>
      <x:c r="U614" s="65" t="n">
        <x:f>R614/'공식·설정'!$B$7</x:f>
        <x:v>5273</x:v>
      </x:c>
      <x:c r="V614" s="65" t="n">
        <x:f>S614/'공식·설정'!$B$7</x:f>
        <x:v>5273</x:v>
      </x:c>
      <x:c r="W614" s="14" t="n">
        <x:v>738</x:v>
      </x:c>
      <x:c r="X614" s="14" t="n">
        <x:f>INT(ABS(K615-K614)*'공식·설정'!$B$8/K614)</x:f>
        <x:v>738</x:v>
      </x:c>
      <x:c r="Y614" s="68" t="n">
        <x:f>X614-W614</x:f>
        <x:v>0</x:v>
      </x:c>
      <x:c r="Z614" s="66" t="n">
        <x:f>W614/'공식·설정'!$B$8</x:f>
        <x:v>0.011260986328125</x:v>
      </x:c>
      <x:c r="AA614" s="66" t="n">
        <x:f>X614/'공식·설정'!$B$8</x:f>
        <x:v>0.011260986328125</x:v>
      </x:c>
      <x:c r="AB614" s="67" t="str">
        <x:f>IF(AND(I614=0,L614=0,Q614=0,T614=0,Y614=0),"PASS","FAIL")</x:f>
        <x:v>PASS</x:v>
      </x:c>
    </x:row>
    <x:row r="615" ht="18" customHeight="1">
      <x:c r="A615" s="14" t="n">
        <x:v>718</x:v>
      </x:c>
      <x:c r="B615" s="14" t="n">
        <x:v>610</x:v>
      </x:c>
      <x:c r="C615" s="14" t="n">
        <x:v>714</x:v>
      </x:c>
      <x:c r="D615" s="14" t="n">
        <x:v>199062</x:v>
      </x:c>
      <x:c r="E615" s="14" t="n">
        <x:v>721</x:v>
      </x:c>
      <x:c r="F615" s="14" t="n">
        <x:v>215304</x:v>
      </x:c>
      <x:c r="G615" s="14" t="n">
        <x:v>208343</x:v>
      </x:c>
      <x:c r="H615" s="14" t="n">
        <x:f>INT((F615-D615)*(A615-C615)/(E615-C615))+D615</x:f>
        <x:v>208343</x:v>
      </x:c>
      <x:c r="I615" s="68" t="n">
        <x:f>H615-G615</x:f>
        <x:v>0</x:v>
      </x:c>
      <x:c r="J615" s="14" t="n">
        <x:v>1356371</x:v>
      </x:c>
      <x:c r="K615" s="14" t="n">
        <x:f>INT(H615*'공식·설정'!$B$10/'공식·설정'!$B$15)</x:f>
        <x:v>1356371</x:v>
      </x:c>
      <x:c r="L615" s="68" t="n">
        <x:f>K615-J615</x:f>
        <x:v>0</x:v>
      </x:c>
      <x:c r="M615" s="65" t="n">
        <x:f>J615/'공식·설정'!$B$7</x:f>
        <x:v>5298.32421875</x:v>
      </x:c>
      <x:c r="N615" s="65" t="n">
        <x:f>K615/'공식·설정'!$B$7</x:f>
        <x:v>5298.32421875</x:v>
      </x:c>
      <x:c r="O615" s="14" t="n">
        <x:v>530</x:v>
      </x:c>
      <x:c r="P615" s="14" t="n">
        <x:f>MIN(32767,MAX(0,INT((K615+INT('공식·설정'!$B$12/2))/'공식·설정'!$B$12)))</x:f>
        <x:v>530</x:v>
      </x:c>
      <x:c r="Q615" s="68" t="n">
        <x:f>P615-O615</x:f>
        <x:v>0</x:v>
      </x:c>
      <x:c r="R615" s="14" t="n">
        <x:v>1365248</x:v>
      </x:c>
      <x:c r="S615" s="14" t="n">
        <x:f>P615*'공식·설정'!$B$12+'공식·설정'!$B$14</x:f>
        <x:v>1365248</x:v>
      </x:c>
      <x:c r="T615" s="68" t="n">
        <x:f>S615-R615</x:f>
        <x:v>0</x:v>
      </x:c>
      <x:c r="U615" s="65" t="n">
        <x:f>R615/'공식·설정'!$B$7</x:f>
        <x:v>5333</x:v>
      </x:c>
      <x:c r="V615" s="65" t="n">
        <x:f>S615/'공식·설정'!$B$7</x:f>
        <x:v>5333</x:v>
      </x:c>
      <x:c r="W615" s="14" t="n">
        <x:v>729</x:v>
      </x:c>
      <x:c r="X615" s="14" t="n">
        <x:f>INT(ABS(K616-K615)*'공식·설정'!$B$8/K615)</x:f>
        <x:v>729</x:v>
      </x:c>
      <x:c r="Y615" s="68" t="n">
        <x:f>X615-W615</x:f>
        <x:v>0</x:v>
      </x:c>
      <x:c r="Z615" s="66" t="n">
        <x:f>W615/'공식·설정'!$B$8</x:f>
        <x:v>0.0111236572265625</x:v>
      </x:c>
      <x:c r="AA615" s="66" t="n">
        <x:f>X615/'공식·설정'!$B$8</x:f>
        <x:v>0.0111236572265625</x:v>
      </x:c>
      <x:c r="AB615" s="67" t="str">
        <x:f>IF(AND(I615=0,L615=0,Q615=0,T615=0,Y615=0),"PASS","FAIL")</x:f>
        <x:v>PASS</x:v>
      </x:c>
    </x:row>
    <x:row r="616" ht="18" customHeight="1">
      <x:c r="A616" s="14" t="n">
        <x:v>719</x:v>
      </x:c>
      <x:c r="B616" s="14" t="n">
        <x:v>611</x:v>
      </x:c>
      <x:c r="C616" s="14" t="n">
        <x:v>714</x:v>
      </x:c>
      <x:c r="D616" s="14" t="n">
        <x:v>199062</x:v>
      </x:c>
      <x:c r="E616" s="14" t="n">
        <x:v>721</x:v>
      </x:c>
      <x:c r="F616" s="14" t="n">
        <x:v>215304</x:v>
      </x:c>
      <x:c r="G616" s="14" t="n">
        <x:v>210663</x:v>
      </x:c>
      <x:c r="H616" s="14" t="n">
        <x:f>INT((F616-D616)*(A616-C616)/(E616-C616))+D616</x:f>
        <x:v>210663</x:v>
      </x:c>
      <x:c r="I616" s="68" t="n">
        <x:f>H616-G616</x:f>
        <x:v>0</x:v>
      </x:c>
      <x:c r="J616" s="14" t="n">
        <x:v>1371475</x:v>
      </x:c>
      <x:c r="K616" s="14" t="n">
        <x:f>INT(H616*'공식·설정'!$B$10/'공식·설정'!$B$15)</x:f>
        <x:v>1371475</x:v>
      </x:c>
      <x:c r="L616" s="68" t="n">
        <x:f>K616-J616</x:f>
        <x:v>0</x:v>
      </x:c>
      <x:c r="M616" s="65" t="n">
        <x:f>J616/'공식·설정'!$B$7</x:f>
        <x:v>5357.32421875</x:v>
      </x:c>
      <x:c r="N616" s="65" t="n">
        <x:f>K616/'공식·설정'!$B$7</x:f>
        <x:v>5357.32421875</x:v>
      </x:c>
      <x:c r="O616" s="14" t="n">
        <x:v>536</x:v>
      </x:c>
      <x:c r="P616" s="14" t="n">
        <x:f>MIN(32767,MAX(0,INT((K616+INT('공식·설정'!$B$12/2))/'공식·설정'!$B$12)))</x:f>
        <x:v>536</x:v>
      </x:c>
      <x:c r="Q616" s="68" t="n">
        <x:f>P616-O616</x:f>
        <x:v>0</x:v>
      </x:c>
      <x:c r="R616" s="14" t="n">
        <x:v>1380608</x:v>
      </x:c>
      <x:c r="S616" s="14" t="n">
        <x:f>P616*'공식·설정'!$B$12+'공식·설정'!$B$14</x:f>
        <x:v>1380608</x:v>
      </x:c>
      <x:c r="T616" s="68" t="n">
        <x:f>S616-R616</x:f>
        <x:v>0</x:v>
      </x:c>
      <x:c r="U616" s="65" t="n">
        <x:f>R616/'공식·설정'!$B$7</x:f>
        <x:v>5393</x:v>
      </x:c>
      <x:c r="V616" s="65" t="n">
        <x:f>S616/'공식·설정'!$B$7</x:f>
        <x:v>5393</x:v>
      </x:c>
      <x:c r="W616" s="14" t="n">
        <x:v>721</x:v>
      </x:c>
      <x:c r="X616" s="14" t="n">
        <x:f>INT(ABS(K617-K616)*'공식·설정'!$B$8/K616)</x:f>
        <x:v>721</x:v>
      </x:c>
      <x:c r="Y616" s="68" t="n">
        <x:f>X616-W616</x:f>
        <x:v>0</x:v>
      </x:c>
      <x:c r="Z616" s="66" t="n">
        <x:f>W616/'공식·설정'!$B$8</x:f>
        <x:v>0.0110015869140625</x:v>
      </x:c>
      <x:c r="AA616" s="66" t="n">
        <x:f>X616/'공식·설정'!$B$8</x:f>
        <x:v>0.0110015869140625</x:v>
      </x:c>
      <x:c r="AB616" s="67" t="str">
        <x:f>IF(AND(I616=0,L616=0,Q616=0,T616=0,Y616=0),"PASS","FAIL")</x:f>
        <x:v>PASS</x:v>
      </x:c>
    </x:row>
    <x:row r="617" ht="18" customHeight="1">
      <x:c r="A617" s="14" t="n">
        <x:v>720</x:v>
      </x:c>
      <x:c r="B617" s="14" t="n">
        <x:v>612</x:v>
      </x:c>
      <x:c r="C617" s="14" t="n">
        <x:v>714</x:v>
      </x:c>
      <x:c r="D617" s="14" t="n">
        <x:v>199062</x:v>
      </x:c>
      <x:c r="E617" s="14" t="n">
        <x:v>721</x:v>
      </x:c>
      <x:c r="F617" s="14" t="n">
        <x:v>215304</x:v>
      </x:c>
      <x:c r="G617" s="14" t="n">
        <x:v>212983</x:v>
      </x:c>
      <x:c r="H617" s="14" t="n">
        <x:f>INT((F617-D617)*(A617-C617)/(E617-C617))+D617</x:f>
        <x:v>212983</x:v>
      </x:c>
      <x:c r="I617" s="68" t="n">
        <x:f>H617-G617</x:f>
        <x:v>0</x:v>
      </x:c>
      <x:c r="J617" s="14" t="n">
        <x:v>1386579</x:v>
      </x:c>
      <x:c r="K617" s="14" t="n">
        <x:f>INT(H617*'공식·설정'!$B$10/'공식·설정'!$B$15)</x:f>
        <x:v>1386579</x:v>
      </x:c>
      <x:c r="L617" s="68" t="n">
        <x:f>K617-J617</x:f>
        <x:v>0</x:v>
      </x:c>
      <x:c r="M617" s="65" t="n">
        <x:f>J617/'공식·설정'!$B$7</x:f>
        <x:v>5416.32421875</x:v>
      </x:c>
      <x:c r="N617" s="65" t="n">
        <x:f>K617/'공식·설정'!$B$7</x:f>
        <x:v>5416.32421875</x:v>
      </x:c>
      <x:c r="O617" s="14" t="n">
        <x:v>542</x:v>
      </x:c>
      <x:c r="P617" s="14" t="n">
        <x:f>MIN(32767,MAX(0,INT((K617+INT('공식·설정'!$B$12/2))/'공식·설정'!$B$12)))</x:f>
        <x:v>542</x:v>
      </x:c>
      <x:c r="Q617" s="68" t="n">
        <x:f>P617-O617</x:f>
        <x:v>0</x:v>
      </x:c>
      <x:c r="R617" s="14" t="n">
        <x:v>1395968</x:v>
      </x:c>
      <x:c r="S617" s="14" t="n">
        <x:f>P617*'공식·설정'!$B$12+'공식·설정'!$B$14</x:f>
        <x:v>1395968</x:v>
      </x:c>
      <x:c r="T617" s="68" t="n">
        <x:f>S617-R617</x:f>
        <x:v>0</x:v>
      </x:c>
      <x:c r="U617" s="65" t="n">
        <x:f>R617/'공식·설정'!$B$7</x:f>
        <x:v>5453</x:v>
      </x:c>
      <x:c r="V617" s="65" t="n">
        <x:f>S617/'공식·설정'!$B$7</x:f>
        <x:v>5453</x:v>
      </x:c>
      <x:c r="W617" s="14" t="n">
        <x:v>714</x:v>
      </x:c>
      <x:c r="X617" s="14" t="n">
        <x:f>INT(ABS(K618-K617)*'공식·설정'!$B$8/K617)</x:f>
        <x:v>714</x:v>
      </x:c>
      <x:c r="Y617" s="68" t="n">
        <x:f>X617-W617</x:f>
        <x:v>0</x:v>
      </x:c>
      <x:c r="Z617" s="66" t="n">
        <x:f>W617/'공식·설정'!$B$8</x:f>
        <x:v>0.010894775390625</x:v>
      </x:c>
      <x:c r="AA617" s="66" t="n">
        <x:f>X617/'공식·설정'!$B$8</x:f>
        <x:v>0.010894775390625</x:v>
      </x:c>
      <x:c r="AB617" s="67" t="str">
        <x:f>IF(AND(I617=0,L617=0,Q617=0,T617=0,Y617=0),"PASS","FAIL")</x:f>
        <x:v>PASS</x:v>
      </x:c>
    </x:row>
    <x:row r="618" ht="18" customHeight="1">
      <x:c r="A618" s="14" t="n">
        <x:v>721</x:v>
      </x:c>
      <x:c r="B618" s="14" t="n">
        <x:v>613</x:v>
      </x:c>
      <x:c r="C618" s="14" t="n">
        <x:v>721</x:v>
      </x:c>
      <x:c r="D618" s="14" t="n">
        <x:v>215304</x:v>
      </x:c>
      <x:c r="E618" s="14" t="n">
        <x:v>728</x:v>
      </x:c>
      <x:c r="F618" s="14" t="n">
        <x:v>231547</x:v>
      </x:c>
      <x:c r="G618" s="14" t="n">
        <x:v>215304</x:v>
      </x:c>
      <x:c r="H618" s="14" t="n">
        <x:f>INT((F618-D618)*(A618-C618)/(E618-C618))+D618</x:f>
        <x:v>215304</x:v>
      </x:c>
      <x:c r="I618" s="68" t="n">
        <x:f>H618-G618</x:f>
        <x:v>0</x:v>
      </x:c>
      <x:c r="J618" s="14" t="n">
        <x:v>1401689</x:v>
      </x:c>
      <x:c r="K618" s="14" t="n">
        <x:f>INT(H618*'공식·설정'!$B$10/'공식·설정'!$B$15)</x:f>
        <x:v>1401689</x:v>
      </x:c>
      <x:c r="L618" s="68" t="n">
        <x:f>K618-J618</x:f>
        <x:v>0</x:v>
      </x:c>
      <x:c r="M618" s="65" t="n">
        <x:f>J618/'공식·설정'!$B$7</x:f>
        <x:v>5475.34765625</x:v>
      </x:c>
      <x:c r="N618" s="65" t="n">
        <x:f>K618/'공식·설정'!$B$7</x:f>
        <x:v>5475.34765625</x:v>
      </x:c>
      <x:c r="O618" s="14" t="n">
        <x:v>548</x:v>
      </x:c>
      <x:c r="P618" s="14" t="n">
        <x:f>MIN(32767,MAX(0,INT((K618+INT('공식·설정'!$B$12/2))/'공식·설정'!$B$12)))</x:f>
        <x:v>548</x:v>
      </x:c>
      <x:c r="Q618" s="68" t="n">
        <x:f>P618-O618</x:f>
        <x:v>0</x:v>
      </x:c>
      <x:c r="R618" s="14" t="n">
        <x:v>1411328</x:v>
      </x:c>
      <x:c r="S618" s="14" t="n">
        <x:f>P618*'공식·설정'!$B$12+'공식·설정'!$B$14</x:f>
        <x:v>1411328</x:v>
      </x:c>
      <x:c r="T618" s="68" t="n">
        <x:f>S618-R618</x:f>
        <x:v>0</x:v>
      </x:c>
      <x:c r="U618" s="65" t="n">
        <x:f>R618/'공식·설정'!$B$7</x:f>
        <x:v>5513</x:v>
      </x:c>
      <x:c r="V618" s="65" t="n">
        <x:f>S618/'공식·설정'!$B$7</x:f>
        <x:v>5513</x:v>
      </x:c>
      <x:c r="W618" s="14" t="n">
        <x:v>706</x:v>
      </x:c>
      <x:c r="X618" s="14" t="n">
        <x:f>INT(ABS(K619-K618)*'공식·설정'!$B$8/K618)</x:f>
        <x:v>706</x:v>
      </x:c>
      <x:c r="Y618" s="68" t="n">
        <x:f>X618-W618</x:f>
        <x:v>0</x:v>
      </x:c>
      <x:c r="Z618" s="66" t="n">
        <x:f>W618/'공식·설정'!$B$8</x:f>
        <x:v>0.010772705078125</x:v>
      </x:c>
      <x:c r="AA618" s="66" t="n">
        <x:f>X618/'공식·설정'!$B$8</x:f>
        <x:v>0.010772705078125</x:v>
      </x:c>
      <x:c r="AB618" s="67" t="str">
        <x:f>IF(AND(I618=0,L618=0,Q618=0,T618=0,Y618=0),"PASS","FAIL")</x:f>
        <x:v>PASS</x:v>
      </x:c>
    </x:row>
    <x:row r="619" ht="18" customHeight="1">
      <x:c r="A619" s="14" t="n">
        <x:v>722</x:v>
      </x:c>
      <x:c r="B619" s="14" t="n">
        <x:v>614</x:v>
      </x:c>
      <x:c r="C619" s="14" t="n">
        <x:v>721</x:v>
      </x:c>
      <x:c r="D619" s="14" t="n">
        <x:v>215304</x:v>
      </x:c>
      <x:c r="E619" s="14" t="n">
        <x:v>728</x:v>
      </x:c>
      <x:c r="F619" s="14" t="n">
        <x:v>231547</x:v>
      </x:c>
      <x:c r="G619" s="14" t="n">
        <x:v>217624</x:v>
      </x:c>
      <x:c r="H619" s="14" t="n">
        <x:f>INT((F619-D619)*(A619-C619)/(E619-C619))+D619</x:f>
        <x:v>217624</x:v>
      </x:c>
      <x:c r="I619" s="68" t="n">
        <x:f>H619-G619</x:f>
        <x:v>0</x:v>
      </x:c>
      <x:c r="J619" s="14" t="n">
        <x:v>1416793</x:v>
      </x:c>
      <x:c r="K619" s="14" t="n">
        <x:f>INT(H619*'공식·설정'!$B$10/'공식·설정'!$B$15)</x:f>
        <x:v>1416793</x:v>
      </x:c>
      <x:c r="L619" s="68" t="n">
        <x:f>K619-J619</x:f>
        <x:v>0</x:v>
      </x:c>
      <x:c r="M619" s="65" t="n">
        <x:f>J619/'공식·설정'!$B$7</x:f>
        <x:v>5534.34765625</x:v>
      </x:c>
      <x:c r="N619" s="65" t="n">
        <x:f>K619/'공식·설정'!$B$7</x:f>
        <x:v>5534.34765625</x:v>
      </x:c>
      <x:c r="O619" s="14" t="n">
        <x:v>553</x:v>
      </x:c>
      <x:c r="P619" s="14" t="n">
        <x:f>MIN(32767,MAX(0,INT((K619+INT('공식·설정'!$B$12/2))/'공식·설정'!$B$12)))</x:f>
        <x:v>553</x:v>
      </x:c>
      <x:c r="Q619" s="68" t="n">
        <x:f>P619-O619</x:f>
        <x:v>0</x:v>
      </x:c>
      <x:c r="R619" s="14" t="n">
        <x:v>1424128</x:v>
      </x:c>
      <x:c r="S619" s="14" t="n">
        <x:f>P619*'공식·설정'!$B$12+'공식·설정'!$B$14</x:f>
        <x:v>1424128</x:v>
      </x:c>
      <x:c r="T619" s="68" t="n">
        <x:f>S619-R619</x:f>
        <x:v>0</x:v>
      </x:c>
      <x:c r="U619" s="65" t="n">
        <x:f>R619/'공식·설정'!$B$7</x:f>
        <x:v>5563</x:v>
      </x:c>
      <x:c r="V619" s="65" t="n">
        <x:f>S619/'공식·설정'!$B$7</x:f>
        <x:v>5563</x:v>
      </x:c>
      <x:c r="W619" s="14" t="n">
        <x:v>698</x:v>
      </x:c>
      <x:c r="X619" s="14" t="n">
        <x:f>INT(ABS(K620-K619)*'공식·설정'!$B$8/K619)</x:f>
        <x:v>698</x:v>
      </x:c>
      <x:c r="Y619" s="68" t="n">
        <x:f>X619-W619</x:f>
        <x:v>0</x:v>
      </x:c>
      <x:c r="Z619" s="66" t="n">
        <x:f>W619/'공식·설정'!$B$8</x:f>
        <x:v>0.010650634765625</x:v>
      </x:c>
      <x:c r="AA619" s="66" t="n">
        <x:f>X619/'공식·설정'!$B$8</x:f>
        <x:v>0.010650634765625</x:v>
      </x:c>
      <x:c r="AB619" s="67" t="str">
        <x:f>IF(AND(I619=0,L619=0,Q619=0,T619=0,Y619=0),"PASS","FAIL")</x:f>
        <x:v>PASS</x:v>
      </x:c>
    </x:row>
    <x:row r="620" ht="18" customHeight="1">
      <x:c r="A620" s="14" t="n">
        <x:v>723</x:v>
      </x:c>
      <x:c r="B620" s="14" t="n">
        <x:v>615</x:v>
      </x:c>
      <x:c r="C620" s="14" t="n">
        <x:v>721</x:v>
      </x:c>
      <x:c r="D620" s="14" t="n">
        <x:v>215304</x:v>
      </x:c>
      <x:c r="E620" s="14" t="n">
        <x:v>728</x:v>
      </x:c>
      <x:c r="F620" s="14" t="n">
        <x:v>231547</x:v>
      </x:c>
      <x:c r="G620" s="14" t="n">
        <x:v>219944</x:v>
      </x:c>
      <x:c r="H620" s="14" t="n">
        <x:f>INT((F620-D620)*(A620-C620)/(E620-C620))+D620</x:f>
        <x:v>219944</x:v>
      </x:c>
      <x:c r="I620" s="68" t="n">
        <x:f>H620-G620</x:f>
        <x:v>0</x:v>
      </x:c>
      <x:c r="J620" s="14" t="n">
        <x:v>1431897</x:v>
      </x:c>
      <x:c r="K620" s="14" t="n">
        <x:f>INT(H620*'공식·설정'!$B$10/'공식·설정'!$B$15)</x:f>
        <x:v>1431897</x:v>
      </x:c>
      <x:c r="L620" s="68" t="n">
        <x:f>K620-J620</x:f>
        <x:v>0</x:v>
      </x:c>
      <x:c r="M620" s="65" t="n">
        <x:f>J620/'공식·설정'!$B$7</x:f>
        <x:v>5593.34765625</x:v>
      </x:c>
      <x:c r="N620" s="65" t="n">
        <x:f>K620/'공식·설정'!$B$7</x:f>
        <x:v>5593.34765625</x:v>
      </x:c>
      <x:c r="O620" s="14" t="n">
        <x:v>559</x:v>
      </x:c>
      <x:c r="P620" s="14" t="n">
        <x:f>MIN(32767,MAX(0,INT((K620+INT('공식·설정'!$B$12/2))/'공식·설정'!$B$12)))</x:f>
        <x:v>559</x:v>
      </x:c>
      <x:c r="Q620" s="68" t="n">
        <x:f>P620-O620</x:f>
        <x:v>0</x:v>
      </x:c>
      <x:c r="R620" s="14" t="n">
        <x:v>1439488</x:v>
      </x:c>
      <x:c r="S620" s="14" t="n">
        <x:f>P620*'공식·설정'!$B$12+'공식·설정'!$B$14</x:f>
        <x:v>1439488</x:v>
      </x:c>
      <x:c r="T620" s="68" t="n">
        <x:f>S620-R620</x:f>
        <x:v>0</x:v>
      </x:c>
      <x:c r="U620" s="65" t="n">
        <x:f>R620/'공식·설정'!$B$7</x:f>
        <x:v>5623</x:v>
      </x:c>
      <x:c r="V620" s="65" t="n">
        <x:f>S620/'공식·설정'!$B$7</x:f>
        <x:v>5623</x:v>
      </x:c>
      <x:c r="W620" s="14" t="n">
        <x:v>691</x:v>
      </x:c>
      <x:c r="X620" s="14" t="n">
        <x:f>INT(ABS(K621-K620)*'공식·설정'!$B$8/K620)</x:f>
        <x:v>691</x:v>
      </x:c>
      <x:c r="Y620" s="68" t="n">
        <x:f>X620-W620</x:f>
        <x:v>0</x:v>
      </x:c>
      <x:c r="Z620" s="66" t="n">
        <x:f>W620/'공식·설정'!$B$8</x:f>
        <x:v>0.0105438232421875</x:v>
      </x:c>
      <x:c r="AA620" s="66" t="n">
        <x:f>X620/'공식·설정'!$B$8</x:f>
        <x:v>0.0105438232421875</x:v>
      </x:c>
      <x:c r="AB620" s="67" t="str">
        <x:f>IF(AND(I620=0,L620=0,Q620=0,T620=0,Y620=0),"PASS","FAIL")</x:f>
        <x:v>PASS</x:v>
      </x:c>
    </x:row>
    <x:row r="621" ht="18" customHeight="1">
      <x:c r="A621" s="14" t="n">
        <x:v>724</x:v>
      </x:c>
      <x:c r="B621" s="14" t="n">
        <x:v>616</x:v>
      </x:c>
      <x:c r="C621" s="14" t="n">
        <x:v>721</x:v>
      </x:c>
      <x:c r="D621" s="14" t="n">
        <x:v>215304</x:v>
      </x:c>
      <x:c r="E621" s="14" t="n">
        <x:v>728</x:v>
      </x:c>
      <x:c r="F621" s="14" t="n">
        <x:v>231547</x:v>
      </x:c>
      <x:c r="G621" s="14" t="n">
        <x:v>222265</x:v>
      </x:c>
      <x:c r="H621" s="14" t="n">
        <x:f>INT((F621-D621)*(A621-C621)/(E621-C621))+D621</x:f>
        <x:v>222265</x:v>
      </x:c>
      <x:c r="I621" s="68" t="n">
        <x:f>H621-G621</x:f>
        <x:v>0</x:v>
      </x:c>
      <x:c r="J621" s="14" t="n">
        <x:v>1447007</x:v>
      </x:c>
      <x:c r="K621" s="14" t="n">
        <x:f>INT(H621*'공식·설정'!$B$10/'공식·설정'!$B$15)</x:f>
        <x:v>1447007</x:v>
      </x:c>
      <x:c r="L621" s="68" t="n">
        <x:f>K621-J621</x:f>
        <x:v>0</x:v>
      </x:c>
      <x:c r="M621" s="65" t="n">
        <x:f>J621/'공식·설정'!$B$7</x:f>
        <x:v>5652.37109375</x:v>
      </x:c>
      <x:c r="N621" s="65" t="n">
        <x:f>K621/'공식·설정'!$B$7</x:f>
        <x:v>5652.37109375</x:v>
      </x:c>
      <x:c r="O621" s="14" t="n">
        <x:v>565</x:v>
      </x:c>
      <x:c r="P621" s="14" t="n">
        <x:f>MIN(32767,MAX(0,INT((K621+INT('공식·설정'!$B$12/2))/'공식·설정'!$B$12)))</x:f>
        <x:v>565</x:v>
      </x:c>
      <x:c r="Q621" s="68" t="n">
        <x:f>P621-O621</x:f>
        <x:v>0</x:v>
      </x:c>
      <x:c r="R621" s="14" t="n">
        <x:v>1454848</x:v>
      </x:c>
      <x:c r="S621" s="14" t="n">
        <x:f>P621*'공식·설정'!$B$12+'공식·설정'!$B$14</x:f>
        <x:v>1454848</x:v>
      </x:c>
      <x:c r="T621" s="68" t="n">
        <x:f>S621-R621</x:f>
        <x:v>0</x:v>
      </x:c>
      <x:c r="U621" s="65" t="n">
        <x:f>R621/'공식·설정'!$B$7</x:f>
        <x:v>5683</x:v>
      </x:c>
      <x:c r="V621" s="65" t="n">
        <x:f>S621/'공식·설정'!$B$7</x:f>
        <x:v>5683</x:v>
      </x:c>
      <x:c r="W621" s="14" t="n">
        <x:v>684</x:v>
      </x:c>
      <x:c r="X621" s="14" t="n">
        <x:f>INT(ABS(K622-K621)*'공식·설정'!$B$8/K621)</x:f>
        <x:v>684</x:v>
      </x:c>
      <x:c r="Y621" s="68" t="n">
        <x:f>X621-W621</x:f>
        <x:v>0</x:v>
      </x:c>
      <x:c r="Z621" s="66" t="n">
        <x:f>W621/'공식·설정'!$B$8</x:f>
        <x:v>0.01043701171875</x:v>
      </x:c>
      <x:c r="AA621" s="66" t="n">
        <x:f>X621/'공식·설정'!$B$8</x:f>
        <x:v>0.01043701171875</x:v>
      </x:c>
      <x:c r="AB621" s="67" t="str">
        <x:f>IF(AND(I621=0,L621=0,Q621=0,T621=0,Y621=0),"PASS","FAIL")</x:f>
        <x:v>PASS</x:v>
      </x:c>
    </x:row>
    <x:row r="622" ht="18" customHeight="1">
      <x:c r="A622" s="14" t="n">
        <x:v>725</x:v>
      </x:c>
      <x:c r="B622" s="14" t="n">
        <x:v>617</x:v>
      </x:c>
      <x:c r="C622" s="14" t="n">
        <x:v>721</x:v>
      </x:c>
      <x:c r="D622" s="14" t="n">
        <x:v>215304</x:v>
      </x:c>
      <x:c r="E622" s="14" t="n">
        <x:v>728</x:v>
      </x:c>
      <x:c r="F622" s="14" t="n">
        <x:v>231547</x:v>
      </x:c>
      <x:c r="G622" s="14" t="n">
        <x:v>224585</x:v>
      </x:c>
      <x:c r="H622" s="14" t="n">
        <x:f>INT((F622-D622)*(A622-C622)/(E622-C622))+D622</x:f>
        <x:v>224585</x:v>
      </x:c>
      <x:c r="I622" s="68" t="n">
        <x:f>H622-G622</x:f>
        <x:v>0</x:v>
      </x:c>
      <x:c r="J622" s="14" t="n">
        <x:v>1462111</x:v>
      </x:c>
      <x:c r="K622" s="14" t="n">
        <x:f>INT(H622*'공식·설정'!$B$10/'공식·설정'!$B$15)</x:f>
        <x:v>1462111</x:v>
      </x:c>
      <x:c r="L622" s="68" t="n">
        <x:f>K622-J622</x:f>
        <x:v>0</x:v>
      </x:c>
      <x:c r="M622" s="65" t="n">
        <x:f>J622/'공식·설정'!$B$7</x:f>
        <x:v>5711.37109375</x:v>
      </x:c>
      <x:c r="N622" s="65" t="n">
        <x:f>K622/'공식·설정'!$B$7</x:f>
        <x:v>5711.37109375</x:v>
      </x:c>
      <x:c r="O622" s="14" t="n">
        <x:v>571</x:v>
      </x:c>
      <x:c r="P622" s="14" t="n">
        <x:f>MIN(32767,MAX(0,INT((K622+INT('공식·설정'!$B$12/2))/'공식·설정'!$B$12)))</x:f>
        <x:v>571</x:v>
      </x:c>
      <x:c r="Q622" s="68" t="n">
        <x:f>P622-O622</x:f>
        <x:v>0</x:v>
      </x:c>
      <x:c r="R622" s="14" t="n">
        <x:v>1470208</x:v>
      </x:c>
      <x:c r="S622" s="14" t="n">
        <x:f>P622*'공식·설정'!$B$12+'공식·설정'!$B$14</x:f>
        <x:v>1470208</x:v>
      </x:c>
      <x:c r="T622" s="68" t="n">
        <x:f>S622-R622</x:f>
        <x:v>0</x:v>
      </x:c>
      <x:c r="U622" s="65" t="n">
        <x:f>R622/'공식·설정'!$B$7</x:f>
        <x:v>5743</x:v>
      </x:c>
      <x:c r="V622" s="65" t="n">
        <x:f>S622/'공식·설정'!$B$7</x:f>
        <x:v>5743</x:v>
      </x:c>
      <x:c r="W622" s="14" t="n">
        <x:v>677</x:v>
      </x:c>
      <x:c r="X622" s="14" t="n">
        <x:f>INT(ABS(K623-K622)*'공식·설정'!$B$8/K622)</x:f>
        <x:v>677</x:v>
      </x:c>
      <x:c r="Y622" s="68" t="n">
        <x:f>X622-W622</x:f>
        <x:v>0</x:v>
      </x:c>
      <x:c r="Z622" s="66" t="n">
        <x:f>W622/'공식·설정'!$B$8</x:f>
        <x:v>0.0103302001953125</x:v>
      </x:c>
      <x:c r="AA622" s="66" t="n">
        <x:f>X622/'공식·설정'!$B$8</x:f>
        <x:v>0.0103302001953125</x:v>
      </x:c>
      <x:c r="AB622" s="67" t="str">
        <x:f>IF(AND(I622=0,L622=0,Q622=0,T622=0,Y622=0),"PASS","FAIL")</x:f>
        <x:v>PASS</x:v>
      </x:c>
    </x:row>
    <x:row r="623" ht="18" customHeight="1">
      <x:c r="A623" s="14" t="n">
        <x:v>726</x:v>
      </x:c>
      <x:c r="B623" s="14" t="n">
        <x:v>618</x:v>
      </x:c>
      <x:c r="C623" s="14" t="n">
        <x:v>721</x:v>
      </x:c>
      <x:c r="D623" s="14" t="n">
        <x:v>215304</x:v>
      </x:c>
      <x:c r="E623" s="14" t="n">
        <x:v>728</x:v>
      </x:c>
      <x:c r="F623" s="14" t="n">
        <x:v>231547</x:v>
      </x:c>
      <x:c r="G623" s="14" t="n">
        <x:v>226906</x:v>
      </x:c>
      <x:c r="H623" s="14" t="n">
        <x:f>INT((F623-D623)*(A623-C623)/(E623-C623))+D623</x:f>
        <x:v>226906</x:v>
      </x:c>
      <x:c r="I623" s="68" t="n">
        <x:f>H623-G623</x:f>
        <x:v>0</x:v>
      </x:c>
      <x:c r="J623" s="14" t="n">
        <x:v>1477222</x:v>
      </x:c>
      <x:c r="K623" s="14" t="n">
        <x:f>INT(H623*'공식·설정'!$B$10/'공식·설정'!$B$15)</x:f>
        <x:v>1477222</x:v>
      </x:c>
      <x:c r="L623" s="68" t="n">
        <x:f>K623-J623</x:f>
        <x:v>0</x:v>
      </x:c>
      <x:c r="M623" s="65" t="n">
        <x:f>J623/'공식·설정'!$B$7</x:f>
        <x:v>5770.3984375</x:v>
      </x:c>
      <x:c r="N623" s="65" t="n">
        <x:f>K623/'공식·설정'!$B$7</x:f>
        <x:v>5770.3984375</x:v>
      </x:c>
      <x:c r="O623" s="14" t="n">
        <x:v>577</x:v>
      </x:c>
      <x:c r="P623" s="14" t="n">
        <x:f>MIN(32767,MAX(0,INT((K623+INT('공식·설정'!$B$12/2))/'공식·설정'!$B$12)))</x:f>
        <x:v>577</x:v>
      </x:c>
      <x:c r="Q623" s="68" t="n">
        <x:f>P623-O623</x:f>
        <x:v>0</x:v>
      </x:c>
      <x:c r="R623" s="14" t="n">
        <x:v>1485568</x:v>
      </x:c>
      <x:c r="S623" s="14" t="n">
        <x:f>P623*'공식·설정'!$B$12+'공식·설정'!$B$14</x:f>
        <x:v>1485568</x:v>
      </x:c>
      <x:c r="T623" s="68" t="n">
        <x:f>S623-R623</x:f>
        <x:v>0</x:v>
      </x:c>
      <x:c r="U623" s="65" t="n">
        <x:f>R623/'공식·설정'!$B$7</x:f>
        <x:v>5803</x:v>
      </x:c>
      <x:c r="V623" s="65" t="n">
        <x:f>S623/'공식·설정'!$B$7</x:f>
        <x:v>5803</x:v>
      </x:c>
      <x:c r="W623" s="14" t="n">
        <x:v>670</x:v>
      </x:c>
      <x:c r="X623" s="14" t="n">
        <x:f>INT(ABS(K624-K623)*'공식·설정'!$B$8/K623)</x:f>
        <x:v>670</x:v>
      </x:c>
      <x:c r="Y623" s="68" t="n">
        <x:f>X623-W623</x:f>
        <x:v>0</x:v>
      </x:c>
      <x:c r="Z623" s="66" t="n">
        <x:f>W623/'공식·설정'!$B$8</x:f>
        <x:v>0.010223388671875</x:v>
      </x:c>
      <x:c r="AA623" s="66" t="n">
        <x:f>X623/'공식·설정'!$B$8</x:f>
        <x:v>0.010223388671875</x:v>
      </x:c>
      <x:c r="AB623" s="67" t="str">
        <x:f>IF(AND(I623=0,L623=0,Q623=0,T623=0,Y623=0),"PASS","FAIL")</x:f>
        <x:v>PASS</x:v>
      </x:c>
    </x:row>
    <x:row r="624" ht="18" customHeight="1">
      <x:c r="A624" s="14" t="n">
        <x:v>727</x:v>
      </x:c>
      <x:c r="B624" s="14" t="n">
        <x:v>619</x:v>
      </x:c>
      <x:c r="C624" s="14" t="n">
        <x:v>721</x:v>
      </x:c>
      <x:c r="D624" s="14" t="n">
        <x:v>215304</x:v>
      </x:c>
      <x:c r="E624" s="14" t="n">
        <x:v>728</x:v>
      </x:c>
      <x:c r="F624" s="14" t="n">
        <x:v>231547</x:v>
      </x:c>
      <x:c r="G624" s="14" t="n">
        <x:v>229226</x:v>
      </x:c>
      <x:c r="H624" s="14" t="n">
        <x:f>INT((F624-D624)*(A624-C624)/(E624-C624))+D624</x:f>
        <x:v>229226</x:v>
      </x:c>
      <x:c r="I624" s="68" t="n">
        <x:f>H624-G624</x:f>
        <x:v>0</x:v>
      </x:c>
      <x:c r="J624" s="14" t="n">
        <x:v>1492325</x:v>
      </x:c>
      <x:c r="K624" s="14" t="n">
        <x:f>INT(H624*'공식·설정'!$B$10/'공식·설정'!$B$15)</x:f>
        <x:v>1492325</x:v>
      </x:c>
      <x:c r="L624" s="68" t="n">
        <x:f>K624-J624</x:f>
        <x:v>0</x:v>
      </x:c>
      <x:c r="M624" s="65" t="n">
        <x:f>J624/'공식·설정'!$B$7</x:f>
        <x:v>5829.39453125</x:v>
      </x:c>
      <x:c r="N624" s="65" t="n">
        <x:f>K624/'공식·설정'!$B$7</x:f>
        <x:v>5829.39453125</x:v>
      </x:c>
      <x:c r="O624" s="14" t="n">
        <x:v>583</x:v>
      </x:c>
      <x:c r="P624" s="14" t="n">
        <x:f>MIN(32767,MAX(0,INT((K624+INT('공식·설정'!$B$12/2))/'공식·설정'!$B$12)))</x:f>
        <x:v>583</x:v>
      </x:c>
      <x:c r="Q624" s="68" t="n">
        <x:f>P624-O624</x:f>
        <x:v>0</x:v>
      </x:c>
      <x:c r="R624" s="14" t="n">
        <x:v>1500928</x:v>
      </x:c>
      <x:c r="S624" s="14" t="n">
        <x:f>P624*'공식·설정'!$B$12+'공식·설정'!$B$14</x:f>
        <x:v>1500928</x:v>
      </x:c>
      <x:c r="T624" s="68" t="n">
        <x:f>S624-R624</x:f>
        <x:v>0</x:v>
      </x:c>
      <x:c r="U624" s="65" t="n">
        <x:f>R624/'공식·설정'!$B$7</x:f>
        <x:v>5863</x:v>
      </x:c>
      <x:c r="V624" s="65" t="n">
        <x:f>S624/'공식·설정'!$B$7</x:f>
        <x:v>5863</x:v>
      </x:c>
      <x:c r="W624" s="14" t="n">
        <x:v>663</x:v>
      </x:c>
      <x:c r="X624" s="14" t="n">
        <x:f>INT(ABS(K625-K624)*'공식·설정'!$B$8/K624)</x:f>
        <x:v>663</x:v>
      </x:c>
      <x:c r="Y624" s="68" t="n">
        <x:f>X624-W624</x:f>
        <x:v>0</x:v>
      </x:c>
      <x:c r="Z624" s="66" t="n">
        <x:f>W624/'공식·설정'!$B$8</x:f>
        <x:v>0.0101165771484375</x:v>
      </x:c>
      <x:c r="AA624" s="66" t="n">
        <x:f>X624/'공식·설정'!$B$8</x:f>
        <x:v>0.0101165771484375</x:v>
      </x:c>
      <x:c r="AB624" s="67" t="str">
        <x:f>IF(AND(I624=0,L624=0,Q624=0,T624=0,Y624=0),"PASS","FAIL")</x:f>
        <x:v>PASS</x:v>
      </x:c>
    </x:row>
    <x:row r="625" ht="18" customHeight="1">
      <x:c r="A625" s="14" t="n">
        <x:v>728</x:v>
      </x:c>
      <x:c r="B625" s="14" t="n">
        <x:v>620</x:v>
      </x:c>
      <x:c r="C625" s="14" t="n">
        <x:v>728</x:v>
      </x:c>
      <x:c r="D625" s="14" t="n">
        <x:v>231547</x:v>
      </x:c>
      <x:c r="E625" s="14" t="n">
        <x:v>742</x:v>
      </x:c>
      <x:c r="F625" s="14" t="n">
        <x:v>269332</x:v>
      </x:c>
      <x:c r="G625" s="14" t="n">
        <x:v>231547</x:v>
      </x:c>
      <x:c r="H625" s="14" t="n">
        <x:f>INT((F625-D625)*(A625-C625)/(E625-C625))+D625</x:f>
        <x:v>231547</x:v>
      </x:c>
      <x:c r="I625" s="68" t="n">
        <x:f>H625-G625</x:f>
        <x:v>0</x:v>
      </x:c>
      <x:c r="J625" s="14" t="n">
        <x:v>1507436</x:v>
      </x:c>
      <x:c r="K625" s="14" t="n">
        <x:f>INT(H625*'공식·설정'!$B$10/'공식·설정'!$B$15)</x:f>
        <x:v>1507436</x:v>
      </x:c>
      <x:c r="L625" s="68" t="n">
        <x:f>K625-J625</x:f>
        <x:v>0</x:v>
      </x:c>
      <x:c r="M625" s="65" t="n">
        <x:f>J625/'공식·설정'!$B$7</x:f>
        <x:v>5888.421875</x:v>
      </x:c>
      <x:c r="N625" s="65" t="n">
        <x:f>K625/'공식·설정'!$B$7</x:f>
        <x:v>5888.421875</x:v>
      </x:c>
      <x:c r="O625" s="14" t="n">
        <x:v>589</x:v>
      </x:c>
      <x:c r="P625" s="14" t="n">
        <x:f>MIN(32767,MAX(0,INT((K625+INT('공식·설정'!$B$12/2))/'공식·설정'!$B$12)))</x:f>
        <x:v>589</x:v>
      </x:c>
      <x:c r="Q625" s="68" t="n">
        <x:f>P625-O625</x:f>
        <x:v>0</x:v>
      </x:c>
      <x:c r="R625" s="14" t="n">
        <x:v>1516288</x:v>
      </x:c>
      <x:c r="S625" s="14" t="n">
        <x:f>P625*'공식·설정'!$B$12+'공식·설정'!$B$14</x:f>
        <x:v>1516288</x:v>
      </x:c>
      <x:c r="T625" s="68" t="n">
        <x:f>S625-R625</x:f>
        <x:v>0</x:v>
      </x:c>
      <x:c r="U625" s="65" t="n">
        <x:f>R625/'공식·설정'!$B$7</x:f>
        <x:v>5923</x:v>
      </x:c>
      <x:c r="V625" s="65" t="n">
        <x:f>S625/'공식·설정'!$B$7</x:f>
        <x:v>5923</x:v>
      </x:c>
      <x:c r="W625" s="14" t="n">
        <x:v>763</x:v>
      </x:c>
      <x:c r="X625" s="14" t="n">
        <x:f>INT(ABS(K626-K625)*'공식·설정'!$B$8/K625)</x:f>
        <x:v>763</x:v>
      </x:c>
      <x:c r="Y625" s="68" t="n">
        <x:f>X625-W625</x:f>
        <x:v>0</x:v>
      </x:c>
      <x:c r="Z625" s="66" t="n">
        <x:f>W625/'공식·설정'!$B$8</x:f>
        <x:v>0.0116424560546875</x:v>
      </x:c>
      <x:c r="AA625" s="66" t="n">
        <x:f>X625/'공식·설정'!$B$8</x:f>
        <x:v>0.0116424560546875</x:v>
      </x:c>
      <x:c r="AB625" s="67" t="str">
        <x:f>IF(AND(I625=0,L625=0,Q625=0,T625=0,Y625=0),"PASS","FAIL")</x:f>
        <x:v>PASS</x:v>
      </x:c>
    </x:row>
    <x:row r="626" ht="18" customHeight="1">
      <x:c r="A626" s="14" t="n">
        <x:v>729</x:v>
      </x:c>
      <x:c r="B626" s="14" t="n">
        <x:v>621</x:v>
      </x:c>
      <x:c r="C626" s="14" t="n">
        <x:v>728</x:v>
      </x:c>
      <x:c r="D626" s="14" t="n">
        <x:v>231547</x:v>
      </x:c>
      <x:c r="E626" s="14" t="n">
        <x:v>742</x:v>
      </x:c>
      <x:c r="F626" s="14" t="n">
        <x:v>269332</x:v>
      </x:c>
      <x:c r="G626" s="14" t="n">
        <x:v>234245</x:v>
      </x:c>
      <x:c r="H626" s="14" t="n">
        <x:f>INT((F626-D626)*(A626-C626)/(E626-C626))+D626</x:f>
        <x:v>234245</x:v>
      </x:c>
      <x:c r="I626" s="68" t="n">
        <x:f>H626-G626</x:f>
        <x:v>0</x:v>
      </x:c>
      <x:c r="J626" s="14" t="n">
        <x:v>1525001</x:v>
      </x:c>
      <x:c r="K626" s="14" t="n">
        <x:f>INT(H626*'공식·설정'!$B$10/'공식·설정'!$B$15)</x:f>
        <x:v>1525001</x:v>
      </x:c>
      <x:c r="L626" s="68" t="n">
        <x:f>K626-J626</x:f>
        <x:v>0</x:v>
      </x:c>
      <x:c r="M626" s="65" t="n">
        <x:f>J626/'공식·설정'!$B$7</x:f>
        <x:v>5957.03515625</x:v>
      </x:c>
      <x:c r="N626" s="65" t="n">
        <x:f>K626/'공식·설정'!$B$7</x:f>
        <x:v>5957.03515625</x:v>
      </x:c>
      <x:c r="O626" s="14" t="n">
        <x:v>596</x:v>
      </x:c>
      <x:c r="P626" s="14" t="n">
        <x:f>MIN(32767,MAX(0,INT((K626+INT('공식·설정'!$B$12/2))/'공식·설정'!$B$12)))</x:f>
        <x:v>596</x:v>
      </x:c>
      <x:c r="Q626" s="68" t="n">
        <x:f>P626-O626</x:f>
        <x:v>0</x:v>
      </x:c>
      <x:c r="R626" s="14" t="n">
        <x:v>1534208</x:v>
      </x:c>
      <x:c r="S626" s="14" t="n">
        <x:f>P626*'공식·설정'!$B$12+'공식·설정'!$B$14</x:f>
        <x:v>1534208</x:v>
      </x:c>
      <x:c r="T626" s="68" t="n">
        <x:f>S626-R626</x:f>
        <x:v>0</x:v>
      </x:c>
      <x:c r="U626" s="65" t="n">
        <x:f>R626/'공식·설정'!$B$7</x:f>
        <x:v>5993</x:v>
      </x:c>
      <x:c r="V626" s="65" t="n">
        <x:f>S626/'공식·설정'!$B$7</x:f>
        <x:v>5993</x:v>
      </x:c>
      <x:c r="W626" s="14" t="n">
        <x:v>755</x:v>
      </x:c>
      <x:c r="X626" s="14" t="n">
        <x:f>INT(ABS(K627-K626)*'공식·설정'!$B$8/K626)</x:f>
        <x:v>755</x:v>
      </x:c>
      <x:c r="Y626" s="68" t="n">
        <x:f>X626-W626</x:f>
        <x:v>0</x:v>
      </x:c>
      <x:c r="Z626" s="66" t="n">
        <x:f>W626/'공식·설정'!$B$8</x:f>
        <x:v>0.0115203857421875</x:v>
      </x:c>
      <x:c r="AA626" s="66" t="n">
        <x:f>X626/'공식·설정'!$B$8</x:f>
        <x:v>0.0115203857421875</x:v>
      </x:c>
      <x:c r="AB626" s="67" t="str">
        <x:f>IF(AND(I626=0,L626=0,Q626=0,T626=0,Y626=0),"PASS","FAIL")</x:f>
        <x:v>PASS</x:v>
      </x:c>
    </x:row>
    <x:row r="627" ht="18" customHeight="1">
      <x:c r="A627" s="14" t="n">
        <x:v>730</x:v>
      </x:c>
      <x:c r="B627" s="14" t="n">
        <x:v>622</x:v>
      </x:c>
      <x:c r="C627" s="14" t="n">
        <x:v>728</x:v>
      </x:c>
      <x:c r="D627" s="14" t="n">
        <x:v>231547</x:v>
      </x:c>
      <x:c r="E627" s="14" t="n">
        <x:v>742</x:v>
      </x:c>
      <x:c r="F627" s="14" t="n">
        <x:v>269332</x:v>
      </x:c>
      <x:c r="G627" s="14" t="n">
        <x:v>236944</x:v>
      </x:c>
      <x:c r="H627" s="14" t="n">
        <x:f>INT((F627-D627)*(A627-C627)/(E627-C627))+D627</x:f>
        <x:v>236944</x:v>
      </x:c>
      <x:c r="I627" s="68" t="n">
        <x:f>H627-G627</x:f>
        <x:v>0</x:v>
      </x:c>
      <x:c r="J627" s="14" t="n">
        <x:v>1542572</x:v>
      </x:c>
      <x:c r="K627" s="14" t="n">
        <x:f>INT(H627*'공식·설정'!$B$10/'공식·설정'!$B$15)</x:f>
        <x:v>1542572</x:v>
      </x:c>
      <x:c r="L627" s="68" t="n">
        <x:f>K627-J627</x:f>
        <x:v>0</x:v>
      </x:c>
      <x:c r="M627" s="65" t="n">
        <x:f>J627/'공식·설정'!$B$7</x:f>
        <x:v>6025.671875</x:v>
      </x:c>
      <x:c r="N627" s="65" t="n">
        <x:f>K627/'공식·설정'!$B$7</x:f>
        <x:v>6025.671875</x:v>
      </x:c>
      <x:c r="O627" s="14" t="n">
        <x:v>603</x:v>
      </x:c>
      <x:c r="P627" s="14" t="n">
        <x:f>MIN(32767,MAX(0,INT((K627+INT('공식·설정'!$B$12/2))/'공식·설정'!$B$12)))</x:f>
        <x:v>603</x:v>
      </x:c>
      <x:c r="Q627" s="68" t="n">
        <x:f>P627-O627</x:f>
        <x:v>0</x:v>
      </x:c>
      <x:c r="R627" s="14" t="n">
        <x:v>1552128</x:v>
      </x:c>
      <x:c r="S627" s="14" t="n">
        <x:f>P627*'공식·설정'!$B$12+'공식·설정'!$B$14</x:f>
        <x:v>1552128</x:v>
      </x:c>
      <x:c r="T627" s="68" t="n">
        <x:f>S627-R627</x:f>
        <x:v>0</x:v>
      </x:c>
      <x:c r="U627" s="65" t="n">
        <x:f>R627/'공식·설정'!$B$7</x:f>
        <x:v>6063</x:v>
      </x:c>
      <x:c r="V627" s="65" t="n">
        <x:f>S627/'공식·설정'!$B$7</x:f>
        <x:v>6063</x:v>
      </x:c>
      <x:c r="W627" s="14" t="n">
        <x:v>746</x:v>
      </x:c>
      <x:c r="X627" s="14" t="n">
        <x:f>INT(ABS(K628-K627)*'공식·설정'!$B$8/K627)</x:f>
        <x:v>746</x:v>
      </x:c>
      <x:c r="Y627" s="68" t="n">
        <x:f>X627-W627</x:f>
        <x:v>0</x:v>
      </x:c>
      <x:c r="Z627" s="66" t="n">
        <x:f>W627/'공식·설정'!$B$8</x:f>
        <x:v>0.011383056640625</x:v>
      </x:c>
      <x:c r="AA627" s="66" t="n">
        <x:f>X627/'공식·설정'!$B$8</x:f>
        <x:v>0.011383056640625</x:v>
      </x:c>
      <x:c r="AB627" s="67" t="str">
        <x:f>IF(AND(I627=0,L627=0,Q627=0,T627=0,Y627=0),"PASS","FAIL")</x:f>
        <x:v>PASS</x:v>
      </x:c>
    </x:row>
    <x:row r="628" ht="18" customHeight="1">
      <x:c r="A628" s="14" t="n">
        <x:v>731</x:v>
      </x:c>
      <x:c r="B628" s="14" t="n">
        <x:v>623</x:v>
      </x:c>
      <x:c r="C628" s="14" t="n">
        <x:v>728</x:v>
      </x:c>
      <x:c r="D628" s="14" t="n">
        <x:v>231547</x:v>
      </x:c>
      <x:c r="E628" s="14" t="n">
        <x:v>742</x:v>
      </x:c>
      <x:c r="F628" s="14" t="n">
        <x:v>269332</x:v>
      </x:c>
      <x:c r="G628" s="14" t="n">
        <x:v>239643</x:v>
      </x:c>
      <x:c r="H628" s="14" t="n">
        <x:f>INT((F628-D628)*(A628-C628)/(E628-C628))+D628</x:f>
        <x:v>239643</x:v>
      </x:c>
      <x:c r="I628" s="68" t="n">
        <x:f>H628-G628</x:f>
        <x:v>0</x:v>
      </x:c>
      <x:c r="J628" s="14" t="n">
        <x:v>1560143</x:v>
      </x:c>
      <x:c r="K628" s="14" t="n">
        <x:f>INT(H628*'공식·설정'!$B$10/'공식·설정'!$B$15)</x:f>
        <x:v>1560143</x:v>
      </x:c>
      <x:c r="L628" s="68" t="n">
        <x:f>K628-J628</x:f>
        <x:v>0</x:v>
      </x:c>
      <x:c r="M628" s="65" t="n">
        <x:f>J628/'공식·설정'!$B$7</x:f>
        <x:v>6094.30859375</x:v>
      </x:c>
      <x:c r="N628" s="65" t="n">
        <x:f>K628/'공식·설정'!$B$7</x:f>
        <x:v>6094.30859375</x:v>
      </x:c>
      <x:c r="O628" s="14" t="n">
        <x:v>609</x:v>
      </x:c>
      <x:c r="P628" s="14" t="n">
        <x:f>MIN(32767,MAX(0,INT((K628+INT('공식·설정'!$B$12/2))/'공식·설정'!$B$12)))</x:f>
        <x:v>609</x:v>
      </x:c>
      <x:c r="Q628" s="68" t="n">
        <x:f>P628-O628</x:f>
        <x:v>0</x:v>
      </x:c>
      <x:c r="R628" s="14" t="n">
        <x:v>1567488</x:v>
      </x:c>
      <x:c r="S628" s="14" t="n">
        <x:f>P628*'공식·설정'!$B$12+'공식·설정'!$B$14</x:f>
        <x:v>1567488</x:v>
      </x:c>
      <x:c r="T628" s="68" t="n">
        <x:f>S628-R628</x:f>
        <x:v>0</x:v>
      </x:c>
      <x:c r="U628" s="65" t="n">
        <x:f>R628/'공식·설정'!$B$7</x:f>
        <x:v>6123</x:v>
      </x:c>
      <x:c r="V628" s="65" t="n">
        <x:f>S628/'공식·설정'!$B$7</x:f>
        <x:v>6123</x:v>
      </x:c>
      <x:c r="W628" s="14" t="n">
        <x:v>738</x:v>
      </x:c>
      <x:c r="X628" s="14" t="n">
        <x:f>INT(ABS(K629-K628)*'공식·설정'!$B$8/K628)</x:f>
        <x:v>738</x:v>
      </x:c>
      <x:c r="Y628" s="68" t="n">
        <x:f>X628-W628</x:f>
        <x:v>0</x:v>
      </x:c>
      <x:c r="Z628" s="66" t="n">
        <x:f>W628/'공식·설정'!$B$8</x:f>
        <x:v>0.011260986328125</x:v>
      </x:c>
      <x:c r="AA628" s="66" t="n">
        <x:f>X628/'공식·설정'!$B$8</x:f>
        <x:v>0.011260986328125</x:v>
      </x:c>
      <x:c r="AB628" s="67" t="str">
        <x:f>IF(AND(I628=0,L628=0,Q628=0,T628=0,Y628=0),"PASS","FAIL")</x:f>
        <x:v>PASS</x:v>
      </x:c>
    </x:row>
    <x:row r="629" ht="18" customHeight="1">
      <x:c r="A629" s="14" t="n">
        <x:v>732</x:v>
      </x:c>
      <x:c r="B629" s="14" t="n">
        <x:v>624</x:v>
      </x:c>
      <x:c r="C629" s="14" t="n">
        <x:v>728</x:v>
      </x:c>
      <x:c r="D629" s="14" t="n">
        <x:v>231547</x:v>
      </x:c>
      <x:c r="E629" s="14" t="n">
        <x:v>742</x:v>
      </x:c>
      <x:c r="F629" s="14" t="n">
        <x:v>269332</x:v>
      </x:c>
      <x:c r="G629" s="14" t="n">
        <x:v>242342</x:v>
      </x:c>
      <x:c r="H629" s="14" t="n">
        <x:f>INT((F629-D629)*(A629-C629)/(E629-C629))+D629</x:f>
        <x:v>242342</x:v>
      </x:c>
      <x:c r="I629" s="68" t="n">
        <x:f>H629-G629</x:f>
        <x:v>0</x:v>
      </x:c>
      <x:c r="J629" s="14" t="n">
        <x:v>1577714</x:v>
      </x:c>
      <x:c r="K629" s="14" t="n">
        <x:f>INT(H629*'공식·설정'!$B$10/'공식·설정'!$B$15)</x:f>
        <x:v>1577714</x:v>
      </x:c>
      <x:c r="L629" s="68" t="n">
        <x:f>K629-J629</x:f>
        <x:v>0</x:v>
      </x:c>
      <x:c r="M629" s="65" t="n">
        <x:f>J629/'공식·설정'!$B$7</x:f>
        <x:v>6162.9453125</x:v>
      </x:c>
      <x:c r="N629" s="65" t="n">
        <x:f>K629/'공식·설정'!$B$7</x:f>
        <x:v>6162.9453125</x:v>
      </x:c>
      <x:c r="O629" s="14" t="n">
        <x:v>616</x:v>
      </x:c>
      <x:c r="P629" s="14" t="n">
        <x:f>MIN(32767,MAX(0,INT((K629+INT('공식·설정'!$B$12/2))/'공식·설정'!$B$12)))</x:f>
        <x:v>616</x:v>
      </x:c>
      <x:c r="Q629" s="68" t="n">
        <x:f>P629-O629</x:f>
        <x:v>0</x:v>
      </x:c>
      <x:c r="R629" s="14" t="n">
        <x:v>1585408</x:v>
      </x:c>
      <x:c r="S629" s="14" t="n">
        <x:f>P629*'공식·설정'!$B$12+'공식·설정'!$B$14</x:f>
        <x:v>1585408</x:v>
      </x:c>
      <x:c r="T629" s="68" t="n">
        <x:f>S629-R629</x:f>
        <x:v>0</x:v>
      </x:c>
      <x:c r="U629" s="65" t="n">
        <x:f>R629/'공식·설정'!$B$7</x:f>
        <x:v>6193</x:v>
      </x:c>
      <x:c r="V629" s="65" t="n">
        <x:f>S629/'공식·설정'!$B$7</x:f>
        <x:v>6193</x:v>
      </x:c>
      <x:c r="W629" s="14" t="n">
        <x:v>729</x:v>
      </x:c>
      <x:c r="X629" s="14" t="n">
        <x:f>INT(ABS(K630-K629)*'공식·설정'!$B$8/K629)</x:f>
        <x:v>729</x:v>
      </x:c>
      <x:c r="Y629" s="68" t="n">
        <x:f>X629-W629</x:f>
        <x:v>0</x:v>
      </x:c>
      <x:c r="Z629" s="66" t="n">
        <x:f>W629/'공식·설정'!$B$8</x:f>
        <x:v>0.0111236572265625</x:v>
      </x:c>
      <x:c r="AA629" s="66" t="n">
        <x:f>X629/'공식·설정'!$B$8</x:f>
        <x:v>0.0111236572265625</x:v>
      </x:c>
      <x:c r="AB629" s="67" t="str">
        <x:f>IF(AND(I629=0,L629=0,Q629=0,T629=0,Y629=0),"PASS","FAIL")</x:f>
        <x:v>PASS</x:v>
      </x:c>
    </x:row>
    <x:row r="630" ht="18" customHeight="1">
      <x:c r="A630" s="14" t="n">
        <x:v>733</x:v>
      </x:c>
      <x:c r="B630" s="14" t="n">
        <x:v>625</x:v>
      </x:c>
      <x:c r="C630" s="14" t="n">
        <x:v>728</x:v>
      </x:c>
      <x:c r="D630" s="14" t="n">
        <x:v>231547</x:v>
      </x:c>
      <x:c r="E630" s="14" t="n">
        <x:v>742</x:v>
      </x:c>
      <x:c r="F630" s="14" t="n">
        <x:v>269332</x:v>
      </x:c>
      <x:c r="G630" s="14" t="n">
        <x:v>245041</x:v>
      </x:c>
      <x:c r="H630" s="14" t="n">
        <x:f>INT((F630-D630)*(A630-C630)/(E630-C630))+D630</x:f>
        <x:v>245041</x:v>
      </x:c>
      <x:c r="I630" s="68" t="n">
        <x:f>H630-G630</x:f>
        <x:v>0</x:v>
      </x:c>
      <x:c r="J630" s="14" t="n">
        <x:v>1595286</x:v>
      </x:c>
      <x:c r="K630" s="14" t="n">
        <x:f>INT(H630*'공식·설정'!$B$10/'공식·설정'!$B$15)</x:f>
        <x:v>1595286</x:v>
      </x:c>
      <x:c r="L630" s="68" t="n">
        <x:f>K630-J630</x:f>
        <x:v>0</x:v>
      </x:c>
      <x:c r="M630" s="65" t="n">
        <x:f>J630/'공식·설정'!$B$7</x:f>
        <x:v>6231.5859375</x:v>
      </x:c>
      <x:c r="N630" s="65" t="n">
        <x:f>K630/'공식·설정'!$B$7</x:f>
        <x:v>6231.5859375</x:v>
      </x:c>
      <x:c r="O630" s="14" t="n">
        <x:v>623</x:v>
      </x:c>
      <x:c r="P630" s="14" t="n">
        <x:f>MIN(32767,MAX(0,INT((K630+INT('공식·설정'!$B$12/2))/'공식·설정'!$B$12)))</x:f>
        <x:v>623</x:v>
      </x:c>
      <x:c r="Q630" s="68" t="n">
        <x:f>P630-O630</x:f>
        <x:v>0</x:v>
      </x:c>
      <x:c r="R630" s="14" t="n">
        <x:v>1603328</x:v>
      </x:c>
      <x:c r="S630" s="14" t="n">
        <x:f>P630*'공식·설정'!$B$12+'공식·설정'!$B$14</x:f>
        <x:v>1603328</x:v>
      </x:c>
      <x:c r="T630" s="68" t="n">
        <x:f>S630-R630</x:f>
        <x:v>0</x:v>
      </x:c>
      <x:c r="U630" s="65" t="n">
        <x:f>R630/'공식·설정'!$B$7</x:f>
        <x:v>6263</x:v>
      </x:c>
      <x:c r="V630" s="65" t="n">
        <x:f>S630/'공식·설정'!$B$7</x:f>
        <x:v>6263</x:v>
      </x:c>
      <x:c r="W630" s="14" t="n">
        <x:v>721</x:v>
      </x:c>
      <x:c r="X630" s="14" t="n">
        <x:f>INT(ABS(K631-K630)*'공식·설정'!$B$8/K630)</x:f>
        <x:v>721</x:v>
      </x:c>
      <x:c r="Y630" s="68" t="n">
        <x:f>X630-W630</x:f>
        <x:v>0</x:v>
      </x:c>
      <x:c r="Z630" s="66" t="n">
        <x:f>W630/'공식·설정'!$B$8</x:f>
        <x:v>0.0110015869140625</x:v>
      </x:c>
      <x:c r="AA630" s="66" t="n">
        <x:f>X630/'공식·설정'!$B$8</x:f>
        <x:v>0.0110015869140625</x:v>
      </x:c>
      <x:c r="AB630" s="67" t="str">
        <x:f>IF(AND(I630=0,L630=0,Q630=0,T630=0,Y630=0),"PASS","FAIL")</x:f>
        <x:v>PASS</x:v>
      </x:c>
    </x:row>
    <x:row r="631" ht="18" customHeight="1">
      <x:c r="A631" s="14" t="n">
        <x:v>734</x:v>
      </x:c>
      <x:c r="B631" s="14" t="n">
        <x:v>626</x:v>
      </x:c>
      <x:c r="C631" s="14" t="n">
        <x:v>728</x:v>
      </x:c>
      <x:c r="D631" s="14" t="n">
        <x:v>231547</x:v>
      </x:c>
      <x:c r="E631" s="14" t="n">
        <x:v>742</x:v>
      </x:c>
      <x:c r="F631" s="14" t="n">
        <x:v>269332</x:v>
      </x:c>
      <x:c r="G631" s="14" t="n">
        <x:v>247740</x:v>
      </x:c>
      <x:c r="H631" s="14" t="n">
        <x:f>INT((F631-D631)*(A631-C631)/(E631-C631))+D631</x:f>
        <x:v>247740</x:v>
      </x:c>
      <x:c r="I631" s="68" t="n">
        <x:f>H631-G631</x:f>
        <x:v>0</x:v>
      </x:c>
      <x:c r="J631" s="14" t="n">
        <x:v>1612857</x:v>
      </x:c>
      <x:c r="K631" s="14" t="n">
        <x:f>INT(H631*'공식·설정'!$B$10/'공식·설정'!$B$15)</x:f>
        <x:v>1612857</x:v>
      </x:c>
      <x:c r="L631" s="68" t="n">
        <x:f>K631-J631</x:f>
        <x:v>0</x:v>
      </x:c>
      <x:c r="M631" s="65" t="n">
        <x:f>J631/'공식·설정'!$B$7</x:f>
        <x:v>6300.22265625</x:v>
      </x:c>
      <x:c r="N631" s="65" t="n">
        <x:f>K631/'공식·설정'!$B$7</x:f>
        <x:v>6300.22265625</x:v>
      </x:c>
      <x:c r="O631" s="14" t="n">
        <x:v>630</x:v>
      </x:c>
      <x:c r="P631" s="14" t="n">
        <x:f>MIN(32767,MAX(0,INT((K631+INT('공식·설정'!$B$12/2))/'공식·설정'!$B$12)))</x:f>
        <x:v>630</x:v>
      </x:c>
      <x:c r="Q631" s="68" t="n">
        <x:f>P631-O631</x:f>
        <x:v>0</x:v>
      </x:c>
      <x:c r="R631" s="14" t="n">
        <x:v>1621248</x:v>
      </x:c>
      <x:c r="S631" s="14" t="n">
        <x:f>P631*'공식·설정'!$B$12+'공식·설정'!$B$14</x:f>
        <x:v>1621248</x:v>
      </x:c>
      <x:c r="T631" s="68" t="n">
        <x:f>S631-R631</x:f>
        <x:v>0</x:v>
      </x:c>
      <x:c r="U631" s="65" t="n">
        <x:f>R631/'공식·설정'!$B$7</x:f>
        <x:v>6333</x:v>
      </x:c>
      <x:c r="V631" s="65" t="n">
        <x:f>S631/'공식·설정'!$B$7</x:f>
        <x:v>6333</x:v>
      </x:c>
      <x:c r="W631" s="14" t="n">
        <x:v>713</x:v>
      </x:c>
      <x:c r="X631" s="14" t="n">
        <x:f>INT(ABS(K632-K631)*'공식·설정'!$B$8/K631)</x:f>
        <x:v>713</x:v>
      </x:c>
      <x:c r="Y631" s="68" t="n">
        <x:f>X631-W631</x:f>
        <x:v>0</x:v>
      </x:c>
      <x:c r="Z631" s="66" t="n">
        <x:f>W631/'공식·설정'!$B$8</x:f>
        <x:v>0.0108795166015625</x:v>
      </x:c>
      <x:c r="AA631" s="66" t="n">
        <x:f>X631/'공식·설정'!$B$8</x:f>
        <x:v>0.0108795166015625</x:v>
      </x:c>
      <x:c r="AB631" s="67" t="str">
        <x:f>IF(AND(I631=0,L631=0,Q631=0,T631=0,Y631=0),"PASS","FAIL")</x:f>
        <x:v>PASS</x:v>
      </x:c>
    </x:row>
    <x:row r="632" ht="18" customHeight="1">
      <x:c r="A632" s="14" t="n">
        <x:v>735</x:v>
      </x:c>
      <x:c r="B632" s="14" t="n">
        <x:v>627</x:v>
      </x:c>
      <x:c r="C632" s="14" t="n">
        <x:v>728</x:v>
      </x:c>
      <x:c r="D632" s="14" t="n">
        <x:v>231547</x:v>
      </x:c>
      <x:c r="E632" s="14" t="n">
        <x:v>742</x:v>
      </x:c>
      <x:c r="F632" s="14" t="n">
        <x:v>269332</x:v>
      </x:c>
      <x:c r="G632" s="14" t="n">
        <x:v>250439</x:v>
      </x:c>
      <x:c r="H632" s="14" t="n">
        <x:f>INT((F632-D632)*(A632-C632)/(E632-C632))+D632</x:f>
        <x:v>250439</x:v>
      </x:c>
      <x:c r="I632" s="68" t="n">
        <x:f>H632-G632</x:f>
        <x:v>0</x:v>
      </x:c>
      <x:c r="J632" s="14" t="n">
        <x:v>1630428</x:v>
      </x:c>
      <x:c r="K632" s="14" t="n">
        <x:f>INT(H632*'공식·설정'!$B$10/'공식·설정'!$B$15)</x:f>
        <x:v>1630428</x:v>
      </x:c>
      <x:c r="L632" s="68" t="n">
        <x:f>K632-J632</x:f>
        <x:v>0</x:v>
      </x:c>
      <x:c r="M632" s="65" t="n">
        <x:f>J632/'공식·설정'!$B$7</x:f>
        <x:v>6368.859375</x:v>
      </x:c>
      <x:c r="N632" s="65" t="n">
        <x:f>K632/'공식·설정'!$B$7</x:f>
        <x:v>6368.859375</x:v>
      </x:c>
      <x:c r="O632" s="14" t="n">
        <x:v>637</x:v>
      </x:c>
      <x:c r="P632" s="14" t="n">
        <x:f>MIN(32767,MAX(0,INT((K632+INT('공식·설정'!$B$12/2))/'공식·설정'!$B$12)))</x:f>
        <x:v>637</x:v>
      </x:c>
      <x:c r="Q632" s="68" t="n">
        <x:f>P632-O632</x:f>
        <x:v>0</x:v>
      </x:c>
      <x:c r="R632" s="14" t="n">
        <x:v>1639168</x:v>
      </x:c>
      <x:c r="S632" s="14" t="n">
        <x:f>P632*'공식·설정'!$B$12+'공식·설정'!$B$14</x:f>
        <x:v>1639168</x:v>
      </x:c>
      <x:c r="T632" s="68" t="n">
        <x:f>S632-R632</x:f>
        <x:v>0</x:v>
      </x:c>
      <x:c r="U632" s="65" t="n">
        <x:f>R632/'공식·설정'!$B$7</x:f>
        <x:v>6403</x:v>
      </x:c>
      <x:c r="V632" s="65" t="n">
        <x:f>S632/'공식·설정'!$B$7</x:f>
        <x:v>6403</x:v>
      </x:c>
      <x:c r="W632" s="14" t="n">
        <x:v>706</x:v>
      </x:c>
      <x:c r="X632" s="14" t="n">
        <x:f>INT(ABS(K633-K632)*'공식·설정'!$B$8/K632)</x:f>
        <x:v>706</x:v>
      </x:c>
      <x:c r="Y632" s="68" t="n">
        <x:f>X632-W632</x:f>
        <x:v>0</x:v>
      </x:c>
      <x:c r="Z632" s="66" t="n">
        <x:f>W632/'공식·설정'!$B$8</x:f>
        <x:v>0.010772705078125</x:v>
      </x:c>
      <x:c r="AA632" s="66" t="n">
        <x:f>X632/'공식·설정'!$B$8</x:f>
        <x:v>0.010772705078125</x:v>
      </x:c>
      <x:c r="AB632" s="67" t="str">
        <x:f>IF(AND(I632=0,L632=0,Q632=0,T632=0,Y632=0),"PASS","FAIL")</x:f>
        <x:v>PASS</x:v>
      </x:c>
    </x:row>
    <x:row r="633" ht="18" customHeight="1">
      <x:c r="A633" s="14" t="n">
        <x:v>736</x:v>
      </x:c>
      <x:c r="B633" s="14" t="n">
        <x:v>628</x:v>
      </x:c>
      <x:c r="C633" s="14" t="n">
        <x:v>728</x:v>
      </x:c>
      <x:c r="D633" s="14" t="n">
        <x:v>231547</x:v>
      </x:c>
      <x:c r="E633" s="14" t="n">
        <x:v>742</x:v>
      </x:c>
      <x:c r="F633" s="14" t="n">
        <x:v>269332</x:v>
      </x:c>
      <x:c r="G633" s="14" t="n">
        <x:v>253138</x:v>
      </x:c>
      <x:c r="H633" s="14" t="n">
        <x:f>INT((F633-D633)*(A633-C633)/(E633-C633))+D633</x:f>
        <x:v>253138</x:v>
      </x:c>
      <x:c r="I633" s="68" t="n">
        <x:f>H633-G633</x:f>
        <x:v>0</x:v>
      </x:c>
      <x:c r="J633" s="14" t="n">
        <x:v>1647999</x:v>
      </x:c>
      <x:c r="K633" s="14" t="n">
        <x:f>INT(H633*'공식·설정'!$B$10/'공식·설정'!$B$15)</x:f>
        <x:v>1647999</x:v>
      </x:c>
      <x:c r="L633" s="68" t="n">
        <x:f>K633-J633</x:f>
        <x:v>0</x:v>
      </x:c>
      <x:c r="M633" s="65" t="n">
        <x:f>J633/'공식·설정'!$B$7</x:f>
        <x:v>6437.49609375</x:v>
      </x:c>
      <x:c r="N633" s="65" t="n">
        <x:f>K633/'공식·설정'!$B$7</x:f>
        <x:v>6437.49609375</x:v>
      </x:c>
      <x:c r="O633" s="14" t="n">
        <x:v>644</x:v>
      </x:c>
      <x:c r="P633" s="14" t="n">
        <x:f>MIN(32767,MAX(0,INT((K633+INT('공식·설정'!$B$12/2))/'공식·설정'!$B$12)))</x:f>
        <x:v>644</x:v>
      </x:c>
      <x:c r="Q633" s="68" t="n">
        <x:f>P633-O633</x:f>
        <x:v>0</x:v>
      </x:c>
      <x:c r="R633" s="14" t="n">
        <x:v>1657088</x:v>
      </x:c>
      <x:c r="S633" s="14" t="n">
        <x:f>P633*'공식·설정'!$B$12+'공식·설정'!$B$14</x:f>
        <x:v>1657088</x:v>
      </x:c>
      <x:c r="T633" s="68" t="n">
        <x:f>S633-R633</x:f>
        <x:v>0</x:v>
      </x:c>
      <x:c r="U633" s="65" t="n">
        <x:f>R633/'공식·설정'!$B$7</x:f>
        <x:v>6473</x:v>
      </x:c>
      <x:c r="V633" s="65" t="n">
        <x:f>S633/'공식·설정'!$B$7</x:f>
        <x:v>6473</x:v>
      </x:c>
      <x:c r="W633" s="14" t="n">
        <x:v>698</x:v>
      </x:c>
      <x:c r="X633" s="14" t="n">
        <x:f>INT(ABS(K634-K633)*'공식·설정'!$B$8/K633)</x:f>
        <x:v>698</x:v>
      </x:c>
      <x:c r="Y633" s="68" t="n">
        <x:f>X633-W633</x:f>
        <x:v>0</x:v>
      </x:c>
      <x:c r="Z633" s="66" t="n">
        <x:f>W633/'공식·설정'!$B$8</x:f>
        <x:v>0.010650634765625</x:v>
      </x:c>
      <x:c r="AA633" s="66" t="n">
        <x:f>X633/'공식·설정'!$B$8</x:f>
        <x:v>0.010650634765625</x:v>
      </x:c>
      <x:c r="AB633" s="67" t="str">
        <x:f>IF(AND(I633=0,L633=0,Q633=0,T633=0,Y633=0),"PASS","FAIL")</x:f>
        <x:v>PASS</x:v>
      </x:c>
    </x:row>
    <x:row r="634" ht="18" customHeight="1">
      <x:c r="A634" s="14" t="n">
        <x:v>737</x:v>
      </x:c>
      <x:c r="B634" s="14" t="n">
        <x:v>629</x:v>
      </x:c>
      <x:c r="C634" s="14" t="n">
        <x:v>728</x:v>
      </x:c>
      <x:c r="D634" s="14" t="n">
        <x:v>231547</x:v>
      </x:c>
      <x:c r="E634" s="14" t="n">
        <x:v>742</x:v>
      </x:c>
      <x:c r="F634" s="14" t="n">
        <x:v>269332</x:v>
      </x:c>
      <x:c r="G634" s="14" t="n">
        <x:v>255837</x:v>
      </x:c>
      <x:c r="H634" s="14" t="n">
        <x:f>INT((F634-D634)*(A634-C634)/(E634-C634))+D634</x:f>
        <x:v>255837</x:v>
      </x:c>
      <x:c r="I634" s="68" t="n">
        <x:f>H634-G634</x:f>
        <x:v>0</x:v>
      </x:c>
      <x:c r="J634" s="14" t="n">
        <x:v>1665571</x:v>
      </x:c>
      <x:c r="K634" s="14" t="n">
        <x:f>INT(H634*'공식·설정'!$B$10/'공식·설정'!$B$15)</x:f>
        <x:v>1665571</x:v>
      </x:c>
      <x:c r="L634" s="68" t="n">
        <x:f>K634-J634</x:f>
        <x:v>0</x:v>
      </x:c>
      <x:c r="M634" s="65" t="n">
        <x:f>J634/'공식·설정'!$B$7</x:f>
        <x:v>6506.13671875</x:v>
      </x:c>
      <x:c r="N634" s="65" t="n">
        <x:f>K634/'공식·설정'!$B$7</x:f>
        <x:v>6506.13671875</x:v>
      </x:c>
      <x:c r="O634" s="14" t="n">
        <x:v>651</x:v>
      </x:c>
      <x:c r="P634" s="14" t="n">
        <x:f>MIN(32767,MAX(0,INT((K634+INT('공식·설정'!$B$12/2))/'공식·설정'!$B$12)))</x:f>
        <x:v>651</x:v>
      </x:c>
      <x:c r="Q634" s="68" t="n">
        <x:f>P634-O634</x:f>
        <x:v>0</x:v>
      </x:c>
      <x:c r="R634" s="14" t="n">
        <x:v>1675008</x:v>
      </x:c>
      <x:c r="S634" s="14" t="n">
        <x:f>P634*'공식·설정'!$B$12+'공식·설정'!$B$14</x:f>
        <x:v>1675008</x:v>
      </x:c>
      <x:c r="T634" s="68" t="n">
        <x:f>S634-R634</x:f>
        <x:v>0</x:v>
      </x:c>
      <x:c r="U634" s="65" t="n">
        <x:f>R634/'공식·설정'!$B$7</x:f>
        <x:v>6543</x:v>
      </x:c>
      <x:c r="V634" s="65" t="n">
        <x:f>S634/'공식·설정'!$B$7</x:f>
        <x:v>6543</x:v>
      </x:c>
      <x:c r="W634" s="14" t="n">
        <x:v>691</x:v>
      </x:c>
      <x:c r="X634" s="14" t="n">
        <x:f>INT(ABS(K635-K634)*'공식·설정'!$B$8/K634)</x:f>
        <x:v>691</x:v>
      </x:c>
      <x:c r="Y634" s="68" t="n">
        <x:f>X634-W634</x:f>
        <x:v>0</x:v>
      </x:c>
      <x:c r="Z634" s="66" t="n">
        <x:f>W634/'공식·설정'!$B$8</x:f>
        <x:v>0.0105438232421875</x:v>
      </x:c>
      <x:c r="AA634" s="66" t="n">
        <x:f>X634/'공식·설정'!$B$8</x:f>
        <x:v>0.0105438232421875</x:v>
      </x:c>
      <x:c r="AB634" s="67" t="str">
        <x:f>IF(AND(I634=0,L634=0,Q634=0,T634=0,Y634=0),"PASS","FAIL")</x:f>
        <x:v>PASS</x:v>
      </x:c>
    </x:row>
    <x:row r="635" ht="18" customHeight="1">
      <x:c r="A635" s="14" t="n">
        <x:v>738</x:v>
      </x:c>
      <x:c r="B635" s="14" t="n">
        <x:v>630</x:v>
      </x:c>
      <x:c r="C635" s="14" t="n">
        <x:v>728</x:v>
      </x:c>
      <x:c r="D635" s="14" t="n">
        <x:v>231547</x:v>
      </x:c>
      <x:c r="E635" s="14" t="n">
        <x:v>742</x:v>
      </x:c>
      <x:c r="F635" s="14" t="n">
        <x:v>269332</x:v>
      </x:c>
      <x:c r="G635" s="14" t="n">
        <x:v>258536</x:v>
      </x:c>
      <x:c r="H635" s="14" t="n">
        <x:f>INT((F635-D635)*(A635-C635)/(E635-C635))+D635</x:f>
        <x:v>258536</x:v>
      </x:c>
      <x:c r="I635" s="68" t="n">
        <x:f>H635-G635</x:f>
        <x:v>0</x:v>
      </x:c>
      <x:c r="J635" s="14" t="n">
        <x:v>1683142</x:v>
      </x:c>
      <x:c r="K635" s="14" t="n">
        <x:f>INT(H635*'공식·설정'!$B$10/'공식·설정'!$B$15)</x:f>
        <x:v>1683142</x:v>
      </x:c>
      <x:c r="L635" s="68" t="n">
        <x:f>K635-J635</x:f>
        <x:v>0</x:v>
      </x:c>
      <x:c r="M635" s="65" t="n">
        <x:f>J635/'공식·설정'!$B$7</x:f>
        <x:v>6574.7734375</x:v>
      </x:c>
      <x:c r="N635" s="65" t="n">
        <x:f>K635/'공식·설정'!$B$7</x:f>
        <x:v>6574.7734375</x:v>
      </x:c>
      <x:c r="O635" s="14" t="n">
        <x:v>657</x:v>
      </x:c>
      <x:c r="P635" s="14" t="n">
        <x:f>MIN(32767,MAX(0,INT((K635+INT('공식·설정'!$B$12/2))/'공식·설정'!$B$12)))</x:f>
        <x:v>657</x:v>
      </x:c>
      <x:c r="Q635" s="68" t="n">
        <x:f>P635-O635</x:f>
        <x:v>0</x:v>
      </x:c>
      <x:c r="R635" s="14" t="n">
        <x:v>1690368</x:v>
      </x:c>
      <x:c r="S635" s="14" t="n">
        <x:f>P635*'공식·설정'!$B$12+'공식·설정'!$B$14</x:f>
        <x:v>1690368</x:v>
      </x:c>
      <x:c r="T635" s="68" t="n">
        <x:f>S635-R635</x:f>
        <x:v>0</x:v>
      </x:c>
      <x:c r="U635" s="65" t="n">
        <x:f>R635/'공식·설정'!$B$7</x:f>
        <x:v>6603</x:v>
      </x:c>
      <x:c r="V635" s="65" t="n">
        <x:f>S635/'공식·설정'!$B$7</x:f>
        <x:v>6603</x:v>
      </x:c>
      <x:c r="W635" s="14" t="n">
        <x:v>684</x:v>
      </x:c>
      <x:c r="X635" s="14" t="n">
        <x:f>INT(ABS(K636-K635)*'공식·설정'!$B$8/K635)</x:f>
        <x:v>684</x:v>
      </x:c>
      <x:c r="Y635" s="68" t="n">
        <x:f>X635-W635</x:f>
        <x:v>0</x:v>
      </x:c>
      <x:c r="Z635" s="66" t="n">
        <x:f>W635/'공식·설정'!$B$8</x:f>
        <x:v>0.01043701171875</x:v>
      </x:c>
      <x:c r="AA635" s="66" t="n">
        <x:f>X635/'공식·설정'!$B$8</x:f>
        <x:v>0.01043701171875</x:v>
      </x:c>
      <x:c r="AB635" s="67" t="str">
        <x:f>IF(AND(I635=0,L635=0,Q635=0,T635=0,Y635=0),"PASS","FAIL")</x:f>
        <x:v>PASS</x:v>
      </x:c>
    </x:row>
    <x:row r="636" ht="18" customHeight="1">
      <x:c r="A636" s="14" t="n">
        <x:v>739</x:v>
      </x:c>
      <x:c r="B636" s="14" t="n">
        <x:v>631</x:v>
      </x:c>
      <x:c r="C636" s="14" t="n">
        <x:v>728</x:v>
      </x:c>
      <x:c r="D636" s="14" t="n">
        <x:v>231547</x:v>
      </x:c>
      <x:c r="E636" s="14" t="n">
        <x:v>742</x:v>
      </x:c>
      <x:c r="F636" s="14" t="n">
        <x:v>269332</x:v>
      </x:c>
      <x:c r="G636" s="14" t="n">
        <x:v>261235</x:v>
      </x:c>
      <x:c r="H636" s="14" t="n">
        <x:f>INT((F636-D636)*(A636-C636)/(E636-C636))+D636</x:f>
        <x:v>261235</x:v>
      </x:c>
      <x:c r="I636" s="68" t="n">
        <x:f>H636-G636</x:f>
        <x:v>0</x:v>
      </x:c>
      <x:c r="J636" s="14" t="n">
        <x:v>1700713</x:v>
      </x:c>
      <x:c r="K636" s="14" t="n">
        <x:f>INT(H636*'공식·설정'!$B$10/'공식·설정'!$B$15)</x:f>
        <x:v>1700713</x:v>
      </x:c>
      <x:c r="L636" s="68" t="n">
        <x:f>K636-J636</x:f>
        <x:v>0</x:v>
      </x:c>
      <x:c r="M636" s="65" t="n">
        <x:f>J636/'공식·설정'!$B$7</x:f>
        <x:v>6643.41015625</x:v>
      </x:c>
      <x:c r="N636" s="65" t="n">
        <x:f>K636/'공식·설정'!$B$7</x:f>
        <x:v>6643.41015625</x:v>
      </x:c>
      <x:c r="O636" s="14" t="n">
        <x:v>664</x:v>
      </x:c>
      <x:c r="P636" s="14" t="n">
        <x:f>MIN(32767,MAX(0,INT((K636+INT('공식·설정'!$B$12/2))/'공식·설정'!$B$12)))</x:f>
        <x:v>664</x:v>
      </x:c>
      <x:c r="Q636" s="68" t="n">
        <x:f>P636-O636</x:f>
        <x:v>0</x:v>
      </x:c>
      <x:c r="R636" s="14" t="n">
        <x:v>1708288</x:v>
      </x:c>
      <x:c r="S636" s="14" t="n">
        <x:f>P636*'공식·설정'!$B$12+'공식·설정'!$B$14</x:f>
        <x:v>1708288</x:v>
      </x:c>
      <x:c r="T636" s="68" t="n">
        <x:f>S636-R636</x:f>
        <x:v>0</x:v>
      </x:c>
      <x:c r="U636" s="65" t="n">
        <x:f>R636/'공식·설정'!$B$7</x:f>
        <x:v>6673</x:v>
      </x:c>
      <x:c r="V636" s="65" t="n">
        <x:f>S636/'공식·설정'!$B$7</x:f>
        <x:v>6673</x:v>
      </x:c>
      <x:c r="W636" s="14" t="n">
        <x:v>677</x:v>
      </x:c>
      <x:c r="X636" s="14" t="n">
        <x:f>INT(ABS(K637-K636)*'공식·설정'!$B$8/K636)</x:f>
        <x:v>677</x:v>
      </x:c>
      <x:c r="Y636" s="68" t="n">
        <x:f>X636-W636</x:f>
        <x:v>0</x:v>
      </x:c>
      <x:c r="Z636" s="66" t="n">
        <x:f>W636/'공식·설정'!$B$8</x:f>
        <x:v>0.0103302001953125</x:v>
      </x:c>
      <x:c r="AA636" s="66" t="n">
        <x:f>X636/'공식·설정'!$B$8</x:f>
        <x:v>0.0103302001953125</x:v>
      </x:c>
      <x:c r="AB636" s="67" t="str">
        <x:f>IF(AND(I636=0,L636=0,Q636=0,T636=0,Y636=0),"PASS","FAIL")</x:f>
        <x:v>PASS</x:v>
      </x:c>
    </x:row>
    <x:row r="637" ht="18" customHeight="1">
      <x:c r="A637" s="14" t="n">
        <x:v>740</x:v>
      </x:c>
      <x:c r="B637" s="14" t="n">
        <x:v>632</x:v>
      </x:c>
      <x:c r="C637" s="14" t="n">
        <x:v>728</x:v>
      </x:c>
      <x:c r="D637" s="14" t="n">
        <x:v>231547</x:v>
      </x:c>
      <x:c r="E637" s="14" t="n">
        <x:v>742</x:v>
      </x:c>
      <x:c r="F637" s="14" t="n">
        <x:v>269332</x:v>
      </x:c>
      <x:c r="G637" s="14" t="n">
        <x:v>263934</x:v>
      </x:c>
      <x:c r="H637" s="14" t="n">
        <x:f>INT((F637-D637)*(A637-C637)/(E637-C637))+D637</x:f>
        <x:v>263934</x:v>
      </x:c>
      <x:c r="I637" s="68" t="n">
        <x:f>H637-G637</x:f>
        <x:v>0</x:v>
      </x:c>
      <x:c r="J637" s="14" t="n">
        <x:v>1718284</x:v>
      </x:c>
      <x:c r="K637" s="14" t="n">
        <x:f>INT(H637*'공식·설정'!$B$10/'공식·설정'!$B$15)</x:f>
        <x:v>1718284</x:v>
      </x:c>
      <x:c r="L637" s="68" t="n">
        <x:f>K637-J637</x:f>
        <x:v>0</x:v>
      </x:c>
      <x:c r="M637" s="65" t="n">
        <x:f>J637/'공식·설정'!$B$7</x:f>
        <x:v>6712.046875</x:v>
      </x:c>
      <x:c r="N637" s="65" t="n">
        <x:f>K637/'공식·설정'!$B$7</x:f>
        <x:v>6712.046875</x:v>
      </x:c>
      <x:c r="O637" s="14" t="n">
        <x:v>671</x:v>
      </x:c>
      <x:c r="P637" s="14" t="n">
        <x:f>MIN(32767,MAX(0,INT((K637+INT('공식·설정'!$B$12/2))/'공식·설정'!$B$12)))</x:f>
        <x:v>671</x:v>
      </x:c>
      <x:c r="Q637" s="68" t="n">
        <x:f>P637-O637</x:f>
        <x:v>0</x:v>
      </x:c>
      <x:c r="R637" s="14" t="n">
        <x:v>1726208</x:v>
      </x:c>
      <x:c r="S637" s="14" t="n">
        <x:f>P637*'공식·설정'!$B$12+'공식·설정'!$B$14</x:f>
        <x:v>1726208</x:v>
      </x:c>
      <x:c r="T637" s="68" t="n">
        <x:f>S637-R637</x:f>
        <x:v>0</x:v>
      </x:c>
      <x:c r="U637" s="65" t="n">
        <x:f>R637/'공식·설정'!$B$7</x:f>
        <x:v>6743</x:v>
      </x:c>
      <x:c r="V637" s="65" t="n">
        <x:f>S637/'공식·설정'!$B$7</x:f>
        <x:v>6743</x:v>
      </x:c>
      <x:c r="W637" s="14" t="n">
        <x:v>670</x:v>
      </x:c>
      <x:c r="X637" s="14" t="n">
        <x:f>INT(ABS(K638-K637)*'공식·설정'!$B$8/K637)</x:f>
        <x:v>670</x:v>
      </x:c>
      <x:c r="Y637" s="68" t="n">
        <x:f>X637-W637</x:f>
        <x:v>0</x:v>
      </x:c>
      <x:c r="Z637" s="66" t="n">
        <x:f>W637/'공식·설정'!$B$8</x:f>
        <x:v>0.010223388671875</x:v>
      </x:c>
      <x:c r="AA637" s="66" t="n">
        <x:f>X637/'공식·설정'!$B$8</x:f>
        <x:v>0.010223388671875</x:v>
      </x:c>
      <x:c r="AB637" s="67" t="str">
        <x:f>IF(AND(I637=0,L637=0,Q637=0,T637=0,Y637=0),"PASS","FAIL")</x:f>
        <x:v>PASS</x:v>
      </x:c>
    </x:row>
    <x:row r="638" ht="18" customHeight="1">
      <x:c r="A638" s="14" t="n">
        <x:v>741</x:v>
      </x:c>
      <x:c r="B638" s="14" t="n">
        <x:v>633</x:v>
      </x:c>
      <x:c r="C638" s="14" t="n">
        <x:v>728</x:v>
      </x:c>
      <x:c r="D638" s="14" t="n">
        <x:v>231547</x:v>
      </x:c>
      <x:c r="E638" s="14" t="n">
        <x:v>742</x:v>
      </x:c>
      <x:c r="F638" s="14" t="n">
        <x:v>269332</x:v>
      </x:c>
      <x:c r="G638" s="14" t="n">
        <x:v>266633</x:v>
      </x:c>
      <x:c r="H638" s="14" t="n">
        <x:f>INT((F638-D638)*(A638-C638)/(E638-C638))+D638</x:f>
        <x:v>266633</x:v>
      </x:c>
      <x:c r="I638" s="68" t="n">
        <x:f>H638-G638</x:f>
        <x:v>0</x:v>
      </x:c>
      <x:c r="J638" s="14" t="n">
        <x:v>1735856</x:v>
      </x:c>
      <x:c r="K638" s="14" t="n">
        <x:f>INT(H638*'공식·설정'!$B$10/'공식·설정'!$B$15)</x:f>
        <x:v>1735856</x:v>
      </x:c>
      <x:c r="L638" s="68" t="n">
        <x:f>K638-J638</x:f>
        <x:v>0</x:v>
      </x:c>
      <x:c r="M638" s="65" t="n">
        <x:f>J638/'공식·설정'!$B$7</x:f>
        <x:v>6780.6875</x:v>
      </x:c>
      <x:c r="N638" s="65" t="n">
        <x:f>K638/'공식·설정'!$B$7</x:f>
        <x:v>6780.6875</x:v>
      </x:c>
      <x:c r="O638" s="14" t="n">
        <x:v>678</x:v>
      </x:c>
      <x:c r="P638" s="14" t="n">
        <x:f>MIN(32767,MAX(0,INT((K638+INT('공식·설정'!$B$12/2))/'공식·설정'!$B$12)))</x:f>
        <x:v>678</x:v>
      </x:c>
      <x:c r="Q638" s="68" t="n">
        <x:f>P638-O638</x:f>
        <x:v>0</x:v>
      </x:c>
      <x:c r="R638" s="14" t="n">
        <x:v>1744128</x:v>
      </x:c>
      <x:c r="S638" s="14" t="n">
        <x:f>P638*'공식·설정'!$B$12+'공식·설정'!$B$14</x:f>
        <x:v>1744128</x:v>
      </x:c>
      <x:c r="T638" s="68" t="n">
        <x:f>S638-R638</x:f>
        <x:v>0</x:v>
      </x:c>
      <x:c r="U638" s="65" t="n">
        <x:f>R638/'공식·설정'!$B$7</x:f>
        <x:v>6813</x:v>
      </x:c>
      <x:c r="V638" s="65" t="n">
        <x:f>S638/'공식·설정'!$B$7</x:f>
        <x:v>6813</x:v>
      </x:c>
      <x:c r="W638" s="14" t="n">
        <x:v>663</x:v>
      </x:c>
      <x:c r="X638" s="14" t="n">
        <x:f>INT(ABS(K639-K638)*'공식·설정'!$B$8/K638)</x:f>
        <x:v>663</x:v>
      </x:c>
      <x:c r="Y638" s="68" t="n">
        <x:f>X638-W638</x:f>
        <x:v>0</x:v>
      </x:c>
      <x:c r="Z638" s="66" t="n">
        <x:f>W638/'공식·설정'!$B$8</x:f>
        <x:v>0.0101165771484375</x:v>
      </x:c>
      <x:c r="AA638" s="66" t="n">
        <x:f>X638/'공식·설정'!$B$8</x:f>
        <x:v>0.0101165771484375</x:v>
      </x:c>
      <x:c r="AB638" s="67" t="str">
        <x:f>IF(AND(I638=0,L638=0,Q638=0,T638=0,Y638=0),"PASS","FAIL")</x:f>
        <x:v>PASS</x:v>
      </x:c>
    </x:row>
    <x:row r="639" ht="18" customHeight="1">
      <x:c r="A639" s="14" t="n">
        <x:v>742</x:v>
      </x:c>
      <x:c r="B639" s="14" t="n">
        <x:v>634</x:v>
      </x:c>
      <x:c r="C639" s="14" t="n">
        <x:v>742</x:v>
      </x:c>
      <x:c r="D639" s="14" t="n">
        <x:v>269332</x:v>
      </x:c>
      <x:c r="E639" s="14" t="n">
        <x:v>756</x:v>
      </x:c>
      <x:c r="F639" s="14" t="n">
        <x:v>313281</x:v>
      </x:c>
      <x:c r="G639" s="14" t="n">
        <x:v>269332</x:v>
      </x:c>
      <x:c r="H639" s="14" t="n">
        <x:f>INT((F639-D639)*(A639-C639)/(E639-C639))+D639</x:f>
        <x:v>269332</x:v>
      </x:c>
      <x:c r="I639" s="68" t="n">
        <x:f>H639-G639</x:f>
        <x:v>0</x:v>
      </x:c>
      <x:c r="J639" s="14" t="n">
        <x:v>1753427</x:v>
      </x:c>
      <x:c r="K639" s="14" t="n">
        <x:f>INT(H639*'공식·설정'!$B$10/'공식·설정'!$B$15)</x:f>
        <x:v>1753427</x:v>
      </x:c>
      <x:c r="L639" s="68" t="n">
        <x:f>K639-J639</x:f>
        <x:v>0</x:v>
      </x:c>
      <x:c r="M639" s="65" t="n">
        <x:f>J639/'공식·설정'!$B$7</x:f>
        <x:v>6849.32421875</x:v>
      </x:c>
      <x:c r="N639" s="65" t="n">
        <x:f>K639/'공식·설정'!$B$7</x:f>
        <x:v>6849.32421875</x:v>
      </x:c>
      <x:c r="O639" s="14" t="n">
        <x:v>685</x:v>
      </x:c>
      <x:c r="P639" s="14" t="n">
        <x:f>MIN(32767,MAX(0,INT((K639+INT('공식·설정'!$B$12/2))/'공식·설정'!$B$12)))</x:f>
        <x:v>685</x:v>
      </x:c>
      <x:c r="Q639" s="68" t="n">
        <x:f>P639-O639</x:f>
        <x:v>0</x:v>
      </x:c>
      <x:c r="R639" s="14" t="n">
        <x:v>1762048</x:v>
      </x:c>
      <x:c r="S639" s="14" t="n">
        <x:f>P639*'공식·설정'!$B$12+'공식·설정'!$B$14</x:f>
        <x:v>1762048</x:v>
      </x:c>
      <x:c r="T639" s="68" t="n">
        <x:f>S639-R639</x:f>
        <x:v>0</x:v>
      </x:c>
      <x:c r="U639" s="65" t="n">
        <x:f>R639/'공식·설정'!$B$7</x:f>
        <x:v>6883</x:v>
      </x:c>
      <x:c r="V639" s="65" t="n">
        <x:f>S639/'공식·설정'!$B$7</x:f>
        <x:v>6883</x:v>
      </x:c>
      <x:c r="W639" s="14" t="n">
        <x:v>763</x:v>
      </x:c>
      <x:c r="X639" s="14" t="n">
        <x:f>INT(ABS(K640-K639)*'공식·설정'!$B$8/K639)</x:f>
        <x:v>763</x:v>
      </x:c>
      <x:c r="Y639" s="68" t="n">
        <x:f>X639-W639</x:f>
        <x:v>0</x:v>
      </x:c>
      <x:c r="Z639" s="66" t="n">
        <x:f>W639/'공식·설정'!$B$8</x:f>
        <x:v>0.0116424560546875</x:v>
      </x:c>
      <x:c r="AA639" s="66" t="n">
        <x:f>X639/'공식·설정'!$B$8</x:f>
        <x:v>0.0116424560546875</x:v>
      </x:c>
      <x:c r="AB639" s="67" t="str">
        <x:f>IF(AND(I639=0,L639=0,Q639=0,T639=0,Y639=0),"PASS","FAIL")</x:f>
        <x:v>PASS</x:v>
      </x:c>
    </x:row>
    <x:row r="640" ht="18" customHeight="1">
      <x:c r="A640" s="14" t="n">
        <x:v>743</x:v>
      </x:c>
      <x:c r="B640" s="14" t="n">
        <x:v>635</x:v>
      </x:c>
      <x:c r="C640" s="14" t="n">
        <x:v>742</x:v>
      </x:c>
      <x:c r="D640" s="14" t="n">
        <x:v>269332</x:v>
      </x:c>
      <x:c r="E640" s="14" t="n">
        <x:v>756</x:v>
      </x:c>
      <x:c r="F640" s="14" t="n">
        <x:v>313281</x:v>
      </x:c>
      <x:c r="G640" s="14" t="n">
        <x:v>272471</x:v>
      </x:c>
      <x:c r="H640" s="14" t="n">
        <x:f>INT((F640-D640)*(A640-C640)/(E640-C640))+D640</x:f>
        <x:v>272471</x:v>
      </x:c>
      <x:c r="I640" s="68" t="n">
        <x:f>H640-G640</x:f>
        <x:v>0</x:v>
      </x:c>
      <x:c r="J640" s="14" t="n">
        <x:v>1773863</x:v>
      </x:c>
      <x:c r="K640" s="14" t="n">
        <x:f>INT(H640*'공식·설정'!$B$10/'공식·설정'!$B$15)</x:f>
        <x:v>1773863</x:v>
      </x:c>
      <x:c r="L640" s="68" t="n">
        <x:f>K640-J640</x:f>
        <x:v>0</x:v>
      </x:c>
      <x:c r="M640" s="65" t="n">
        <x:f>J640/'공식·설정'!$B$7</x:f>
        <x:v>6929.15234375</x:v>
      </x:c>
      <x:c r="N640" s="65" t="n">
        <x:f>K640/'공식·설정'!$B$7</x:f>
        <x:v>6929.15234375</x:v>
      </x:c>
      <x:c r="O640" s="14" t="n">
        <x:v>693</x:v>
      </x:c>
      <x:c r="P640" s="14" t="n">
        <x:f>MIN(32767,MAX(0,INT((K640+INT('공식·설정'!$B$12/2))/'공식·설정'!$B$12)))</x:f>
        <x:v>693</x:v>
      </x:c>
      <x:c r="Q640" s="68" t="n">
        <x:f>P640-O640</x:f>
        <x:v>0</x:v>
      </x:c>
      <x:c r="R640" s="14" t="n">
        <x:v>1782528</x:v>
      </x:c>
      <x:c r="S640" s="14" t="n">
        <x:f>P640*'공식·설정'!$B$12+'공식·설정'!$B$14</x:f>
        <x:v>1782528</x:v>
      </x:c>
      <x:c r="T640" s="68" t="n">
        <x:f>S640-R640</x:f>
        <x:v>0</x:v>
      </x:c>
      <x:c r="U640" s="65" t="n">
        <x:f>R640/'공식·설정'!$B$7</x:f>
        <x:v>6963</x:v>
      </x:c>
      <x:c r="V640" s="65" t="n">
        <x:f>S640/'공식·설정'!$B$7</x:f>
        <x:v>6963</x:v>
      </x:c>
      <x:c r="W640" s="14" t="n">
        <x:v>754</x:v>
      </x:c>
      <x:c r="X640" s="14" t="n">
        <x:f>INT(ABS(K641-K640)*'공식·설정'!$B$8/K640)</x:f>
        <x:v>754</x:v>
      </x:c>
      <x:c r="Y640" s="68" t="n">
        <x:f>X640-W640</x:f>
        <x:v>0</x:v>
      </x:c>
      <x:c r="Z640" s="66" t="n">
        <x:f>W640/'공식·설정'!$B$8</x:f>
        <x:v>0.011505126953125</x:v>
      </x:c>
      <x:c r="AA640" s="66" t="n">
        <x:f>X640/'공식·설정'!$B$8</x:f>
        <x:v>0.011505126953125</x:v>
      </x:c>
      <x:c r="AB640" s="67" t="str">
        <x:f>IF(AND(I640=0,L640=0,Q640=0,T640=0,Y640=0),"PASS","FAIL")</x:f>
        <x:v>PASS</x:v>
      </x:c>
    </x:row>
    <x:row r="641" ht="18" customHeight="1">
      <x:c r="A641" s="14" t="n">
        <x:v>744</x:v>
      </x:c>
      <x:c r="B641" s="14" t="n">
        <x:v>636</x:v>
      </x:c>
      <x:c r="C641" s="14" t="n">
        <x:v>742</x:v>
      </x:c>
      <x:c r="D641" s="14" t="n">
        <x:v>269332</x:v>
      </x:c>
      <x:c r="E641" s="14" t="n">
        <x:v>756</x:v>
      </x:c>
      <x:c r="F641" s="14" t="n">
        <x:v>313281</x:v>
      </x:c>
      <x:c r="G641" s="14" t="n">
        <x:v>275610</x:v>
      </x:c>
      <x:c r="H641" s="14" t="n">
        <x:f>INT((F641-D641)*(A641-C641)/(E641-C641))+D641</x:f>
        <x:v>275610</x:v>
      </x:c>
      <x:c r="I641" s="68" t="n">
        <x:f>H641-G641</x:f>
        <x:v>0</x:v>
      </x:c>
      <x:c r="J641" s="14" t="n">
        <x:v>1794298</x:v>
      </x:c>
      <x:c r="K641" s="14" t="n">
        <x:f>INT(H641*'공식·설정'!$B$10/'공식·설정'!$B$15)</x:f>
        <x:v>1794298</x:v>
      </x:c>
      <x:c r="L641" s="68" t="n">
        <x:f>K641-J641</x:f>
        <x:v>0</x:v>
      </x:c>
      <x:c r="M641" s="65" t="n">
        <x:f>J641/'공식·설정'!$B$7</x:f>
        <x:v>7008.9765625</x:v>
      </x:c>
      <x:c r="N641" s="65" t="n">
        <x:f>K641/'공식·설정'!$B$7</x:f>
        <x:v>7008.9765625</x:v>
      </x:c>
      <x:c r="O641" s="14" t="n">
        <x:v>701</x:v>
      </x:c>
      <x:c r="P641" s="14" t="n">
        <x:f>MIN(32767,MAX(0,INT((K641+INT('공식·설정'!$B$12/2))/'공식·설정'!$B$12)))</x:f>
        <x:v>701</x:v>
      </x:c>
      <x:c r="Q641" s="68" t="n">
        <x:f>P641-O641</x:f>
        <x:v>0</x:v>
      </x:c>
      <x:c r="R641" s="14" t="n">
        <x:v>1803008</x:v>
      </x:c>
      <x:c r="S641" s="14" t="n">
        <x:f>P641*'공식·설정'!$B$12+'공식·설정'!$B$14</x:f>
        <x:v>1803008</x:v>
      </x:c>
      <x:c r="T641" s="68" t="n">
        <x:f>S641-R641</x:f>
        <x:v>0</x:v>
      </x:c>
      <x:c r="U641" s="65" t="n">
        <x:f>R641/'공식·설정'!$B$7</x:f>
        <x:v>7043</x:v>
      </x:c>
      <x:c r="V641" s="65" t="n">
        <x:f>S641/'공식·설정'!$B$7</x:f>
        <x:v>7043</x:v>
      </x:c>
      <x:c r="W641" s="14" t="n">
        <x:v>746</x:v>
      </x:c>
      <x:c r="X641" s="14" t="n">
        <x:f>INT(ABS(K642-K641)*'공식·설정'!$B$8/K641)</x:f>
        <x:v>746</x:v>
      </x:c>
      <x:c r="Y641" s="68" t="n">
        <x:f>X641-W641</x:f>
        <x:v>0</x:v>
      </x:c>
      <x:c r="Z641" s="66" t="n">
        <x:f>W641/'공식·설정'!$B$8</x:f>
        <x:v>0.011383056640625</x:v>
      </x:c>
      <x:c r="AA641" s="66" t="n">
        <x:f>X641/'공식·설정'!$B$8</x:f>
        <x:v>0.011383056640625</x:v>
      </x:c>
      <x:c r="AB641" s="67" t="str">
        <x:f>IF(AND(I641=0,L641=0,Q641=0,T641=0,Y641=0),"PASS","FAIL")</x:f>
        <x:v>PASS</x:v>
      </x:c>
    </x:row>
    <x:row r="642" ht="18" customHeight="1">
      <x:c r="A642" s="14" t="n">
        <x:v>745</x:v>
      </x:c>
      <x:c r="B642" s="14" t="n">
        <x:v>637</x:v>
      </x:c>
      <x:c r="C642" s="14" t="n">
        <x:v>742</x:v>
      </x:c>
      <x:c r="D642" s="14" t="n">
        <x:v>269332</x:v>
      </x:c>
      <x:c r="E642" s="14" t="n">
        <x:v>756</x:v>
      </x:c>
      <x:c r="F642" s="14" t="n">
        <x:v>313281</x:v>
      </x:c>
      <x:c r="G642" s="14" t="n">
        <x:v>278749</x:v>
      </x:c>
      <x:c r="H642" s="14" t="n">
        <x:f>INT((F642-D642)*(A642-C642)/(E642-C642))+D642</x:f>
        <x:v>278749</x:v>
      </x:c>
      <x:c r="I642" s="68" t="n">
        <x:f>H642-G642</x:f>
        <x:v>0</x:v>
      </x:c>
      <x:c r="J642" s="14" t="n">
        <x:v>1814734</x:v>
      </x:c>
      <x:c r="K642" s="14" t="n">
        <x:f>INT(H642*'공식·설정'!$B$10/'공식·설정'!$B$15)</x:f>
        <x:v>1814734</x:v>
      </x:c>
      <x:c r="L642" s="68" t="n">
        <x:f>K642-J642</x:f>
        <x:v>0</x:v>
      </x:c>
      <x:c r="M642" s="65" t="n">
        <x:f>J642/'공식·설정'!$B$7</x:f>
        <x:v>7088.8046875</x:v>
      </x:c>
      <x:c r="N642" s="65" t="n">
        <x:f>K642/'공식·설정'!$B$7</x:f>
        <x:v>7088.8046875</x:v>
      </x:c>
      <x:c r="O642" s="14" t="n">
        <x:v>709</x:v>
      </x:c>
      <x:c r="P642" s="14" t="n">
        <x:f>MIN(32767,MAX(0,INT((K642+INT('공식·설정'!$B$12/2))/'공식·설정'!$B$12)))</x:f>
        <x:v>709</x:v>
      </x:c>
      <x:c r="Q642" s="68" t="n">
        <x:f>P642-O642</x:f>
        <x:v>0</x:v>
      </x:c>
      <x:c r="R642" s="14" t="n">
        <x:v>1823488</x:v>
      </x:c>
      <x:c r="S642" s="14" t="n">
        <x:f>P642*'공식·설정'!$B$12+'공식·설정'!$B$14</x:f>
        <x:v>1823488</x:v>
      </x:c>
      <x:c r="T642" s="68" t="n">
        <x:f>S642-R642</x:f>
        <x:v>0</x:v>
      </x:c>
      <x:c r="U642" s="65" t="n">
        <x:f>R642/'공식·설정'!$B$7</x:f>
        <x:v>7123</x:v>
      </x:c>
      <x:c r="V642" s="65" t="n">
        <x:f>S642/'공식·설정'!$B$7</x:f>
        <x:v>7123</x:v>
      </x:c>
      <x:c r="W642" s="14" t="n">
        <x:v>738</x:v>
      </x:c>
      <x:c r="X642" s="14" t="n">
        <x:f>INT(ABS(K643-K642)*'공식·설정'!$B$8/K642)</x:f>
        <x:v>738</x:v>
      </x:c>
      <x:c r="Y642" s="68" t="n">
        <x:f>X642-W642</x:f>
        <x:v>0</x:v>
      </x:c>
      <x:c r="Z642" s="66" t="n">
        <x:f>W642/'공식·설정'!$B$8</x:f>
        <x:v>0.011260986328125</x:v>
      </x:c>
      <x:c r="AA642" s="66" t="n">
        <x:f>X642/'공식·설정'!$B$8</x:f>
        <x:v>0.011260986328125</x:v>
      </x:c>
      <x:c r="AB642" s="67" t="str">
        <x:f>IF(AND(I642=0,L642=0,Q642=0,T642=0,Y642=0),"PASS","FAIL")</x:f>
        <x:v>PASS</x:v>
      </x:c>
    </x:row>
    <x:row r="643" ht="18" customHeight="1">
      <x:c r="A643" s="14" t="n">
        <x:v>746</x:v>
      </x:c>
      <x:c r="B643" s="14" t="n">
        <x:v>638</x:v>
      </x:c>
      <x:c r="C643" s="14" t="n">
        <x:v>742</x:v>
      </x:c>
      <x:c r="D643" s="14" t="n">
        <x:v>269332</x:v>
      </x:c>
      <x:c r="E643" s="14" t="n">
        <x:v>756</x:v>
      </x:c>
      <x:c r="F643" s="14" t="n">
        <x:v>313281</x:v>
      </x:c>
      <x:c r="G643" s="14" t="n">
        <x:v>281888</x:v>
      </x:c>
      <x:c r="H643" s="14" t="n">
        <x:f>INT((F643-D643)*(A643-C643)/(E643-C643))+D643</x:f>
        <x:v>281888</x:v>
      </x:c>
      <x:c r="I643" s="68" t="n">
        <x:f>H643-G643</x:f>
        <x:v>0</x:v>
      </x:c>
      <x:c r="J643" s="14" t="n">
        <x:v>1835170</x:v>
      </x:c>
      <x:c r="K643" s="14" t="n">
        <x:f>INT(H643*'공식·설정'!$B$10/'공식·설정'!$B$15)</x:f>
        <x:v>1835170</x:v>
      </x:c>
      <x:c r="L643" s="68" t="n">
        <x:f>K643-J643</x:f>
        <x:v>0</x:v>
      </x:c>
      <x:c r="M643" s="65" t="n">
        <x:f>J643/'공식·설정'!$B$7</x:f>
        <x:v>7168.6328125</x:v>
      </x:c>
      <x:c r="N643" s="65" t="n">
        <x:f>K643/'공식·설정'!$B$7</x:f>
        <x:v>7168.6328125</x:v>
      </x:c>
      <x:c r="O643" s="14" t="n">
        <x:v>717</x:v>
      </x:c>
      <x:c r="P643" s="14" t="n">
        <x:f>MIN(32767,MAX(0,INT((K643+INT('공식·설정'!$B$12/2))/'공식·설정'!$B$12)))</x:f>
        <x:v>717</x:v>
      </x:c>
      <x:c r="Q643" s="68" t="n">
        <x:f>P643-O643</x:f>
        <x:v>0</x:v>
      </x:c>
      <x:c r="R643" s="14" t="n">
        <x:v>1843968</x:v>
      </x:c>
      <x:c r="S643" s="14" t="n">
        <x:f>P643*'공식·설정'!$B$12+'공식·설정'!$B$14</x:f>
        <x:v>1843968</x:v>
      </x:c>
      <x:c r="T643" s="68" t="n">
        <x:f>S643-R643</x:f>
        <x:v>0</x:v>
      </x:c>
      <x:c r="U643" s="65" t="n">
        <x:f>R643/'공식·설정'!$B$7</x:f>
        <x:v>7203</x:v>
      </x:c>
      <x:c r="V643" s="65" t="n">
        <x:f>S643/'공식·설정'!$B$7</x:f>
        <x:v>7203</x:v>
      </x:c>
      <x:c r="W643" s="14" t="n">
        <x:v>730</x:v>
      </x:c>
      <x:c r="X643" s="14" t="n">
        <x:f>INT(ABS(K644-K643)*'공식·설정'!$B$8/K643)</x:f>
        <x:v>730</x:v>
      </x:c>
      <x:c r="Y643" s="68" t="n">
        <x:f>X643-W643</x:f>
        <x:v>0</x:v>
      </x:c>
      <x:c r="Z643" s="66" t="n">
        <x:f>W643/'공식·설정'!$B$8</x:f>
        <x:v>0.011138916015625</x:v>
      </x:c>
      <x:c r="AA643" s="66" t="n">
        <x:f>X643/'공식·설정'!$B$8</x:f>
        <x:v>0.011138916015625</x:v>
      </x:c>
      <x:c r="AB643" s="67" t="str">
        <x:f>IF(AND(I643=0,L643=0,Q643=0,T643=0,Y643=0),"PASS","FAIL")</x:f>
        <x:v>PASS</x:v>
      </x:c>
    </x:row>
    <x:row r="644" ht="18" customHeight="1">
      <x:c r="A644" s="14" t="n">
        <x:v>747</x:v>
      </x:c>
      <x:c r="B644" s="14" t="n">
        <x:v>639</x:v>
      </x:c>
      <x:c r="C644" s="14" t="n">
        <x:v>742</x:v>
      </x:c>
      <x:c r="D644" s="14" t="n">
        <x:v>269332</x:v>
      </x:c>
      <x:c r="E644" s="14" t="n">
        <x:v>756</x:v>
      </x:c>
      <x:c r="F644" s="14" t="n">
        <x:v>313281</x:v>
      </x:c>
      <x:c r="G644" s="14" t="n">
        <x:v>285028</x:v>
      </x:c>
      <x:c r="H644" s="14" t="n">
        <x:f>INT((F644-D644)*(A644-C644)/(E644-C644))+D644</x:f>
        <x:v>285028</x:v>
      </x:c>
      <x:c r="I644" s="68" t="n">
        <x:f>H644-G644</x:f>
        <x:v>0</x:v>
      </x:c>
      <x:c r="J644" s="14" t="n">
        <x:v>1855612</x:v>
      </x:c>
      <x:c r="K644" s="14" t="n">
        <x:f>INT(H644*'공식·설정'!$B$10/'공식·설정'!$B$15)</x:f>
        <x:v>1855612</x:v>
      </x:c>
      <x:c r="L644" s="68" t="n">
        <x:f>K644-J644</x:f>
        <x:v>0</x:v>
      </x:c>
      <x:c r="M644" s="65" t="n">
        <x:f>J644/'공식·설정'!$B$7</x:f>
        <x:v>7248.484375</x:v>
      </x:c>
      <x:c r="N644" s="65" t="n">
        <x:f>K644/'공식·설정'!$B$7</x:f>
        <x:v>7248.484375</x:v>
      </x:c>
      <x:c r="O644" s="14" t="n">
        <x:v>725</x:v>
      </x:c>
      <x:c r="P644" s="14" t="n">
        <x:f>MIN(32767,MAX(0,INT((K644+INT('공식·설정'!$B$12/2))/'공식·설정'!$B$12)))</x:f>
        <x:v>725</x:v>
      </x:c>
      <x:c r="Q644" s="68" t="n">
        <x:f>P644-O644</x:f>
        <x:v>0</x:v>
      </x:c>
      <x:c r="R644" s="14" t="n">
        <x:v>1864448</x:v>
      </x:c>
      <x:c r="S644" s="14" t="n">
        <x:f>P644*'공식·설정'!$B$12+'공식·설정'!$B$14</x:f>
        <x:v>1864448</x:v>
      </x:c>
      <x:c r="T644" s="68" t="n">
        <x:f>S644-R644</x:f>
        <x:v>0</x:v>
      </x:c>
      <x:c r="U644" s="65" t="n">
        <x:f>R644/'공식·설정'!$B$7</x:f>
        <x:v>7283</x:v>
      </x:c>
      <x:c r="V644" s="65" t="n">
        <x:f>S644/'공식·설정'!$B$7</x:f>
        <x:v>7283</x:v>
      </x:c>
      <x:c r="W644" s="14" t="n">
        <x:v>721</x:v>
      </x:c>
      <x:c r="X644" s="14" t="n">
        <x:f>INT(ABS(K645-K644)*'공식·설정'!$B$8/K644)</x:f>
        <x:v>721</x:v>
      </x:c>
      <x:c r="Y644" s="68" t="n">
        <x:f>X644-W644</x:f>
        <x:v>0</x:v>
      </x:c>
      <x:c r="Z644" s="66" t="n">
        <x:f>W644/'공식·설정'!$B$8</x:f>
        <x:v>0.0110015869140625</x:v>
      </x:c>
      <x:c r="AA644" s="66" t="n">
        <x:f>X644/'공식·설정'!$B$8</x:f>
        <x:v>0.0110015869140625</x:v>
      </x:c>
      <x:c r="AB644" s="67" t="str">
        <x:f>IF(AND(I644=0,L644=0,Q644=0,T644=0,Y644=0),"PASS","FAIL")</x:f>
        <x:v>PASS</x:v>
      </x:c>
    </x:row>
    <x:row r="645" ht="18" customHeight="1">
      <x:c r="A645" s="14" t="n">
        <x:v>748</x:v>
      </x:c>
      <x:c r="B645" s="14" t="n">
        <x:v>640</x:v>
      </x:c>
      <x:c r="C645" s="14" t="n">
        <x:v>742</x:v>
      </x:c>
      <x:c r="D645" s="14" t="n">
        <x:v>269332</x:v>
      </x:c>
      <x:c r="E645" s="14" t="n">
        <x:v>756</x:v>
      </x:c>
      <x:c r="F645" s="14" t="n">
        <x:v>313281</x:v>
      </x:c>
      <x:c r="G645" s="14" t="n">
        <x:v>288167</x:v>
      </x:c>
      <x:c r="H645" s="14" t="n">
        <x:f>INT((F645-D645)*(A645-C645)/(E645-C645))+D645</x:f>
        <x:v>288167</x:v>
      </x:c>
      <x:c r="I645" s="68" t="n">
        <x:f>H645-G645</x:f>
        <x:v>0</x:v>
      </x:c>
      <x:c r="J645" s="14" t="n">
        <x:v>1876048</x:v>
      </x:c>
      <x:c r="K645" s="14" t="n">
        <x:f>INT(H645*'공식·설정'!$B$10/'공식·설정'!$B$15)</x:f>
        <x:v>1876048</x:v>
      </x:c>
      <x:c r="L645" s="68" t="n">
        <x:f>K645-J645</x:f>
        <x:v>0</x:v>
      </x:c>
      <x:c r="M645" s="65" t="n">
        <x:f>J645/'공식·설정'!$B$7</x:f>
        <x:v>7328.3125</x:v>
      </x:c>
      <x:c r="N645" s="65" t="n">
        <x:f>K645/'공식·설정'!$B$7</x:f>
        <x:v>7328.3125</x:v>
      </x:c>
      <x:c r="O645" s="14" t="n">
        <x:v>733</x:v>
      </x:c>
      <x:c r="P645" s="14" t="n">
        <x:f>MIN(32767,MAX(0,INT((K645+INT('공식·설정'!$B$12/2))/'공식·설정'!$B$12)))</x:f>
        <x:v>733</x:v>
      </x:c>
      <x:c r="Q645" s="68" t="n">
        <x:f>P645-O645</x:f>
        <x:v>0</x:v>
      </x:c>
      <x:c r="R645" s="14" t="n">
        <x:v>1884928</x:v>
      </x:c>
      <x:c r="S645" s="14" t="n">
        <x:f>P645*'공식·설정'!$B$12+'공식·설정'!$B$14</x:f>
        <x:v>1884928</x:v>
      </x:c>
      <x:c r="T645" s="68" t="n">
        <x:f>S645-R645</x:f>
        <x:v>0</x:v>
      </x:c>
      <x:c r="U645" s="65" t="n">
        <x:f>R645/'공식·설정'!$B$7</x:f>
        <x:v>7363</x:v>
      </x:c>
      <x:c r="V645" s="65" t="n">
        <x:f>S645/'공식·설정'!$B$7</x:f>
        <x:v>7363</x:v>
      </x:c>
      <x:c r="W645" s="14" t="n">
        <x:v>713</x:v>
      </x:c>
      <x:c r="X645" s="14" t="n">
        <x:f>INT(ABS(K646-K645)*'공식·설정'!$B$8/K645)</x:f>
        <x:v>713</x:v>
      </x:c>
      <x:c r="Y645" s="68" t="n">
        <x:f>X645-W645</x:f>
        <x:v>0</x:v>
      </x:c>
      <x:c r="Z645" s="66" t="n">
        <x:f>W645/'공식·설정'!$B$8</x:f>
        <x:v>0.0108795166015625</x:v>
      </x:c>
      <x:c r="AA645" s="66" t="n">
        <x:f>X645/'공식·설정'!$B$8</x:f>
        <x:v>0.0108795166015625</x:v>
      </x:c>
      <x:c r="AB645" s="67" t="str">
        <x:f>IF(AND(I645=0,L645=0,Q645=0,T645=0,Y645=0),"PASS","FAIL")</x:f>
        <x:v>PASS</x:v>
      </x:c>
    </x:row>
    <x:row r="646" ht="18" customHeight="1">
      <x:c r="A646" s="14" t="n">
        <x:v>749</x:v>
      </x:c>
      <x:c r="B646" s="14" t="n">
        <x:v>641</x:v>
      </x:c>
      <x:c r="C646" s="14" t="n">
        <x:v>742</x:v>
      </x:c>
      <x:c r="D646" s="14" t="n">
        <x:v>269332</x:v>
      </x:c>
      <x:c r="E646" s="14" t="n">
        <x:v>756</x:v>
      </x:c>
      <x:c r="F646" s="14" t="n">
        <x:v>313281</x:v>
      </x:c>
      <x:c r="G646" s="14" t="n">
        <x:v>291306</x:v>
      </x:c>
      <x:c r="H646" s="14" t="n">
        <x:f>INT((F646-D646)*(A646-C646)/(E646-C646))+D646</x:f>
        <x:v>291306</x:v>
      </x:c>
      <x:c r="I646" s="68" t="n">
        <x:f>H646-G646</x:f>
        <x:v>0</x:v>
      </x:c>
      <x:c r="J646" s="14" t="n">
        <x:v>1896484</x:v>
      </x:c>
      <x:c r="K646" s="14" t="n">
        <x:f>INT(H646*'공식·설정'!$B$10/'공식·설정'!$B$15)</x:f>
        <x:v>1896484</x:v>
      </x:c>
      <x:c r="L646" s="68" t="n">
        <x:f>K646-J646</x:f>
        <x:v>0</x:v>
      </x:c>
      <x:c r="M646" s="65" t="n">
        <x:f>J646/'공식·설정'!$B$7</x:f>
        <x:v>7408.140625</x:v>
      </x:c>
      <x:c r="N646" s="65" t="n">
        <x:f>K646/'공식·설정'!$B$7</x:f>
        <x:v>7408.140625</x:v>
      </x:c>
      <x:c r="O646" s="14" t="n">
        <x:v>741</x:v>
      </x:c>
      <x:c r="P646" s="14" t="n">
        <x:f>MIN(32767,MAX(0,INT((K646+INT('공식·설정'!$B$12/2))/'공식·설정'!$B$12)))</x:f>
        <x:v>741</x:v>
      </x:c>
      <x:c r="Q646" s="68" t="n">
        <x:f>P646-O646</x:f>
        <x:v>0</x:v>
      </x:c>
      <x:c r="R646" s="14" t="n">
        <x:v>1905408</x:v>
      </x:c>
      <x:c r="S646" s="14" t="n">
        <x:f>P646*'공식·설정'!$B$12+'공식·설정'!$B$14</x:f>
        <x:v>1905408</x:v>
      </x:c>
      <x:c r="T646" s="68" t="n">
        <x:f>S646-R646</x:f>
        <x:v>0</x:v>
      </x:c>
      <x:c r="U646" s="65" t="n">
        <x:f>R646/'공식·설정'!$B$7</x:f>
        <x:v>7443</x:v>
      </x:c>
      <x:c r="V646" s="65" t="n">
        <x:f>S646/'공식·설정'!$B$7</x:f>
        <x:v>7443</x:v>
      </x:c>
      <x:c r="W646" s="14" t="n">
        <x:v>706</x:v>
      </x:c>
      <x:c r="X646" s="14" t="n">
        <x:f>INT(ABS(K647-K646)*'공식·설정'!$B$8/K646)</x:f>
        <x:v>706</x:v>
      </x:c>
      <x:c r="Y646" s="68" t="n">
        <x:f>X646-W646</x:f>
        <x:v>0</x:v>
      </x:c>
      <x:c r="Z646" s="66" t="n">
        <x:f>W646/'공식·설정'!$B$8</x:f>
        <x:v>0.010772705078125</x:v>
      </x:c>
      <x:c r="AA646" s="66" t="n">
        <x:f>X646/'공식·설정'!$B$8</x:f>
        <x:v>0.010772705078125</x:v>
      </x:c>
      <x:c r="AB646" s="67" t="str">
        <x:f>IF(AND(I646=0,L646=0,Q646=0,T646=0,Y646=0),"PASS","FAIL")</x:f>
        <x:v>PASS</x:v>
      </x:c>
    </x:row>
    <x:row r="647" ht="18" customHeight="1">
      <x:c r="A647" s="14" t="n">
        <x:v>750</x:v>
      </x:c>
      <x:c r="B647" s="14" t="n">
        <x:v>642</x:v>
      </x:c>
      <x:c r="C647" s="14" t="n">
        <x:v>742</x:v>
      </x:c>
      <x:c r="D647" s="14" t="n">
        <x:v>269332</x:v>
      </x:c>
      <x:c r="E647" s="14" t="n">
        <x:v>756</x:v>
      </x:c>
      <x:c r="F647" s="14" t="n">
        <x:v>313281</x:v>
      </x:c>
      <x:c r="G647" s="14" t="n">
        <x:v>294445</x:v>
      </x:c>
      <x:c r="H647" s="14" t="n">
        <x:f>INT((F647-D647)*(A647-C647)/(E647-C647))+D647</x:f>
        <x:v>294445</x:v>
      </x:c>
      <x:c r="I647" s="68" t="n">
        <x:f>H647-G647</x:f>
        <x:v>0</x:v>
      </x:c>
      <x:c r="J647" s="14" t="n">
        <x:v>1916919</x:v>
      </x:c>
      <x:c r="K647" s="14" t="n">
        <x:f>INT(H647*'공식·설정'!$B$10/'공식·설정'!$B$15)</x:f>
        <x:v>1916919</x:v>
      </x:c>
      <x:c r="L647" s="68" t="n">
        <x:f>K647-J647</x:f>
        <x:v>0</x:v>
      </x:c>
      <x:c r="M647" s="65" t="n">
        <x:f>J647/'공식·설정'!$B$7</x:f>
        <x:v>7487.96484375</x:v>
      </x:c>
      <x:c r="N647" s="65" t="n">
        <x:f>K647/'공식·설정'!$B$7</x:f>
        <x:v>7487.96484375</x:v>
      </x:c>
      <x:c r="O647" s="14" t="n">
        <x:v>749</x:v>
      </x:c>
      <x:c r="P647" s="14" t="n">
        <x:f>MIN(32767,MAX(0,INT((K647+INT('공식·설정'!$B$12/2))/'공식·설정'!$B$12)))</x:f>
        <x:v>749</x:v>
      </x:c>
      <x:c r="Q647" s="68" t="n">
        <x:f>P647-O647</x:f>
        <x:v>0</x:v>
      </x:c>
      <x:c r="R647" s="14" t="n">
        <x:v>1925888</x:v>
      </x:c>
      <x:c r="S647" s="14" t="n">
        <x:f>P647*'공식·설정'!$B$12+'공식·설정'!$B$14</x:f>
        <x:v>1925888</x:v>
      </x:c>
      <x:c r="T647" s="68" t="n">
        <x:f>S647-R647</x:f>
        <x:v>0</x:v>
      </x:c>
      <x:c r="U647" s="65" t="n">
        <x:f>R647/'공식·설정'!$B$7</x:f>
        <x:v>7523</x:v>
      </x:c>
      <x:c r="V647" s="65" t="n">
        <x:f>S647/'공식·설정'!$B$7</x:f>
        <x:v>7523</x:v>
      </x:c>
      <x:c r="W647" s="14" t="n">
        <x:v>698</x:v>
      </x:c>
      <x:c r="X647" s="14" t="n">
        <x:f>INT(ABS(K648-K647)*'공식·설정'!$B$8/K647)</x:f>
        <x:v>698</x:v>
      </x:c>
      <x:c r="Y647" s="68" t="n">
        <x:f>X647-W647</x:f>
        <x:v>0</x:v>
      </x:c>
      <x:c r="Z647" s="66" t="n">
        <x:f>W647/'공식·설정'!$B$8</x:f>
        <x:v>0.010650634765625</x:v>
      </x:c>
      <x:c r="AA647" s="66" t="n">
        <x:f>X647/'공식·설정'!$B$8</x:f>
        <x:v>0.010650634765625</x:v>
      </x:c>
      <x:c r="AB647" s="67" t="str">
        <x:f>IF(AND(I647=0,L647=0,Q647=0,T647=0,Y647=0),"PASS","FAIL")</x:f>
        <x:v>PASS</x:v>
      </x:c>
    </x:row>
    <x:row r="648" ht="18" customHeight="1">
      <x:c r="A648" s="14" t="n">
        <x:v>751</x:v>
      </x:c>
      <x:c r="B648" s="14" t="n">
        <x:v>643</x:v>
      </x:c>
      <x:c r="C648" s="14" t="n">
        <x:v>742</x:v>
      </x:c>
      <x:c r="D648" s="14" t="n">
        <x:v>269332</x:v>
      </x:c>
      <x:c r="E648" s="14" t="n">
        <x:v>756</x:v>
      </x:c>
      <x:c r="F648" s="14" t="n">
        <x:v>313281</x:v>
      </x:c>
      <x:c r="G648" s="14" t="n">
        <x:v>297584</x:v>
      </x:c>
      <x:c r="H648" s="14" t="n">
        <x:f>INT((F648-D648)*(A648-C648)/(E648-C648))+D648</x:f>
        <x:v>297584</x:v>
      </x:c>
      <x:c r="I648" s="68" t="n">
        <x:f>H648-G648</x:f>
        <x:v>0</x:v>
      </x:c>
      <x:c r="J648" s="14" t="n">
        <x:v>1937355</x:v>
      </x:c>
      <x:c r="K648" s="14" t="n">
        <x:f>INT(H648*'공식·설정'!$B$10/'공식·설정'!$B$15)</x:f>
        <x:v>1937355</x:v>
      </x:c>
      <x:c r="L648" s="68" t="n">
        <x:f>K648-J648</x:f>
        <x:v>0</x:v>
      </x:c>
      <x:c r="M648" s="65" t="n">
        <x:f>J648/'공식·설정'!$B$7</x:f>
        <x:v>7567.79296875</x:v>
      </x:c>
      <x:c r="N648" s="65" t="n">
        <x:f>K648/'공식·설정'!$B$7</x:f>
        <x:v>7567.79296875</x:v>
      </x:c>
      <x:c r="O648" s="14" t="n">
        <x:v>757</x:v>
      </x:c>
      <x:c r="P648" s="14" t="n">
        <x:f>MIN(32767,MAX(0,INT((K648+INT('공식·설정'!$B$12/2))/'공식·설정'!$B$12)))</x:f>
        <x:v>757</x:v>
      </x:c>
      <x:c r="Q648" s="68" t="n">
        <x:f>P648-O648</x:f>
        <x:v>0</x:v>
      </x:c>
      <x:c r="R648" s="14" t="n">
        <x:v>1946368</x:v>
      </x:c>
      <x:c r="S648" s="14" t="n">
        <x:f>P648*'공식·설정'!$B$12+'공식·설정'!$B$14</x:f>
        <x:v>1946368</x:v>
      </x:c>
      <x:c r="T648" s="68" t="n">
        <x:f>S648-R648</x:f>
        <x:v>0</x:v>
      </x:c>
      <x:c r="U648" s="65" t="n">
        <x:f>R648/'공식·설정'!$B$7</x:f>
        <x:v>7603</x:v>
      </x:c>
      <x:c r="V648" s="65" t="n">
        <x:f>S648/'공식·설정'!$B$7</x:f>
        <x:v>7603</x:v>
      </x:c>
      <x:c r="W648" s="14" t="n">
        <x:v>691</x:v>
      </x:c>
      <x:c r="X648" s="14" t="n">
        <x:f>INT(ABS(K649-K648)*'공식·설정'!$B$8/K648)</x:f>
        <x:v>691</x:v>
      </x:c>
      <x:c r="Y648" s="68" t="n">
        <x:f>X648-W648</x:f>
        <x:v>0</x:v>
      </x:c>
      <x:c r="Z648" s="66" t="n">
        <x:f>W648/'공식·설정'!$B$8</x:f>
        <x:v>0.0105438232421875</x:v>
      </x:c>
      <x:c r="AA648" s="66" t="n">
        <x:f>X648/'공식·설정'!$B$8</x:f>
        <x:v>0.0105438232421875</x:v>
      </x:c>
      <x:c r="AB648" s="67" t="str">
        <x:f>IF(AND(I648=0,L648=0,Q648=0,T648=0,Y648=0),"PASS","FAIL")</x:f>
        <x:v>PASS</x:v>
      </x:c>
    </x:row>
    <x:row r="649" ht="18" customHeight="1">
      <x:c r="A649" s="14" t="n">
        <x:v>752</x:v>
      </x:c>
      <x:c r="B649" s="14" t="n">
        <x:v>644</x:v>
      </x:c>
      <x:c r="C649" s="14" t="n">
        <x:v>742</x:v>
      </x:c>
      <x:c r="D649" s="14" t="n">
        <x:v>269332</x:v>
      </x:c>
      <x:c r="E649" s="14" t="n">
        <x:v>756</x:v>
      </x:c>
      <x:c r="F649" s="14" t="n">
        <x:v>313281</x:v>
      </x:c>
      <x:c r="G649" s="14" t="n">
        <x:v>300724</x:v>
      </x:c>
      <x:c r="H649" s="14" t="n">
        <x:f>INT((F649-D649)*(A649-C649)/(E649-C649))+D649</x:f>
        <x:v>300724</x:v>
      </x:c>
      <x:c r="I649" s="68" t="n">
        <x:f>H649-G649</x:f>
        <x:v>0</x:v>
      </x:c>
      <x:c r="J649" s="14" t="n">
        <x:v>1957798</x:v>
      </x:c>
      <x:c r="K649" s="14" t="n">
        <x:f>INT(H649*'공식·설정'!$B$10/'공식·설정'!$B$15)</x:f>
        <x:v>1957798</x:v>
      </x:c>
      <x:c r="L649" s="68" t="n">
        <x:f>K649-J649</x:f>
        <x:v>0</x:v>
      </x:c>
      <x:c r="M649" s="65" t="n">
        <x:f>J649/'공식·설정'!$B$7</x:f>
        <x:v>7647.6484375</x:v>
      </x:c>
      <x:c r="N649" s="65" t="n">
        <x:f>K649/'공식·설정'!$B$7</x:f>
        <x:v>7647.6484375</x:v>
      </x:c>
      <x:c r="O649" s="14" t="n">
        <x:v>765</x:v>
      </x:c>
      <x:c r="P649" s="14" t="n">
        <x:f>MIN(32767,MAX(0,INT((K649+INT('공식·설정'!$B$12/2))/'공식·설정'!$B$12)))</x:f>
        <x:v>765</x:v>
      </x:c>
      <x:c r="Q649" s="68" t="n">
        <x:f>P649-O649</x:f>
        <x:v>0</x:v>
      </x:c>
      <x:c r="R649" s="14" t="n">
        <x:v>1966848</x:v>
      </x:c>
      <x:c r="S649" s="14" t="n">
        <x:f>P649*'공식·설정'!$B$12+'공식·설정'!$B$14</x:f>
        <x:v>1966848</x:v>
      </x:c>
      <x:c r="T649" s="68" t="n">
        <x:f>S649-R649</x:f>
        <x:v>0</x:v>
      </x:c>
      <x:c r="U649" s="65" t="n">
        <x:f>R649/'공식·설정'!$B$7</x:f>
        <x:v>7683</x:v>
      </x:c>
      <x:c r="V649" s="65" t="n">
        <x:f>S649/'공식·설정'!$B$7</x:f>
        <x:v>7683</x:v>
      </x:c>
      <x:c r="W649" s="14" t="n">
        <x:v>684</x:v>
      </x:c>
      <x:c r="X649" s="14" t="n">
        <x:f>INT(ABS(K650-K649)*'공식·설정'!$B$8/K649)</x:f>
        <x:v>684</x:v>
      </x:c>
      <x:c r="Y649" s="68" t="n">
        <x:f>X649-W649</x:f>
        <x:v>0</x:v>
      </x:c>
      <x:c r="Z649" s="66" t="n">
        <x:f>W649/'공식·설정'!$B$8</x:f>
        <x:v>0.01043701171875</x:v>
      </x:c>
      <x:c r="AA649" s="66" t="n">
        <x:f>X649/'공식·설정'!$B$8</x:f>
        <x:v>0.01043701171875</x:v>
      </x:c>
      <x:c r="AB649" s="67" t="str">
        <x:f>IF(AND(I649=0,L649=0,Q649=0,T649=0,Y649=0),"PASS","FAIL")</x:f>
        <x:v>PASS</x:v>
      </x:c>
    </x:row>
    <x:row r="650" ht="18" customHeight="1">
      <x:c r="A650" s="14" t="n">
        <x:v>753</x:v>
      </x:c>
      <x:c r="B650" s="14" t="n">
        <x:v>645</x:v>
      </x:c>
      <x:c r="C650" s="14" t="n">
        <x:v>742</x:v>
      </x:c>
      <x:c r="D650" s="14" t="n">
        <x:v>269332</x:v>
      </x:c>
      <x:c r="E650" s="14" t="n">
        <x:v>756</x:v>
      </x:c>
      <x:c r="F650" s="14" t="n">
        <x:v>313281</x:v>
      </x:c>
      <x:c r="G650" s="14" t="n">
        <x:v>303863</x:v>
      </x:c>
      <x:c r="H650" s="14" t="n">
        <x:f>INT((F650-D650)*(A650-C650)/(E650-C650))+D650</x:f>
        <x:v>303863</x:v>
      </x:c>
      <x:c r="I650" s="68" t="n">
        <x:f>H650-G650</x:f>
        <x:v>0</x:v>
      </x:c>
      <x:c r="J650" s="14" t="n">
        <x:v>1978233</x:v>
      </x:c>
      <x:c r="K650" s="14" t="n">
        <x:f>INT(H650*'공식·설정'!$B$10/'공식·설정'!$B$15)</x:f>
        <x:v>1978233</x:v>
      </x:c>
      <x:c r="L650" s="68" t="n">
        <x:f>K650-J650</x:f>
        <x:v>0</x:v>
      </x:c>
      <x:c r="M650" s="65" t="n">
        <x:f>J650/'공식·설정'!$B$7</x:f>
        <x:v>7727.47265625</x:v>
      </x:c>
      <x:c r="N650" s="65" t="n">
        <x:f>K650/'공식·설정'!$B$7</x:f>
        <x:v>7727.47265625</x:v>
      </x:c>
      <x:c r="O650" s="14" t="n">
        <x:v>773</x:v>
      </x:c>
      <x:c r="P650" s="14" t="n">
        <x:f>MIN(32767,MAX(0,INT((K650+INT('공식·설정'!$B$12/2))/'공식·설정'!$B$12)))</x:f>
        <x:v>773</x:v>
      </x:c>
      <x:c r="Q650" s="68" t="n">
        <x:f>P650-O650</x:f>
        <x:v>0</x:v>
      </x:c>
      <x:c r="R650" s="14" t="n">
        <x:v>1987328</x:v>
      </x:c>
      <x:c r="S650" s="14" t="n">
        <x:f>P650*'공식·설정'!$B$12+'공식·설정'!$B$14</x:f>
        <x:v>1987328</x:v>
      </x:c>
      <x:c r="T650" s="68" t="n">
        <x:f>S650-R650</x:f>
        <x:v>0</x:v>
      </x:c>
      <x:c r="U650" s="65" t="n">
        <x:f>R650/'공식·설정'!$B$7</x:f>
        <x:v>7763</x:v>
      </x:c>
      <x:c r="V650" s="65" t="n">
        <x:f>S650/'공식·설정'!$B$7</x:f>
        <x:v>7763</x:v>
      </x:c>
      <x:c r="W650" s="14" t="n">
        <x:v>677</x:v>
      </x:c>
      <x:c r="X650" s="14" t="n">
        <x:f>INT(ABS(K651-K650)*'공식·설정'!$B$8/K650)</x:f>
        <x:v>677</x:v>
      </x:c>
      <x:c r="Y650" s="68" t="n">
        <x:f>X650-W650</x:f>
        <x:v>0</x:v>
      </x:c>
      <x:c r="Z650" s="66" t="n">
        <x:f>W650/'공식·설정'!$B$8</x:f>
        <x:v>0.0103302001953125</x:v>
      </x:c>
      <x:c r="AA650" s="66" t="n">
        <x:f>X650/'공식·설정'!$B$8</x:f>
        <x:v>0.0103302001953125</x:v>
      </x:c>
      <x:c r="AB650" s="67" t="str">
        <x:f>IF(AND(I650=0,L650=0,Q650=0,T650=0,Y650=0),"PASS","FAIL")</x:f>
        <x:v>PASS</x:v>
      </x:c>
    </x:row>
    <x:row r="651" ht="18" customHeight="1">
      <x:c r="A651" s="14" t="n">
        <x:v>754</x:v>
      </x:c>
      <x:c r="B651" s="14" t="n">
        <x:v>646</x:v>
      </x:c>
      <x:c r="C651" s="14" t="n">
        <x:v>742</x:v>
      </x:c>
      <x:c r="D651" s="14" t="n">
        <x:v>269332</x:v>
      </x:c>
      <x:c r="E651" s="14" t="n">
        <x:v>756</x:v>
      </x:c>
      <x:c r="F651" s="14" t="n">
        <x:v>313281</x:v>
      </x:c>
      <x:c r="G651" s="14" t="n">
        <x:v>307002</x:v>
      </x:c>
      <x:c r="H651" s="14" t="n">
        <x:f>INT((F651-D651)*(A651-C651)/(E651-C651))+D651</x:f>
        <x:v>307002</x:v>
      </x:c>
      <x:c r="I651" s="68" t="n">
        <x:f>H651-G651</x:f>
        <x:v>0</x:v>
      </x:c>
      <x:c r="J651" s="14" t="n">
        <x:v>1998669</x:v>
      </x:c>
      <x:c r="K651" s="14" t="n">
        <x:f>INT(H651*'공식·설정'!$B$10/'공식·설정'!$B$15)</x:f>
        <x:v>1998669</x:v>
      </x:c>
      <x:c r="L651" s="68" t="n">
        <x:f>K651-J651</x:f>
        <x:v>0</x:v>
      </x:c>
      <x:c r="M651" s="65" t="n">
        <x:f>J651/'공식·설정'!$B$7</x:f>
        <x:v>7807.30078125</x:v>
      </x:c>
      <x:c r="N651" s="65" t="n">
        <x:f>K651/'공식·설정'!$B$7</x:f>
        <x:v>7807.30078125</x:v>
      </x:c>
      <x:c r="O651" s="14" t="n">
        <x:v>781</x:v>
      </x:c>
      <x:c r="P651" s="14" t="n">
        <x:f>MIN(32767,MAX(0,INT((K651+INT('공식·설정'!$B$12/2))/'공식·설정'!$B$12)))</x:f>
        <x:v>781</x:v>
      </x:c>
      <x:c r="Q651" s="68" t="n">
        <x:f>P651-O651</x:f>
        <x:v>0</x:v>
      </x:c>
      <x:c r="R651" s="14" t="n">
        <x:v>2007808</x:v>
      </x:c>
      <x:c r="S651" s="14" t="n">
        <x:f>P651*'공식·설정'!$B$12+'공식·설정'!$B$14</x:f>
        <x:v>2007808</x:v>
      </x:c>
      <x:c r="T651" s="68" t="n">
        <x:f>S651-R651</x:f>
        <x:v>0</x:v>
      </x:c>
      <x:c r="U651" s="65" t="n">
        <x:f>R651/'공식·설정'!$B$7</x:f>
        <x:v>7843</x:v>
      </x:c>
      <x:c r="V651" s="65" t="n">
        <x:f>S651/'공식·설정'!$B$7</x:f>
        <x:v>7843</x:v>
      </x:c>
      <x:c r="W651" s="14" t="n">
        <x:v>670</x:v>
      </x:c>
      <x:c r="X651" s="14" t="n">
        <x:f>INT(ABS(K652-K651)*'공식·설정'!$B$8/K651)</x:f>
        <x:v>670</x:v>
      </x:c>
      <x:c r="Y651" s="68" t="n">
        <x:f>X651-W651</x:f>
        <x:v>0</x:v>
      </x:c>
      <x:c r="Z651" s="66" t="n">
        <x:f>W651/'공식·설정'!$B$8</x:f>
        <x:v>0.010223388671875</x:v>
      </x:c>
      <x:c r="AA651" s="66" t="n">
        <x:f>X651/'공식·설정'!$B$8</x:f>
        <x:v>0.010223388671875</x:v>
      </x:c>
      <x:c r="AB651" s="67" t="str">
        <x:f>IF(AND(I651=0,L651=0,Q651=0,T651=0,Y651=0),"PASS","FAIL")</x:f>
        <x:v>PASS</x:v>
      </x:c>
    </x:row>
    <x:row r="652" ht="18" customHeight="1">
      <x:c r="A652" s="14" t="n">
        <x:v>755</x:v>
      </x:c>
      <x:c r="B652" s="14" t="n">
        <x:v>647</x:v>
      </x:c>
      <x:c r="C652" s="14" t="n">
        <x:v>742</x:v>
      </x:c>
      <x:c r="D652" s="14" t="n">
        <x:v>269332</x:v>
      </x:c>
      <x:c r="E652" s="14" t="n">
        <x:v>756</x:v>
      </x:c>
      <x:c r="F652" s="14" t="n">
        <x:v>313281</x:v>
      </x:c>
      <x:c r="G652" s="14" t="n">
        <x:v>310141</x:v>
      </x:c>
      <x:c r="H652" s="14" t="n">
        <x:f>INT((F652-D652)*(A652-C652)/(E652-C652))+D652</x:f>
        <x:v>310141</x:v>
      </x:c>
      <x:c r="I652" s="68" t="n">
        <x:f>H652-G652</x:f>
        <x:v>0</x:v>
      </x:c>
      <x:c r="J652" s="14" t="n">
        <x:v>2019105</x:v>
      </x:c>
      <x:c r="K652" s="14" t="n">
        <x:f>INT(H652*'공식·설정'!$B$10/'공식·설정'!$B$15)</x:f>
        <x:v>2019105</x:v>
      </x:c>
      <x:c r="L652" s="68" t="n">
        <x:f>K652-J652</x:f>
        <x:v>0</x:v>
      </x:c>
      <x:c r="M652" s="65" t="n">
        <x:f>J652/'공식·설정'!$B$7</x:f>
        <x:v>7887.12890625</x:v>
      </x:c>
      <x:c r="N652" s="65" t="n">
        <x:f>K652/'공식·설정'!$B$7</x:f>
        <x:v>7887.12890625</x:v>
      </x:c>
      <x:c r="O652" s="14" t="n">
        <x:v>789</x:v>
      </x:c>
      <x:c r="P652" s="14" t="n">
        <x:f>MIN(32767,MAX(0,INT((K652+INT('공식·설정'!$B$12/2))/'공식·설정'!$B$12)))</x:f>
        <x:v>789</x:v>
      </x:c>
      <x:c r="Q652" s="68" t="n">
        <x:f>P652-O652</x:f>
        <x:v>0</x:v>
      </x:c>
      <x:c r="R652" s="14" t="n">
        <x:v>2028288</x:v>
      </x:c>
      <x:c r="S652" s="14" t="n">
        <x:f>P652*'공식·설정'!$B$12+'공식·설정'!$B$14</x:f>
        <x:v>2028288</x:v>
      </x:c>
      <x:c r="T652" s="68" t="n">
        <x:f>S652-R652</x:f>
        <x:v>0</x:v>
      </x:c>
      <x:c r="U652" s="65" t="n">
        <x:f>R652/'공식·설정'!$B$7</x:f>
        <x:v>7923</x:v>
      </x:c>
      <x:c r="V652" s="65" t="n">
        <x:f>S652/'공식·설정'!$B$7</x:f>
        <x:v>7923</x:v>
      </x:c>
      <x:c r="W652" s="14" t="n">
        <x:v>663</x:v>
      </x:c>
      <x:c r="X652" s="14" t="n">
        <x:f>INT(ABS(K653-K652)*'공식·설정'!$B$8/K652)</x:f>
        <x:v>663</x:v>
      </x:c>
      <x:c r="Y652" s="68" t="n">
        <x:f>X652-W652</x:f>
        <x:v>0</x:v>
      </x:c>
      <x:c r="Z652" s="66" t="n">
        <x:f>W652/'공식·설정'!$B$8</x:f>
        <x:v>0.0101165771484375</x:v>
      </x:c>
      <x:c r="AA652" s="66" t="n">
        <x:f>X652/'공식·설정'!$B$8</x:f>
        <x:v>0.0101165771484375</x:v>
      </x:c>
      <x:c r="AB652" s="67" t="str">
        <x:f>IF(AND(I652=0,L652=0,Q652=0,T652=0,Y652=0),"PASS","FAIL")</x:f>
        <x:v>PASS</x:v>
      </x:c>
    </x:row>
    <x:row r="653" ht="18" customHeight="1">
      <x:c r="A653" s="14" t="n">
        <x:v>756</x:v>
      </x:c>
      <x:c r="B653" s="14" t="n">
        <x:v>648</x:v>
      </x:c>
      <x:c r="C653" s="14" t="n">
        <x:v>756</x:v>
      </x:c>
      <x:c r="D653" s="14" t="n">
        <x:v>313281</x:v>
      </x:c>
      <x:c r="E653" s="14" t="n">
        <x:v>770</x:v>
      </x:c>
      <x:c r="F653" s="14" t="n">
        <x:v>364398</x:v>
      </x:c>
      <x:c r="G653" s="14" t="n">
        <x:v>313281</x:v>
      </x:c>
      <x:c r="H653" s="14" t="n">
        <x:f>INT((F653-D653)*(A653-C653)/(E653-C653))+D653</x:f>
        <x:v>313281</x:v>
      </x:c>
      <x:c r="I653" s="68" t="n">
        <x:f>H653-G653</x:f>
        <x:v>0</x:v>
      </x:c>
      <x:c r="J653" s="14" t="n">
        <x:v>2039547</x:v>
      </x:c>
      <x:c r="K653" s="14" t="n">
        <x:f>INT(H653*'공식·설정'!$B$10/'공식·설정'!$B$15)</x:f>
        <x:v>2039547</x:v>
      </x:c>
      <x:c r="L653" s="68" t="n">
        <x:f>K653-J653</x:f>
        <x:v>0</x:v>
      </x:c>
      <x:c r="M653" s="65" t="n">
        <x:f>J653/'공식·설정'!$B$7</x:f>
        <x:v>7966.98046875</x:v>
      </x:c>
      <x:c r="N653" s="65" t="n">
        <x:f>K653/'공식·설정'!$B$7</x:f>
        <x:v>7966.98046875</x:v>
      </x:c>
      <x:c r="O653" s="14" t="n">
        <x:v>797</x:v>
      </x:c>
      <x:c r="P653" s="14" t="n">
        <x:f>MIN(32767,MAX(0,INT((K653+INT('공식·설정'!$B$12/2))/'공식·설정'!$B$12)))</x:f>
        <x:v>797</x:v>
      </x:c>
      <x:c r="Q653" s="68" t="n">
        <x:f>P653-O653</x:f>
        <x:v>0</x:v>
      </x:c>
      <x:c r="R653" s="14" t="n">
        <x:v>2048768</x:v>
      </x:c>
      <x:c r="S653" s="14" t="n">
        <x:f>P653*'공식·설정'!$B$12+'공식·설정'!$B$14</x:f>
        <x:v>2048768</x:v>
      </x:c>
      <x:c r="T653" s="68" t="n">
        <x:f>S653-R653</x:f>
        <x:v>0</x:v>
      </x:c>
      <x:c r="U653" s="65" t="n">
        <x:f>R653/'공식·설정'!$B$7</x:f>
        <x:v>8003</x:v>
      </x:c>
      <x:c r="V653" s="65" t="n">
        <x:f>S653/'공식·설정'!$B$7</x:f>
        <x:v>8003</x:v>
      </x:c>
      <x:c r="W653" s="14" t="n">
        <x:v>763</x:v>
      </x:c>
      <x:c r="X653" s="14" t="n">
        <x:f>INT(ABS(K654-K653)*'공식·설정'!$B$8/K653)</x:f>
        <x:v>763</x:v>
      </x:c>
      <x:c r="Y653" s="68" t="n">
        <x:f>X653-W653</x:f>
        <x:v>0</x:v>
      </x:c>
      <x:c r="Z653" s="66" t="n">
        <x:f>W653/'공식·설정'!$B$8</x:f>
        <x:v>0.0116424560546875</x:v>
      </x:c>
      <x:c r="AA653" s="66" t="n">
        <x:f>X653/'공식·설정'!$B$8</x:f>
        <x:v>0.0116424560546875</x:v>
      </x:c>
      <x:c r="AB653" s="67" t="str">
        <x:f>IF(AND(I653=0,L653=0,Q653=0,T653=0,Y653=0),"PASS","FAIL")</x:f>
        <x:v>PASS</x:v>
      </x:c>
    </x:row>
    <x:row r="654" ht="18" customHeight="1">
      <x:c r="A654" s="14" t="n">
        <x:v>757</x:v>
      </x:c>
      <x:c r="B654" s="14" t="n">
        <x:v>649</x:v>
      </x:c>
      <x:c r="C654" s="14" t="n">
        <x:v>756</x:v>
      </x:c>
      <x:c r="D654" s="14" t="n">
        <x:v>313281</x:v>
      </x:c>
      <x:c r="E654" s="14" t="n">
        <x:v>770</x:v>
      </x:c>
      <x:c r="F654" s="14" t="n">
        <x:v>364398</x:v>
      </x:c>
      <x:c r="G654" s="14" t="n">
        <x:v>316932</x:v>
      </x:c>
      <x:c r="H654" s="14" t="n">
        <x:f>INT((F654-D654)*(A654-C654)/(E654-C654))+D654</x:f>
        <x:v>316932</x:v>
      </x:c>
      <x:c r="I654" s="68" t="n">
        <x:f>H654-G654</x:f>
        <x:v>0</x:v>
      </x:c>
      <x:c r="J654" s="14" t="n">
        <x:v>2063316</x:v>
      </x:c>
      <x:c r="K654" s="14" t="n">
        <x:f>INT(H654*'공식·설정'!$B$10/'공식·설정'!$B$15)</x:f>
        <x:v>2063316</x:v>
      </x:c>
      <x:c r="L654" s="68" t="n">
        <x:f>K654-J654</x:f>
        <x:v>0</x:v>
      </x:c>
      <x:c r="M654" s="65" t="n">
        <x:f>J654/'공식·설정'!$B$7</x:f>
        <x:v>8059.828125</x:v>
      </x:c>
      <x:c r="N654" s="65" t="n">
        <x:f>K654/'공식·설정'!$B$7</x:f>
        <x:v>8059.828125</x:v>
      </x:c>
      <x:c r="O654" s="14" t="n">
        <x:v>806</x:v>
      </x:c>
      <x:c r="P654" s="14" t="n">
        <x:f>MIN(32767,MAX(0,INT((K654+INT('공식·설정'!$B$12/2))/'공식·설정'!$B$12)))</x:f>
        <x:v>806</x:v>
      </x:c>
      <x:c r="Q654" s="68" t="n">
        <x:f>P654-O654</x:f>
        <x:v>0</x:v>
      </x:c>
      <x:c r="R654" s="14" t="n">
        <x:v>2071808</x:v>
      </x:c>
      <x:c r="S654" s="14" t="n">
        <x:f>P654*'공식·설정'!$B$12+'공식·설정'!$B$14</x:f>
        <x:v>2071808</x:v>
      </x:c>
      <x:c r="T654" s="68" t="n">
        <x:f>S654-R654</x:f>
        <x:v>0</x:v>
      </x:c>
      <x:c r="U654" s="65" t="n">
        <x:f>R654/'공식·설정'!$B$7</x:f>
        <x:v>8093</x:v>
      </x:c>
      <x:c r="V654" s="65" t="n">
        <x:f>S654/'공식·설정'!$B$7</x:f>
        <x:v>8093</x:v>
      </x:c>
      <x:c r="W654" s="14" t="n">
        <x:v>754</x:v>
      </x:c>
      <x:c r="X654" s="14" t="n">
        <x:f>INT(ABS(K655-K654)*'공식·설정'!$B$8/K654)</x:f>
        <x:v>754</x:v>
      </x:c>
      <x:c r="Y654" s="68" t="n">
        <x:f>X654-W654</x:f>
        <x:v>0</x:v>
      </x:c>
      <x:c r="Z654" s="66" t="n">
        <x:f>W654/'공식·설정'!$B$8</x:f>
        <x:v>0.011505126953125</x:v>
      </x:c>
      <x:c r="AA654" s="66" t="n">
        <x:f>X654/'공식·설정'!$B$8</x:f>
        <x:v>0.011505126953125</x:v>
      </x:c>
      <x:c r="AB654" s="67" t="str">
        <x:f>IF(AND(I654=0,L654=0,Q654=0,T654=0,Y654=0),"PASS","FAIL")</x:f>
        <x:v>PASS</x:v>
      </x:c>
    </x:row>
    <x:row r="655" ht="18" customHeight="1">
      <x:c r="A655" s="14" t="n">
        <x:v>758</x:v>
      </x:c>
      <x:c r="B655" s="14" t="n">
        <x:v>650</x:v>
      </x:c>
      <x:c r="C655" s="14" t="n">
        <x:v>756</x:v>
      </x:c>
      <x:c r="D655" s="14" t="n">
        <x:v>313281</x:v>
      </x:c>
      <x:c r="E655" s="14" t="n">
        <x:v>770</x:v>
      </x:c>
      <x:c r="F655" s="14" t="n">
        <x:v>364398</x:v>
      </x:c>
      <x:c r="G655" s="14" t="n">
        <x:v>320583</x:v>
      </x:c>
      <x:c r="H655" s="14" t="n">
        <x:f>INT((F655-D655)*(A655-C655)/(E655-C655))+D655</x:f>
        <x:v>320583</x:v>
      </x:c>
      <x:c r="I655" s="68" t="n">
        <x:f>H655-G655</x:f>
        <x:v>0</x:v>
      </x:c>
      <x:c r="J655" s="14" t="n">
        <x:v>2087085</x:v>
      </x:c>
      <x:c r="K655" s="14" t="n">
        <x:f>INT(H655*'공식·설정'!$B$10/'공식·설정'!$B$15)</x:f>
        <x:v>2087085</x:v>
      </x:c>
      <x:c r="L655" s="68" t="n">
        <x:f>K655-J655</x:f>
        <x:v>0</x:v>
      </x:c>
      <x:c r="M655" s="65" t="n">
        <x:f>J655/'공식·설정'!$B$7</x:f>
        <x:v>8152.67578125</x:v>
      </x:c>
      <x:c r="N655" s="65" t="n">
        <x:f>K655/'공식·설정'!$B$7</x:f>
        <x:v>8152.67578125</x:v>
      </x:c>
      <x:c r="O655" s="14" t="n">
        <x:v>815</x:v>
      </x:c>
      <x:c r="P655" s="14" t="n">
        <x:f>MIN(32767,MAX(0,INT((K655+INT('공식·설정'!$B$12/2))/'공식·설정'!$B$12)))</x:f>
        <x:v>815</x:v>
      </x:c>
      <x:c r="Q655" s="68" t="n">
        <x:f>P655-O655</x:f>
        <x:v>0</x:v>
      </x:c>
      <x:c r="R655" s="14" t="n">
        <x:v>2094848</x:v>
      </x:c>
      <x:c r="S655" s="14" t="n">
        <x:f>P655*'공식·설정'!$B$12+'공식·설정'!$B$14</x:f>
        <x:v>2094848</x:v>
      </x:c>
      <x:c r="T655" s="68" t="n">
        <x:f>S655-R655</x:f>
        <x:v>0</x:v>
      </x:c>
      <x:c r="U655" s="65" t="n">
        <x:f>R655/'공식·설정'!$B$7</x:f>
        <x:v>8183</x:v>
      </x:c>
      <x:c r="V655" s="65" t="n">
        <x:f>S655/'공식·설정'!$B$7</x:f>
        <x:v>8183</x:v>
      </x:c>
      <x:c r="W655" s="14" t="n">
        <x:v>746</x:v>
      </x:c>
      <x:c r="X655" s="14" t="n">
        <x:f>INT(ABS(K656-K655)*'공식·설정'!$B$8/K655)</x:f>
        <x:v>746</x:v>
      </x:c>
      <x:c r="Y655" s="68" t="n">
        <x:f>X655-W655</x:f>
        <x:v>0</x:v>
      </x:c>
      <x:c r="Z655" s="66" t="n">
        <x:f>W655/'공식·설정'!$B$8</x:f>
        <x:v>0.011383056640625</x:v>
      </x:c>
      <x:c r="AA655" s="66" t="n">
        <x:f>X655/'공식·설정'!$B$8</x:f>
        <x:v>0.011383056640625</x:v>
      </x:c>
      <x:c r="AB655" s="67" t="str">
        <x:f>IF(AND(I655=0,L655=0,Q655=0,T655=0,Y655=0),"PASS","FAIL")</x:f>
        <x:v>PASS</x:v>
      </x:c>
    </x:row>
    <x:row r="656" ht="18" customHeight="1">
      <x:c r="A656" s="14" t="n">
        <x:v>759</x:v>
      </x:c>
      <x:c r="B656" s="14" t="n">
        <x:v>651</x:v>
      </x:c>
      <x:c r="C656" s="14" t="n">
        <x:v>756</x:v>
      </x:c>
      <x:c r="D656" s="14" t="n">
        <x:v>313281</x:v>
      </x:c>
      <x:c r="E656" s="14" t="n">
        <x:v>770</x:v>
      </x:c>
      <x:c r="F656" s="14" t="n">
        <x:v>364398</x:v>
      </x:c>
      <x:c r="G656" s="14" t="n">
        <x:v>324234</x:v>
      </x:c>
      <x:c r="H656" s="14" t="n">
        <x:f>INT((F656-D656)*(A656-C656)/(E656-C656))+D656</x:f>
        <x:v>324234</x:v>
      </x:c>
      <x:c r="I656" s="68" t="n">
        <x:f>H656-G656</x:f>
        <x:v>0</x:v>
      </x:c>
      <x:c r="J656" s="14" t="n">
        <x:v>2110854</x:v>
      </x:c>
      <x:c r="K656" s="14" t="n">
        <x:f>INT(H656*'공식·설정'!$B$10/'공식·설정'!$B$15)</x:f>
        <x:v>2110854</x:v>
      </x:c>
      <x:c r="L656" s="68" t="n">
        <x:f>K656-J656</x:f>
        <x:v>0</x:v>
      </x:c>
      <x:c r="M656" s="65" t="n">
        <x:f>J656/'공식·설정'!$B$7</x:f>
        <x:v>8245.5234375</x:v>
      </x:c>
      <x:c r="N656" s="65" t="n">
        <x:f>K656/'공식·설정'!$B$7</x:f>
        <x:v>8245.5234375</x:v>
      </x:c>
      <x:c r="O656" s="14" t="n">
        <x:v>825</x:v>
      </x:c>
      <x:c r="P656" s="14" t="n">
        <x:f>MIN(32767,MAX(0,INT((K656+INT('공식·설정'!$B$12/2))/'공식·설정'!$B$12)))</x:f>
        <x:v>825</x:v>
      </x:c>
      <x:c r="Q656" s="68" t="n">
        <x:f>P656-O656</x:f>
        <x:v>0</x:v>
      </x:c>
      <x:c r="R656" s="14" t="n">
        <x:v>2120448</x:v>
      </x:c>
      <x:c r="S656" s="14" t="n">
        <x:f>P656*'공식·설정'!$B$12+'공식·설정'!$B$14</x:f>
        <x:v>2120448</x:v>
      </x:c>
      <x:c r="T656" s="68" t="n">
        <x:f>S656-R656</x:f>
        <x:v>0</x:v>
      </x:c>
      <x:c r="U656" s="65" t="n">
        <x:f>R656/'공식·설정'!$B$7</x:f>
        <x:v>8283</x:v>
      </x:c>
      <x:c r="V656" s="65" t="n">
        <x:f>S656/'공식·설정'!$B$7</x:f>
        <x:v>8283</x:v>
      </x:c>
      <x:c r="W656" s="14" t="n">
        <x:v>737</x:v>
      </x:c>
      <x:c r="X656" s="14" t="n">
        <x:f>INT(ABS(K657-K656)*'공식·설정'!$B$8/K656)</x:f>
        <x:v>737</x:v>
      </x:c>
      <x:c r="Y656" s="68" t="n">
        <x:f>X656-W656</x:f>
        <x:v>0</x:v>
      </x:c>
      <x:c r="Z656" s="66" t="n">
        <x:f>W656/'공식·설정'!$B$8</x:f>
        <x:v>0.0112457275390625</x:v>
      </x:c>
      <x:c r="AA656" s="66" t="n">
        <x:f>X656/'공식·설정'!$B$8</x:f>
        <x:v>0.0112457275390625</x:v>
      </x:c>
      <x:c r="AB656" s="67" t="str">
        <x:f>IF(AND(I656=0,L656=0,Q656=0,T656=0,Y656=0),"PASS","FAIL")</x:f>
        <x:v>PASS</x:v>
      </x:c>
    </x:row>
    <x:row r="657" ht="18" customHeight="1">
      <x:c r="A657" s="14" t="n">
        <x:v>760</x:v>
      </x:c>
      <x:c r="B657" s="14" t="n">
        <x:v>652</x:v>
      </x:c>
      <x:c r="C657" s="14" t="n">
        <x:v>756</x:v>
      </x:c>
      <x:c r="D657" s="14" t="n">
        <x:v>313281</x:v>
      </x:c>
      <x:c r="E657" s="14" t="n">
        <x:v>770</x:v>
      </x:c>
      <x:c r="F657" s="14" t="n">
        <x:v>364398</x:v>
      </x:c>
      <x:c r="G657" s="14" t="n">
        <x:v>327885</x:v>
      </x:c>
      <x:c r="H657" s="14" t="n">
        <x:f>INT((F657-D657)*(A657-C657)/(E657-C657))+D657</x:f>
        <x:v>327885</x:v>
      </x:c>
      <x:c r="I657" s="68" t="n">
        <x:f>H657-G657</x:f>
        <x:v>0</x:v>
      </x:c>
      <x:c r="J657" s="14" t="n">
        <x:v>2134623</x:v>
      </x:c>
      <x:c r="K657" s="14" t="n">
        <x:f>INT(H657*'공식·설정'!$B$10/'공식·설정'!$B$15)</x:f>
        <x:v>2134623</x:v>
      </x:c>
      <x:c r="L657" s="68" t="n">
        <x:f>K657-J657</x:f>
        <x:v>0</x:v>
      </x:c>
      <x:c r="M657" s="65" t="n">
        <x:f>J657/'공식·설정'!$B$7</x:f>
        <x:v>8338.37109375</x:v>
      </x:c>
      <x:c r="N657" s="65" t="n">
        <x:f>K657/'공식·설정'!$B$7</x:f>
        <x:v>8338.37109375</x:v>
      </x:c>
      <x:c r="O657" s="14" t="n">
        <x:v>834</x:v>
      </x:c>
      <x:c r="P657" s="14" t="n">
        <x:f>MIN(32767,MAX(0,INT((K657+INT('공식·설정'!$B$12/2))/'공식·설정'!$B$12)))</x:f>
        <x:v>834</x:v>
      </x:c>
      <x:c r="Q657" s="68" t="n">
        <x:f>P657-O657</x:f>
        <x:v>0</x:v>
      </x:c>
      <x:c r="R657" s="14" t="n">
        <x:v>2143488</x:v>
      </x:c>
      <x:c r="S657" s="14" t="n">
        <x:f>P657*'공식·설정'!$B$12+'공식·설정'!$B$14</x:f>
        <x:v>2143488</x:v>
      </x:c>
      <x:c r="T657" s="68" t="n">
        <x:f>S657-R657</x:f>
        <x:v>0</x:v>
      </x:c>
      <x:c r="U657" s="65" t="n">
        <x:f>R657/'공식·설정'!$B$7</x:f>
        <x:v>8373</x:v>
      </x:c>
      <x:c r="V657" s="65" t="n">
        <x:f>S657/'공식·설정'!$B$7</x:f>
        <x:v>8373</x:v>
      </x:c>
      <x:c r="W657" s="14" t="n">
        <x:v>729</x:v>
      </x:c>
      <x:c r="X657" s="14" t="n">
        <x:f>INT(ABS(K658-K657)*'공식·설정'!$B$8/K657)</x:f>
        <x:v>729</x:v>
      </x:c>
      <x:c r="Y657" s="68" t="n">
        <x:f>X657-W657</x:f>
        <x:v>0</x:v>
      </x:c>
      <x:c r="Z657" s="66" t="n">
        <x:f>W657/'공식·설정'!$B$8</x:f>
        <x:v>0.0111236572265625</x:v>
      </x:c>
      <x:c r="AA657" s="66" t="n">
        <x:f>X657/'공식·설정'!$B$8</x:f>
        <x:v>0.0111236572265625</x:v>
      </x:c>
      <x:c r="AB657" s="67" t="str">
        <x:f>IF(AND(I657=0,L657=0,Q657=0,T657=0,Y657=0),"PASS","FAIL")</x:f>
        <x:v>PASS</x:v>
      </x:c>
    </x:row>
    <x:row r="658" ht="18" customHeight="1">
      <x:c r="A658" s="14" t="n">
        <x:v>761</x:v>
      </x:c>
      <x:c r="B658" s="14" t="n">
        <x:v>653</x:v>
      </x:c>
      <x:c r="C658" s="14" t="n">
        <x:v>756</x:v>
      </x:c>
      <x:c r="D658" s="14" t="n">
        <x:v>313281</x:v>
      </x:c>
      <x:c r="E658" s="14" t="n">
        <x:v>770</x:v>
      </x:c>
      <x:c r="F658" s="14" t="n">
        <x:v>364398</x:v>
      </x:c>
      <x:c r="G658" s="14" t="n">
        <x:v>331537</x:v>
      </x:c>
      <x:c r="H658" s="14" t="n">
        <x:f>INT((F658-D658)*(A658-C658)/(E658-C658))+D658</x:f>
        <x:v>331537</x:v>
      </x:c>
      <x:c r="I658" s="68" t="n">
        <x:f>H658-G658</x:f>
        <x:v>0</x:v>
      </x:c>
      <x:c r="J658" s="14" t="n">
        <x:v>2158399</x:v>
      </x:c>
      <x:c r="K658" s="14" t="n">
        <x:f>INT(H658*'공식·설정'!$B$10/'공식·설정'!$B$15)</x:f>
        <x:v>2158399</x:v>
      </x:c>
      <x:c r="L658" s="68" t="n">
        <x:f>K658-J658</x:f>
        <x:v>0</x:v>
      </x:c>
      <x:c r="M658" s="65" t="n">
        <x:f>J658/'공식·설정'!$B$7</x:f>
        <x:v>8431.24609375</x:v>
      </x:c>
      <x:c r="N658" s="65" t="n">
        <x:f>K658/'공식·설정'!$B$7</x:f>
        <x:v>8431.24609375</x:v>
      </x:c>
      <x:c r="O658" s="14" t="n">
        <x:v>843</x:v>
      </x:c>
      <x:c r="P658" s="14" t="n">
        <x:f>MIN(32767,MAX(0,INT((K658+INT('공식·설정'!$B$12/2))/'공식·설정'!$B$12)))</x:f>
        <x:v>843</x:v>
      </x:c>
      <x:c r="Q658" s="68" t="n">
        <x:f>P658-O658</x:f>
        <x:v>0</x:v>
      </x:c>
      <x:c r="R658" s="14" t="n">
        <x:v>2166528</x:v>
      </x:c>
      <x:c r="S658" s="14" t="n">
        <x:f>P658*'공식·설정'!$B$12+'공식·설정'!$B$14</x:f>
        <x:v>2166528</x:v>
      </x:c>
      <x:c r="T658" s="68" t="n">
        <x:f>S658-R658</x:f>
        <x:v>0</x:v>
      </x:c>
      <x:c r="U658" s="65" t="n">
        <x:f>R658/'공식·설정'!$B$7</x:f>
        <x:v>8463</x:v>
      </x:c>
      <x:c r="V658" s="65" t="n">
        <x:f>S658/'공식·설정'!$B$7</x:f>
        <x:v>8463</x:v>
      </x:c>
      <x:c r="W658" s="14" t="n">
        <x:v>721</x:v>
      </x:c>
      <x:c r="X658" s="14" t="n">
        <x:f>INT(ABS(K659-K658)*'공식·설정'!$B$8/K658)</x:f>
        <x:v>721</x:v>
      </x:c>
      <x:c r="Y658" s="68" t="n">
        <x:f>X658-W658</x:f>
        <x:v>0</x:v>
      </x:c>
      <x:c r="Z658" s="66" t="n">
        <x:f>W658/'공식·설정'!$B$8</x:f>
        <x:v>0.0110015869140625</x:v>
      </x:c>
      <x:c r="AA658" s="66" t="n">
        <x:f>X658/'공식·설정'!$B$8</x:f>
        <x:v>0.0110015869140625</x:v>
      </x:c>
      <x:c r="AB658" s="67" t="str">
        <x:f>IF(AND(I658=0,L658=0,Q658=0,T658=0,Y658=0),"PASS","FAIL")</x:f>
        <x:v>PASS</x:v>
      </x:c>
    </x:row>
    <x:row r="659" ht="18" customHeight="1">
      <x:c r="A659" s="14" t="n">
        <x:v>762</x:v>
      </x:c>
      <x:c r="B659" s="14" t="n">
        <x:v>654</x:v>
      </x:c>
      <x:c r="C659" s="14" t="n">
        <x:v>756</x:v>
      </x:c>
      <x:c r="D659" s="14" t="n">
        <x:v>313281</x:v>
      </x:c>
      <x:c r="E659" s="14" t="n">
        <x:v>770</x:v>
      </x:c>
      <x:c r="F659" s="14" t="n">
        <x:v>364398</x:v>
      </x:c>
      <x:c r="G659" s="14" t="n">
        <x:v>335188</x:v>
      </x:c>
      <x:c r="H659" s="14" t="n">
        <x:f>INT((F659-D659)*(A659-C659)/(E659-C659))+D659</x:f>
        <x:v>335188</x:v>
      </x:c>
      <x:c r="I659" s="68" t="n">
        <x:f>H659-G659</x:f>
        <x:v>0</x:v>
      </x:c>
      <x:c r="J659" s="14" t="n">
        <x:v>2182168</x:v>
      </x:c>
      <x:c r="K659" s="14" t="n">
        <x:f>INT(H659*'공식·설정'!$B$10/'공식·설정'!$B$15)</x:f>
        <x:v>2182168</x:v>
      </x:c>
      <x:c r="L659" s="68" t="n">
        <x:f>K659-J659</x:f>
        <x:v>0</x:v>
      </x:c>
      <x:c r="M659" s="65" t="n">
        <x:f>J659/'공식·설정'!$B$7</x:f>
        <x:v>8524.09375</x:v>
      </x:c>
      <x:c r="N659" s="65" t="n">
        <x:f>K659/'공식·설정'!$B$7</x:f>
        <x:v>8524.09375</x:v>
      </x:c>
      <x:c r="O659" s="14" t="n">
        <x:v>852</x:v>
      </x:c>
      <x:c r="P659" s="14" t="n">
        <x:f>MIN(32767,MAX(0,INT((K659+INT('공식·설정'!$B$12/2))/'공식·설정'!$B$12)))</x:f>
        <x:v>852</x:v>
      </x:c>
      <x:c r="Q659" s="68" t="n">
        <x:f>P659-O659</x:f>
        <x:v>0</x:v>
      </x:c>
      <x:c r="R659" s="14" t="n">
        <x:v>2189568</x:v>
      </x:c>
      <x:c r="S659" s="14" t="n">
        <x:f>P659*'공식·설정'!$B$12+'공식·설정'!$B$14</x:f>
        <x:v>2189568</x:v>
      </x:c>
      <x:c r="T659" s="68" t="n">
        <x:f>S659-R659</x:f>
        <x:v>0</x:v>
      </x:c>
      <x:c r="U659" s="65" t="n">
        <x:f>R659/'공식·설정'!$B$7</x:f>
        <x:v>8553</x:v>
      </x:c>
      <x:c r="V659" s="65" t="n">
        <x:f>S659/'공식·설정'!$B$7</x:f>
        <x:v>8553</x:v>
      </x:c>
      <x:c r="W659" s="14" t="n">
        <x:v>713</x:v>
      </x:c>
      <x:c r="X659" s="14" t="n">
        <x:f>INT(ABS(K660-K659)*'공식·설정'!$B$8/K659)</x:f>
        <x:v>713</x:v>
      </x:c>
      <x:c r="Y659" s="68" t="n">
        <x:f>X659-W659</x:f>
        <x:v>0</x:v>
      </x:c>
      <x:c r="Z659" s="66" t="n">
        <x:f>W659/'공식·설정'!$B$8</x:f>
        <x:v>0.0108795166015625</x:v>
      </x:c>
      <x:c r="AA659" s="66" t="n">
        <x:f>X659/'공식·설정'!$B$8</x:f>
        <x:v>0.0108795166015625</x:v>
      </x:c>
      <x:c r="AB659" s="67" t="str">
        <x:f>IF(AND(I659=0,L659=0,Q659=0,T659=0,Y659=0),"PASS","FAIL")</x:f>
        <x:v>PASS</x:v>
      </x:c>
    </x:row>
    <x:row r="660" ht="18" customHeight="1">
      <x:c r="A660" s="14" t="n">
        <x:v>763</x:v>
      </x:c>
      <x:c r="B660" s="14" t="n">
        <x:v>655</x:v>
      </x:c>
      <x:c r="C660" s="14" t="n">
        <x:v>756</x:v>
      </x:c>
      <x:c r="D660" s="14" t="n">
        <x:v>313281</x:v>
      </x:c>
      <x:c r="E660" s="14" t="n">
        <x:v>770</x:v>
      </x:c>
      <x:c r="F660" s="14" t="n">
        <x:v>364398</x:v>
      </x:c>
      <x:c r="G660" s="14" t="n">
        <x:v>338839</x:v>
      </x:c>
      <x:c r="H660" s="14" t="n">
        <x:f>INT((F660-D660)*(A660-C660)/(E660-C660))+D660</x:f>
        <x:v>338839</x:v>
      </x:c>
      <x:c r="I660" s="68" t="n">
        <x:f>H660-G660</x:f>
        <x:v>0</x:v>
      </x:c>
      <x:c r="J660" s="14" t="n">
        <x:v>2205937</x:v>
      </x:c>
      <x:c r="K660" s="14" t="n">
        <x:f>INT(H660*'공식·설정'!$B$10/'공식·설정'!$B$15)</x:f>
        <x:v>2205937</x:v>
      </x:c>
      <x:c r="L660" s="68" t="n">
        <x:f>K660-J660</x:f>
        <x:v>0</x:v>
      </x:c>
      <x:c r="M660" s="65" t="n">
        <x:f>J660/'공식·설정'!$B$7</x:f>
        <x:v>8616.94140625</x:v>
      </x:c>
      <x:c r="N660" s="65" t="n">
        <x:f>K660/'공식·설정'!$B$7</x:f>
        <x:v>8616.94140625</x:v>
      </x:c>
      <x:c r="O660" s="14" t="n">
        <x:v>862</x:v>
      </x:c>
      <x:c r="P660" s="14" t="n">
        <x:f>MIN(32767,MAX(0,INT((K660+INT('공식·설정'!$B$12/2))/'공식·설정'!$B$12)))</x:f>
        <x:v>862</x:v>
      </x:c>
      <x:c r="Q660" s="68" t="n">
        <x:f>P660-O660</x:f>
        <x:v>0</x:v>
      </x:c>
      <x:c r="R660" s="14" t="n">
        <x:v>2215168</x:v>
      </x:c>
      <x:c r="S660" s="14" t="n">
        <x:f>P660*'공식·설정'!$B$12+'공식·설정'!$B$14</x:f>
        <x:v>2215168</x:v>
      </x:c>
      <x:c r="T660" s="68" t="n">
        <x:f>S660-R660</x:f>
        <x:v>0</x:v>
      </x:c>
      <x:c r="U660" s="65" t="n">
        <x:f>R660/'공식·설정'!$B$7</x:f>
        <x:v>8653</x:v>
      </x:c>
      <x:c r="V660" s="65" t="n">
        <x:f>S660/'공식·설정'!$B$7</x:f>
        <x:v>8653</x:v>
      </x:c>
      <x:c r="W660" s="14" t="n">
        <x:v>706</x:v>
      </x:c>
      <x:c r="X660" s="14" t="n">
        <x:f>INT(ABS(K661-K660)*'공식·설정'!$B$8/K660)</x:f>
        <x:v>706</x:v>
      </x:c>
      <x:c r="Y660" s="68" t="n">
        <x:f>X660-W660</x:f>
        <x:v>0</x:v>
      </x:c>
      <x:c r="Z660" s="66" t="n">
        <x:f>W660/'공식·설정'!$B$8</x:f>
        <x:v>0.010772705078125</x:v>
      </x:c>
      <x:c r="AA660" s="66" t="n">
        <x:f>X660/'공식·설정'!$B$8</x:f>
        <x:v>0.010772705078125</x:v>
      </x:c>
      <x:c r="AB660" s="67" t="str">
        <x:f>IF(AND(I660=0,L660=0,Q660=0,T660=0,Y660=0),"PASS","FAIL")</x:f>
        <x:v>PASS</x:v>
      </x:c>
    </x:row>
    <x:row r="661" ht="18" customHeight="1">
      <x:c r="A661" s="14" t="n">
        <x:v>764</x:v>
      </x:c>
      <x:c r="B661" s="14" t="n">
        <x:v>656</x:v>
      </x:c>
      <x:c r="C661" s="14" t="n">
        <x:v>756</x:v>
      </x:c>
      <x:c r="D661" s="14" t="n">
        <x:v>313281</x:v>
      </x:c>
      <x:c r="E661" s="14" t="n">
        <x:v>770</x:v>
      </x:c>
      <x:c r="F661" s="14" t="n">
        <x:v>364398</x:v>
      </x:c>
      <x:c r="G661" s="14" t="n">
        <x:v>342490</x:v>
      </x:c>
      <x:c r="H661" s="14" t="n">
        <x:f>INT((F661-D661)*(A661-C661)/(E661-C661))+D661</x:f>
        <x:v>342490</x:v>
      </x:c>
      <x:c r="I661" s="68" t="n">
        <x:f>H661-G661</x:f>
        <x:v>0</x:v>
      </x:c>
      <x:c r="J661" s="14" t="n">
        <x:v>2229706</x:v>
      </x:c>
      <x:c r="K661" s="14" t="n">
        <x:f>INT(H661*'공식·설정'!$B$10/'공식·설정'!$B$15)</x:f>
        <x:v>2229706</x:v>
      </x:c>
      <x:c r="L661" s="68" t="n">
        <x:f>K661-J661</x:f>
        <x:v>0</x:v>
      </x:c>
      <x:c r="M661" s="65" t="n">
        <x:f>J661/'공식·설정'!$B$7</x:f>
        <x:v>8709.7890625</x:v>
      </x:c>
      <x:c r="N661" s="65" t="n">
        <x:f>K661/'공식·설정'!$B$7</x:f>
        <x:v>8709.7890625</x:v>
      </x:c>
      <x:c r="O661" s="14" t="n">
        <x:v>871</x:v>
      </x:c>
      <x:c r="P661" s="14" t="n">
        <x:f>MIN(32767,MAX(0,INT((K661+INT('공식·설정'!$B$12/2))/'공식·설정'!$B$12)))</x:f>
        <x:v>871</x:v>
      </x:c>
      <x:c r="Q661" s="68" t="n">
        <x:f>P661-O661</x:f>
        <x:v>0</x:v>
      </x:c>
      <x:c r="R661" s="14" t="n">
        <x:v>2238208</x:v>
      </x:c>
      <x:c r="S661" s="14" t="n">
        <x:f>P661*'공식·설정'!$B$12+'공식·설정'!$B$14</x:f>
        <x:v>2238208</x:v>
      </x:c>
      <x:c r="T661" s="68" t="n">
        <x:f>S661-R661</x:f>
        <x:v>0</x:v>
      </x:c>
      <x:c r="U661" s="65" t="n">
        <x:f>R661/'공식·설정'!$B$7</x:f>
        <x:v>8743</x:v>
      </x:c>
      <x:c r="V661" s="65" t="n">
        <x:f>S661/'공식·설정'!$B$7</x:f>
        <x:v>8743</x:v>
      </x:c>
      <x:c r="W661" s="14" t="n">
        <x:v>698</x:v>
      </x:c>
      <x:c r="X661" s="14" t="n">
        <x:f>INT(ABS(K662-K661)*'공식·설정'!$B$8/K661)</x:f>
        <x:v>698</x:v>
      </x:c>
      <x:c r="Y661" s="68" t="n">
        <x:f>X661-W661</x:f>
        <x:v>0</x:v>
      </x:c>
      <x:c r="Z661" s="66" t="n">
        <x:f>W661/'공식·설정'!$B$8</x:f>
        <x:v>0.010650634765625</x:v>
      </x:c>
      <x:c r="AA661" s="66" t="n">
        <x:f>X661/'공식·설정'!$B$8</x:f>
        <x:v>0.010650634765625</x:v>
      </x:c>
      <x:c r="AB661" s="67" t="str">
        <x:f>IF(AND(I661=0,L661=0,Q661=0,T661=0,Y661=0),"PASS","FAIL")</x:f>
        <x:v>PASS</x:v>
      </x:c>
    </x:row>
    <x:row r="662" ht="18" customHeight="1">
      <x:c r="A662" s="14" t="n">
        <x:v>765</x:v>
      </x:c>
      <x:c r="B662" s="14" t="n">
        <x:v>657</x:v>
      </x:c>
      <x:c r="C662" s="14" t="n">
        <x:v>756</x:v>
      </x:c>
      <x:c r="D662" s="14" t="n">
        <x:v>313281</x:v>
      </x:c>
      <x:c r="E662" s="14" t="n">
        <x:v>770</x:v>
      </x:c>
      <x:c r="F662" s="14" t="n">
        <x:v>364398</x:v>
      </x:c>
      <x:c r="G662" s="14" t="n">
        <x:v>346141</x:v>
      </x:c>
      <x:c r="H662" s="14" t="n">
        <x:f>INT((F662-D662)*(A662-C662)/(E662-C662))+D662</x:f>
        <x:v>346141</x:v>
      </x:c>
      <x:c r="I662" s="68" t="n">
        <x:f>H662-G662</x:f>
        <x:v>0</x:v>
      </x:c>
      <x:c r="J662" s="14" t="n">
        <x:v>2253475</x:v>
      </x:c>
      <x:c r="K662" s="14" t="n">
        <x:f>INT(H662*'공식·설정'!$B$10/'공식·설정'!$B$15)</x:f>
        <x:v>2253475</x:v>
      </x:c>
      <x:c r="L662" s="68" t="n">
        <x:f>K662-J662</x:f>
        <x:v>0</x:v>
      </x:c>
      <x:c r="M662" s="65" t="n">
        <x:f>J662/'공식·설정'!$B$7</x:f>
        <x:v>8802.63671875</x:v>
      </x:c>
      <x:c r="N662" s="65" t="n">
        <x:f>K662/'공식·설정'!$B$7</x:f>
        <x:v>8802.63671875</x:v>
      </x:c>
      <x:c r="O662" s="14" t="n">
        <x:v>880</x:v>
      </x:c>
      <x:c r="P662" s="14" t="n">
        <x:f>MIN(32767,MAX(0,INT((K662+INT('공식·설정'!$B$12/2))/'공식·설정'!$B$12)))</x:f>
        <x:v>880</x:v>
      </x:c>
      <x:c r="Q662" s="68" t="n">
        <x:f>P662-O662</x:f>
        <x:v>0</x:v>
      </x:c>
      <x:c r="R662" s="14" t="n">
        <x:v>2261248</x:v>
      </x:c>
      <x:c r="S662" s="14" t="n">
        <x:f>P662*'공식·설정'!$B$12+'공식·설정'!$B$14</x:f>
        <x:v>2261248</x:v>
      </x:c>
      <x:c r="T662" s="68" t="n">
        <x:f>S662-R662</x:f>
        <x:v>0</x:v>
      </x:c>
      <x:c r="U662" s="65" t="n">
        <x:f>R662/'공식·설정'!$B$7</x:f>
        <x:v>8833</x:v>
      </x:c>
      <x:c r="V662" s="65" t="n">
        <x:f>S662/'공식·설정'!$B$7</x:f>
        <x:v>8833</x:v>
      </x:c>
      <x:c r="W662" s="14" t="n">
        <x:v>691</x:v>
      </x:c>
      <x:c r="X662" s="14" t="n">
        <x:f>INT(ABS(K663-K662)*'공식·설정'!$B$8/K662)</x:f>
        <x:v>691</x:v>
      </x:c>
      <x:c r="Y662" s="68" t="n">
        <x:f>X662-W662</x:f>
        <x:v>0</x:v>
      </x:c>
      <x:c r="Z662" s="66" t="n">
        <x:f>W662/'공식·설정'!$B$8</x:f>
        <x:v>0.0105438232421875</x:v>
      </x:c>
      <x:c r="AA662" s="66" t="n">
        <x:f>X662/'공식·설정'!$B$8</x:f>
        <x:v>0.0105438232421875</x:v>
      </x:c>
      <x:c r="AB662" s="67" t="str">
        <x:f>IF(AND(I662=0,L662=0,Q662=0,T662=0,Y662=0),"PASS","FAIL")</x:f>
        <x:v>PASS</x:v>
      </x:c>
    </x:row>
    <x:row r="663" ht="18" customHeight="1">
      <x:c r="A663" s="14" t="n">
        <x:v>766</x:v>
      </x:c>
      <x:c r="B663" s="14" t="n">
        <x:v>658</x:v>
      </x:c>
      <x:c r="C663" s="14" t="n">
        <x:v>756</x:v>
      </x:c>
      <x:c r="D663" s="14" t="n">
        <x:v>313281</x:v>
      </x:c>
      <x:c r="E663" s="14" t="n">
        <x:v>770</x:v>
      </x:c>
      <x:c r="F663" s="14" t="n">
        <x:v>364398</x:v>
      </x:c>
      <x:c r="G663" s="14" t="n">
        <x:v>349793</x:v>
      </x:c>
      <x:c r="H663" s="14" t="n">
        <x:f>INT((F663-D663)*(A663-C663)/(E663-C663))+D663</x:f>
        <x:v>349793</x:v>
      </x:c>
      <x:c r="I663" s="68" t="n">
        <x:f>H663-G663</x:f>
        <x:v>0</x:v>
      </x:c>
      <x:c r="J663" s="14" t="n">
        <x:v>2277251</x:v>
      </x:c>
      <x:c r="K663" s="14" t="n">
        <x:f>INT(H663*'공식·설정'!$B$10/'공식·설정'!$B$15)</x:f>
        <x:v>2277251</x:v>
      </x:c>
      <x:c r="L663" s="68" t="n">
        <x:f>K663-J663</x:f>
        <x:v>0</x:v>
      </x:c>
      <x:c r="M663" s="65" t="n">
        <x:f>J663/'공식·설정'!$B$7</x:f>
        <x:v>8895.51171875</x:v>
      </x:c>
      <x:c r="N663" s="65" t="n">
        <x:f>K663/'공식·설정'!$B$7</x:f>
        <x:v>8895.51171875</x:v>
      </x:c>
      <x:c r="O663" s="14" t="n">
        <x:v>890</x:v>
      </x:c>
      <x:c r="P663" s="14" t="n">
        <x:f>MIN(32767,MAX(0,INT((K663+INT('공식·설정'!$B$12/2))/'공식·설정'!$B$12)))</x:f>
        <x:v>890</x:v>
      </x:c>
      <x:c r="Q663" s="68" t="n">
        <x:f>P663-O663</x:f>
        <x:v>0</x:v>
      </x:c>
      <x:c r="R663" s="14" t="n">
        <x:v>2286848</x:v>
      </x:c>
      <x:c r="S663" s="14" t="n">
        <x:f>P663*'공식·설정'!$B$12+'공식·설정'!$B$14</x:f>
        <x:v>2286848</x:v>
      </x:c>
      <x:c r="T663" s="68" t="n">
        <x:f>S663-R663</x:f>
        <x:v>0</x:v>
      </x:c>
      <x:c r="U663" s="65" t="n">
        <x:f>R663/'공식·설정'!$B$7</x:f>
        <x:v>8933</x:v>
      </x:c>
      <x:c r="V663" s="65" t="n">
        <x:f>S663/'공식·설정'!$B$7</x:f>
        <x:v>8933</x:v>
      </x:c>
      <x:c r="W663" s="14" t="n">
        <x:v>684</x:v>
      </x:c>
      <x:c r="X663" s="14" t="n">
        <x:f>INT(ABS(K664-K663)*'공식·설정'!$B$8/K663)</x:f>
        <x:v>684</x:v>
      </x:c>
      <x:c r="Y663" s="68" t="n">
        <x:f>X663-W663</x:f>
        <x:v>0</x:v>
      </x:c>
      <x:c r="Z663" s="66" t="n">
        <x:f>W663/'공식·설정'!$B$8</x:f>
        <x:v>0.01043701171875</x:v>
      </x:c>
      <x:c r="AA663" s="66" t="n">
        <x:f>X663/'공식·설정'!$B$8</x:f>
        <x:v>0.01043701171875</x:v>
      </x:c>
      <x:c r="AB663" s="67" t="str">
        <x:f>IF(AND(I663=0,L663=0,Q663=0,T663=0,Y663=0),"PASS","FAIL")</x:f>
        <x:v>PASS</x:v>
      </x:c>
    </x:row>
    <x:row r="664" ht="18" customHeight="1">
      <x:c r="A664" s="14" t="n">
        <x:v>767</x:v>
      </x:c>
      <x:c r="B664" s="14" t="n">
        <x:v>659</x:v>
      </x:c>
      <x:c r="C664" s="14" t="n">
        <x:v>756</x:v>
      </x:c>
      <x:c r="D664" s="14" t="n">
        <x:v>313281</x:v>
      </x:c>
      <x:c r="E664" s="14" t="n">
        <x:v>770</x:v>
      </x:c>
      <x:c r="F664" s="14" t="n">
        <x:v>364398</x:v>
      </x:c>
      <x:c r="G664" s="14" t="n">
        <x:v>353444</x:v>
      </x:c>
      <x:c r="H664" s="14" t="n">
        <x:f>INT((F664-D664)*(A664-C664)/(E664-C664))+D664</x:f>
        <x:v>353444</x:v>
      </x:c>
      <x:c r="I664" s="68" t="n">
        <x:f>H664-G664</x:f>
        <x:v>0</x:v>
      </x:c>
      <x:c r="J664" s="14" t="n">
        <x:v>2301020</x:v>
      </x:c>
      <x:c r="K664" s="14" t="n">
        <x:f>INT(H664*'공식·설정'!$B$10/'공식·설정'!$B$15)</x:f>
        <x:v>2301020</x:v>
      </x:c>
      <x:c r="L664" s="68" t="n">
        <x:f>K664-J664</x:f>
        <x:v>0</x:v>
      </x:c>
      <x:c r="M664" s="65" t="n">
        <x:f>J664/'공식·설정'!$B$7</x:f>
        <x:v>8988.359375</x:v>
      </x:c>
      <x:c r="N664" s="65" t="n">
        <x:f>K664/'공식·설정'!$B$7</x:f>
        <x:v>8988.359375</x:v>
      </x:c>
      <x:c r="O664" s="14" t="n">
        <x:v>899</x:v>
      </x:c>
      <x:c r="P664" s="14" t="n">
        <x:f>MIN(32767,MAX(0,INT((K664+INT('공식·설정'!$B$12/2))/'공식·설정'!$B$12)))</x:f>
        <x:v>899</x:v>
      </x:c>
      <x:c r="Q664" s="68" t="n">
        <x:f>P664-O664</x:f>
        <x:v>0</x:v>
      </x:c>
      <x:c r="R664" s="14" t="n">
        <x:v>2309888</x:v>
      </x:c>
      <x:c r="S664" s="14" t="n">
        <x:f>P664*'공식·설정'!$B$12+'공식·설정'!$B$14</x:f>
        <x:v>2309888</x:v>
      </x:c>
      <x:c r="T664" s="68" t="n">
        <x:f>S664-R664</x:f>
        <x:v>0</x:v>
      </x:c>
      <x:c r="U664" s="65" t="n">
        <x:f>R664/'공식·설정'!$B$7</x:f>
        <x:v>9023</x:v>
      </x:c>
      <x:c r="V664" s="65" t="n">
        <x:f>S664/'공식·설정'!$B$7</x:f>
        <x:v>9023</x:v>
      </x:c>
      <x:c r="W664" s="14" t="n">
        <x:v>676</x:v>
      </x:c>
      <x:c r="X664" s="14" t="n">
        <x:f>INT(ABS(K665-K664)*'공식·설정'!$B$8/K664)</x:f>
        <x:v>676</x:v>
      </x:c>
      <x:c r="Y664" s="68" t="n">
        <x:f>X664-W664</x:f>
        <x:v>0</x:v>
      </x:c>
      <x:c r="Z664" s="66" t="n">
        <x:f>W664/'공식·설정'!$B$8</x:f>
        <x:v>0.01031494140625</x:v>
      </x:c>
      <x:c r="AA664" s="66" t="n">
        <x:f>X664/'공식·설정'!$B$8</x:f>
        <x:v>0.01031494140625</x:v>
      </x:c>
      <x:c r="AB664" s="67" t="str">
        <x:f>IF(AND(I664=0,L664=0,Q664=0,T664=0,Y664=0),"PASS","FAIL")</x:f>
        <x:v>PASS</x:v>
      </x:c>
    </x:row>
    <x:row r="665" ht="18" customHeight="1">
      <x:c r="A665" s="14" t="n">
        <x:v>768</x:v>
      </x:c>
      <x:c r="B665" s="14" t="n">
        <x:v>660</x:v>
      </x:c>
      <x:c r="C665" s="14" t="n">
        <x:v>756</x:v>
      </x:c>
      <x:c r="D665" s="14" t="n">
        <x:v>313281</x:v>
      </x:c>
      <x:c r="E665" s="14" t="n">
        <x:v>770</x:v>
      </x:c>
      <x:c r="F665" s="14" t="n">
        <x:v>364398</x:v>
      </x:c>
      <x:c r="G665" s="14" t="n">
        <x:v>357095</x:v>
      </x:c>
      <x:c r="H665" s="14" t="n">
        <x:f>INT((F665-D665)*(A665-C665)/(E665-C665))+D665</x:f>
        <x:v>357095</x:v>
      </x:c>
      <x:c r="I665" s="68" t="n">
        <x:f>H665-G665</x:f>
        <x:v>0</x:v>
      </x:c>
      <x:c r="J665" s="14" t="n">
        <x:v>2324789</x:v>
      </x:c>
      <x:c r="K665" s="14" t="n">
        <x:f>INT(H665*'공식·설정'!$B$10/'공식·설정'!$B$15)</x:f>
        <x:v>2324789</x:v>
      </x:c>
      <x:c r="L665" s="68" t="n">
        <x:f>K665-J665</x:f>
        <x:v>0</x:v>
      </x:c>
      <x:c r="M665" s="65" t="n">
        <x:f>J665/'공식·설정'!$B$7</x:f>
        <x:v>9081.20703125</x:v>
      </x:c>
      <x:c r="N665" s="65" t="n">
        <x:f>K665/'공식·설정'!$B$7</x:f>
        <x:v>9081.20703125</x:v>
      </x:c>
      <x:c r="O665" s="14" t="n">
        <x:v>908</x:v>
      </x:c>
      <x:c r="P665" s="14" t="n">
        <x:f>MIN(32767,MAX(0,INT((K665+INT('공식·설정'!$B$12/2))/'공식·설정'!$B$12)))</x:f>
        <x:v>908</x:v>
      </x:c>
      <x:c r="Q665" s="68" t="n">
        <x:f>P665-O665</x:f>
        <x:v>0</x:v>
      </x:c>
      <x:c r="R665" s="14" t="n">
        <x:v>2332928</x:v>
      </x:c>
      <x:c r="S665" s="14" t="n">
        <x:f>P665*'공식·설정'!$B$12+'공식·설정'!$B$14</x:f>
        <x:v>2332928</x:v>
      </x:c>
      <x:c r="T665" s="68" t="n">
        <x:f>S665-R665</x:f>
        <x:v>0</x:v>
      </x:c>
      <x:c r="U665" s="65" t="n">
        <x:f>R665/'공식·설정'!$B$7</x:f>
        <x:v>9113</x:v>
      </x:c>
      <x:c r="V665" s="65" t="n">
        <x:f>S665/'공식·설정'!$B$7</x:f>
        <x:v>9113</x:v>
      </x:c>
      <x:c r="W665" s="14" t="n">
        <x:v>670</x:v>
      </x:c>
      <x:c r="X665" s="14" t="n">
        <x:f>INT(ABS(K666-K665)*'공식·설정'!$B$8/K665)</x:f>
        <x:v>670</x:v>
      </x:c>
      <x:c r="Y665" s="68" t="n">
        <x:f>X665-W665</x:f>
        <x:v>0</x:v>
      </x:c>
      <x:c r="Z665" s="66" t="n">
        <x:f>W665/'공식·설정'!$B$8</x:f>
        <x:v>0.010223388671875</x:v>
      </x:c>
      <x:c r="AA665" s="66" t="n">
        <x:f>X665/'공식·설정'!$B$8</x:f>
        <x:v>0.010223388671875</x:v>
      </x:c>
      <x:c r="AB665" s="67" t="str">
        <x:f>IF(AND(I665=0,L665=0,Q665=0,T665=0,Y665=0),"PASS","FAIL")</x:f>
        <x:v>PASS</x:v>
      </x:c>
    </x:row>
    <x:row r="666" ht="18" customHeight="1">
      <x:c r="A666" s="14" t="n">
        <x:v>769</x:v>
      </x:c>
      <x:c r="B666" s="14" t="n">
        <x:v>661</x:v>
      </x:c>
      <x:c r="C666" s="14" t="n">
        <x:v>756</x:v>
      </x:c>
      <x:c r="D666" s="14" t="n">
        <x:v>313281</x:v>
      </x:c>
      <x:c r="E666" s="14" t="n">
        <x:v>770</x:v>
      </x:c>
      <x:c r="F666" s="14" t="n">
        <x:v>364398</x:v>
      </x:c>
      <x:c r="G666" s="14" t="n">
        <x:v>360746</x:v>
      </x:c>
      <x:c r="H666" s="14" t="n">
        <x:f>INT((F666-D666)*(A666-C666)/(E666-C666))+D666</x:f>
        <x:v>360746</x:v>
      </x:c>
      <x:c r="I666" s="68" t="n">
        <x:f>H666-G666</x:f>
        <x:v>0</x:v>
      </x:c>
      <x:c r="J666" s="14" t="n">
        <x:v>2348558</x:v>
      </x:c>
      <x:c r="K666" s="14" t="n">
        <x:f>INT(H666*'공식·설정'!$B$10/'공식·설정'!$B$15)</x:f>
        <x:v>2348558</x:v>
      </x:c>
      <x:c r="L666" s="68" t="n">
        <x:f>K666-J666</x:f>
        <x:v>0</x:v>
      </x:c>
      <x:c r="M666" s="65" t="n">
        <x:f>J666/'공식·설정'!$B$7</x:f>
        <x:v>9174.0546875</x:v>
      </x:c>
      <x:c r="N666" s="65" t="n">
        <x:f>K666/'공식·설정'!$B$7</x:f>
        <x:v>9174.0546875</x:v>
      </x:c>
      <x:c r="O666" s="14" t="n">
        <x:v>917</x:v>
      </x:c>
      <x:c r="P666" s="14" t="n">
        <x:f>MIN(32767,MAX(0,INT((K666+INT('공식·설정'!$B$12/2))/'공식·설정'!$B$12)))</x:f>
        <x:v>917</x:v>
      </x:c>
      <x:c r="Q666" s="68" t="n">
        <x:f>P666-O666</x:f>
        <x:v>0</x:v>
      </x:c>
      <x:c r="R666" s="14" t="n">
        <x:v>2355968</x:v>
      </x:c>
      <x:c r="S666" s="14" t="n">
        <x:f>P666*'공식·설정'!$B$12+'공식·설정'!$B$14</x:f>
        <x:v>2355968</x:v>
      </x:c>
      <x:c r="T666" s="68" t="n">
        <x:f>S666-R666</x:f>
        <x:v>0</x:v>
      </x:c>
      <x:c r="U666" s="65" t="n">
        <x:f>R666/'공식·설정'!$B$7</x:f>
        <x:v>9203</x:v>
      </x:c>
      <x:c r="V666" s="65" t="n">
        <x:f>S666/'공식·설정'!$B$7</x:f>
        <x:v>9203</x:v>
      </x:c>
      <x:c r="W666" s="14" t="n">
        <x:v>663</x:v>
      </x:c>
      <x:c r="X666" s="14" t="n">
        <x:f>INT(ABS(K667-K666)*'공식·설정'!$B$8/K666)</x:f>
        <x:v>663</x:v>
      </x:c>
      <x:c r="Y666" s="68" t="n">
        <x:f>X666-W666</x:f>
        <x:v>0</x:v>
      </x:c>
      <x:c r="Z666" s="66" t="n">
        <x:f>W666/'공식·설정'!$B$8</x:f>
        <x:v>0.0101165771484375</x:v>
      </x:c>
      <x:c r="AA666" s="66" t="n">
        <x:f>X666/'공식·설정'!$B$8</x:f>
        <x:v>0.0101165771484375</x:v>
      </x:c>
      <x:c r="AB666" s="67" t="str">
        <x:f>IF(AND(I666=0,L666=0,Q666=0,T666=0,Y666=0),"PASS","FAIL")</x:f>
        <x:v>PASS</x:v>
      </x:c>
    </x:row>
    <x:row r="667" ht="18" customHeight="1">
      <x:c r="A667" s="14" t="n">
        <x:v>770</x:v>
      </x:c>
      <x:c r="B667" s="14" t="n">
        <x:v>662</x:v>
      </x:c>
      <x:c r="C667" s="14" t="n">
        <x:v>770</x:v>
      </x:c>
      <x:c r="D667" s="14" t="n">
        <x:v>364398</x:v>
      </x:c>
      <x:c r="E667" s="14" t="n">
        <x:v>784</x:v>
      </x:c>
      <x:c r="F667" s="14" t="n">
        <x:v>423854</x:v>
      </x:c>
      <x:c r="G667" s="14" t="n">
        <x:v>364398</x:v>
      </x:c>
      <x:c r="H667" s="14" t="n">
        <x:f>INT((F667-D667)*(A667-C667)/(E667-C667))+D667</x:f>
        <x:v>364398</x:v>
      </x:c>
      <x:c r="I667" s="68" t="n">
        <x:f>H667-G667</x:f>
        <x:v>0</x:v>
      </x:c>
      <x:c r="J667" s="14" t="n">
        <x:v>2372333</x:v>
      </x:c>
      <x:c r="K667" s="14" t="n">
        <x:f>INT(H667*'공식·설정'!$B$10/'공식·설정'!$B$15)</x:f>
        <x:v>2372333</x:v>
      </x:c>
      <x:c r="L667" s="68" t="n">
        <x:f>K667-J667</x:f>
        <x:v>0</x:v>
      </x:c>
      <x:c r="M667" s="65" t="n">
        <x:f>J667/'공식·설정'!$B$7</x:f>
        <x:v>9266.92578125</x:v>
      </x:c>
      <x:c r="N667" s="65" t="n">
        <x:f>K667/'공식·설정'!$B$7</x:f>
        <x:v>9266.92578125</x:v>
      </x:c>
      <x:c r="O667" s="14" t="n">
        <x:v>927</x:v>
      </x:c>
      <x:c r="P667" s="14" t="n">
        <x:f>MIN(32767,MAX(0,INT((K667+INT('공식·설정'!$B$12/2))/'공식·설정'!$B$12)))</x:f>
        <x:v>927</x:v>
      </x:c>
      <x:c r="Q667" s="68" t="n">
        <x:f>P667-O667</x:f>
        <x:v>0</x:v>
      </x:c>
      <x:c r="R667" s="14" t="n">
        <x:v>2381568</x:v>
      </x:c>
      <x:c r="S667" s="14" t="n">
        <x:f>P667*'공식·설정'!$B$12+'공식·설정'!$B$14</x:f>
        <x:v>2381568</x:v>
      </x:c>
      <x:c r="T667" s="68" t="n">
        <x:f>S667-R667</x:f>
        <x:v>0</x:v>
      </x:c>
      <x:c r="U667" s="65" t="n">
        <x:f>R667/'공식·설정'!$B$7</x:f>
        <x:v>9303</x:v>
      </x:c>
      <x:c r="V667" s="65" t="n">
        <x:f>S667/'공식·설정'!$B$7</x:f>
        <x:v>9303</x:v>
      </x:c>
      <x:c r="W667" s="14" t="n">
        <x:v>763</x:v>
      </x:c>
      <x:c r="X667" s="14" t="n">
        <x:f>INT(ABS(K668-K667)*'공식·설정'!$B$8/K667)</x:f>
        <x:v>763</x:v>
      </x:c>
      <x:c r="Y667" s="68" t="n">
        <x:f>X667-W667</x:f>
        <x:v>0</x:v>
      </x:c>
      <x:c r="Z667" s="66" t="n">
        <x:f>W667/'공식·설정'!$B$8</x:f>
        <x:v>0.0116424560546875</x:v>
      </x:c>
      <x:c r="AA667" s="66" t="n">
        <x:f>X667/'공식·설정'!$B$8</x:f>
        <x:v>0.0116424560546875</x:v>
      </x:c>
      <x:c r="AB667" s="67" t="str">
        <x:f>IF(AND(I667=0,L667=0,Q667=0,T667=0,Y667=0),"PASS","FAIL")</x:f>
        <x:v>PASS</x:v>
      </x:c>
    </x:row>
    <x:row r="668" ht="18" customHeight="1">
      <x:c r="A668" s="14" t="n">
        <x:v>771</x:v>
      </x:c>
      <x:c r="B668" s="14" t="n">
        <x:v>663</x:v>
      </x:c>
      <x:c r="C668" s="14" t="n">
        <x:v>770</x:v>
      </x:c>
      <x:c r="D668" s="14" t="n">
        <x:v>364398</x:v>
      </x:c>
      <x:c r="E668" s="14" t="n">
        <x:v>784</x:v>
      </x:c>
      <x:c r="F668" s="14" t="n">
        <x:v>423854</x:v>
      </x:c>
      <x:c r="G668" s="14" t="n">
        <x:v>368644</x:v>
      </x:c>
      <x:c r="H668" s="14" t="n">
        <x:f>INT((F668-D668)*(A668-C668)/(E668-C668))+D668</x:f>
        <x:v>368644</x:v>
      </x:c>
      <x:c r="I668" s="68" t="n">
        <x:f>H668-G668</x:f>
        <x:v>0</x:v>
      </x:c>
      <x:c r="J668" s="14" t="n">
        <x:v>2399976</x:v>
      </x:c>
      <x:c r="K668" s="14" t="n">
        <x:f>INT(H668*'공식·설정'!$B$10/'공식·설정'!$B$15)</x:f>
        <x:v>2399976</x:v>
      </x:c>
      <x:c r="L668" s="68" t="n">
        <x:f>K668-J668</x:f>
        <x:v>0</x:v>
      </x:c>
      <x:c r="M668" s="65" t="n">
        <x:f>J668/'공식·설정'!$B$7</x:f>
        <x:v>9374.90625</x:v>
      </x:c>
      <x:c r="N668" s="65" t="n">
        <x:f>K668/'공식·설정'!$B$7</x:f>
        <x:v>9374.90625</x:v>
      </x:c>
      <x:c r="O668" s="14" t="n">
        <x:v>937</x:v>
      </x:c>
      <x:c r="P668" s="14" t="n">
        <x:f>MIN(32767,MAX(0,INT((K668+INT('공식·설정'!$B$12/2))/'공식·설정'!$B$12)))</x:f>
        <x:v>937</x:v>
      </x:c>
      <x:c r="Q668" s="68" t="n">
        <x:f>P668-O668</x:f>
        <x:v>0</x:v>
      </x:c>
      <x:c r="R668" s="14" t="n">
        <x:v>2407168</x:v>
      </x:c>
      <x:c r="S668" s="14" t="n">
        <x:f>P668*'공식·설정'!$B$12+'공식·설정'!$B$14</x:f>
        <x:v>2407168</x:v>
      </x:c>
      <x:c r="T668" s="68" t="n">
        <x:f>S668-R668</x:f>
        <x:v>0</x:v>
      </x:c>
      <x:c r="U668" s="65" t="n">
        <x:f>R668/'공식·설정'!$B$7</x:f>
        <x:v>9403</x:v>
      </x:c>
      <x:c r="V668" s="65" t="n">
        <x:f>S668/'공식·설정'!$B$7</x:f>
        <x:v>9403</x:v>
      </x:c>
      <x:c r="W668" s="14" t="n">
        <x:v>755</x:v>
      </x:c>
      <x:c r="X668" s="14" t="n">
        <x:f>INT(ABS(K669-K668)*'공식·설정'!$B$8/K668)</x:f>
        <x:v>755</x:v>
      </x:c>
      <x:c r="Y668" s="68" t="n">
        <x:f>X668-W668</x:f>
        <x:v>0</x:v>
      </x:c>
      <x:c r="Z668" s="66" t="n">
        <x:f>W668/'공식·설정'!$B$8</x:f>
        <x:v>0.0115203857421875</x:v>
      </x:c>
      <x:c r="AA668" s="66" t="n">
        <x:f>X668/'공식·설정'!$B$8</x:f>
        <x:v>0.0115203857421875</x:v>
      </x:c>
      <x:c r="AB668" s="67" t="str">
        <x:f>IF(AND(I668=0,L668=0,Q668=0,T668=0,Y668=0),"PASS","FAIL")</x:f>
        <x:v>PASS</x:v>
      </x:c>
    </x:row>
    <x:row r="669" ht="18" customHeight="1">
      <x:c r="A669" s="14" t="n">
        <x:v>772</x:v>
      </x:c>
      <x:c r="B669" s="14" t="n">
        <x:v>664</x:v>
      </x:c>
      <x:c r="C669" s="14" t="n">
        <x:v>770</x:v>
      </x:c>
      <x:c r="D669" s="14" t="n">
        <x:v>364398</x:v>
      </x:c>
      <x:c r="E669" s="14" t="n">
        <x:v>784</x:v>
      </x:c>
      <x:c r="F669" s="14" t="n">
        <x:v>423854</x:v>
      </x:c>
      <x:c r="G669" s="14" t="n">
        <x:v>372891</x:v>
      </x:c>
      <x:c r="H669" s="14" t="n">
        <x:f>INT((F669-D669)*(A669-C669)/(E669-C669))+D669</x:f>
        <x:v>372891</x:v>
      </x:c>
      <x:c r="I669" s="68" t="n">
        <x:f>H669-G669</x:f>
        <x:v>0</x:v>
      </x:c>
      <x:c r="J669" s="14" t="n">
        <x:v>2427625</x:v>
      </x:c>
      <x:c r="K669" s="14" t="n">
        <x:f>INT(H669*'공식·설정'!$B$10/'공식·설정'!$B$15)</x:f>
        <x:v>2427625</x:v>
      </x:c>
      <x:c r="L669" s="68" t="n">
        <x:f>K669-J669</x:f>
        <x:v>0</x:v>
      </x:c>
      <x:c r="M669" s="65" t="n">
        <x:f>J669/'공식·설정'!$B$7</x:f>
        <x:v>9482.91015625</x:v>
      </x:c>
      <x:c r="N669" s="65" t="n">
        <x:f>K669/'공식·설정'!$B$7</x:f>
        <x:v>9482.91015625</x:v>
      </x:c>
      <x:c r="O669" s="14" t="n">
        <x:v>948</x:v>
      </x:c>
      <x:c r="P669" s="14" t="n">
        <x:f>MIN(32767,MAX(0,INT((K669+INT('공식·설정'!$B$12/2))/'공식·설정'!$B$12)))</x:f>
        <x:v>948</x:v>
      </x:c>
      <x:c r="Q669" s="68" t="n">
        <x:f>P669-O669</x:f>
        <x:v>0</x:v>
      </x:c>
      <x:c r="R669" s="14" t="n">
        <x:v>2435328</x:v>
      </x:c>
      <x:c r="S669" s="14" t="n">
        <x:f>P669*'공식·설정'!$B$12+'공식·설정'!$B$14</x:f>
        <x:v>2435328</x:v>
      </x:c>
      <x:c r="T669" s="68" t="n">
        <x:f>S669-R669</x:f>
        <x:v>0</x:v>
      </x:c>
      <x:c r="U669" s="65" t="n">
        <x:f>R669/'공식·설정'!$B$7</x:f>
        <x:v>9513</x:v>
      </x:c>
      <x:c r="V669" s="65" t="n">
        <x:f>S669/'공식·설정'!$B$7</x:f>
        <x:v>9513</x:v>
      </x:c>
      <x:c r="W669" s="14" t="n">
        <x:v>746</x:v>
      </x:c>
      <x:c r="X669" s="14" t="n">
        <x:f>INT(ABS(K670-K669)*'공식·설정'!$B$8/K669)</x:f>
        <x:v>746</x:v>
      </x:c>
      <x:c r="Y669" s="68" t="n">
        <x:f>X669-W669</x:f>
        <x:v>0</x:v>
      </x:c>
      <x:c r="Z669" s="66" t="n">
        <x:f>W669/'공식·설정'!$B$8</x:f>
        <x:v>0.011383056640625</x:v>
      </x:c>
      <x:c r="AA669" s="66" t="n">
        <x:f>X669/'공식·설정'!$B$8</x:f>
        <x:v>0.011383056640625</x:v>
      </x:c>
      <x:c r="AB669" s="67" t="str">
        <x:f>IF(AND(I669=0,L669=0,Q669=0,T669=0,Y669=0),"PASS","FAIL")</x:f>
        <x:v>PASS</x:v>
      </x:c>
    </x:row>
    <x:row r="670" ht="18" customHeight="1">
      <x:c r="A670" s="14" t="n">
        <x:v>773</x:v>
      </x:c>
      <x:c r="B670" s="14" t="n">
        <x:v>665</x:v>
      </x:c>
      <x:c r="C670" s="14" t="n">
        <x:v>770</x:v>
      </x:c>
      <x:c r="D670" s="14" t="n">
        <x:v>364398</x:v>
      </x:c>
      <x:c r="E670" s="14" t="n">
        <x:v>784</x:v>
      </x:c>
      <x:c r="F670" s="14" t="n">
        <x:v>423854</x:v>
      </x:c>
      <x:c r="G670" s="14" t="n">
        <x:v>377138</x:v>
      </x:c>
      <x:c r="H670" s="14" t="n">
        <x:f>INT((F670-D670)*(A670-C670)/(E670-C670))+D670</x:f>
        <x:v>377138</x:v>
      </x:c>
      <x:c r="I670" s="68" t="n">
        <x:f>H670-G670</x:f>
        <x:v>0</x:v>
      </x:c>
      <x:c r="J670" s="14" t="n">
        <x:v>2455274</x:v>
      </x:c>
      <x:c r="K670" s="14" t="n">
        <x:f>INT(H670*'공식·설정'!$B$10/'공식·설정'!$B$15)</x:f>
        <x:v>2455274</x:v>
      </x:c>
      <x:c r="L670" s="68" t="n">
        <x:f>K670-J670</x:f>
        <x:v>0</x:v>
      </x:c>
      <x:c r="M670" s="65" t="n">
        <x:f>J670/'공식·설정'!$B$7</x:f>
        <x:v>9590.9140625</x:v>
      </x:c>
      <x:c r="N670" s="65" t="n">
        <x:f>K670/'공식·설정'!$B$7</x:f>
        <x:v>9590.9140625</x:v>
      </x:c>
      <x:c r="O670" s="14" t="n">
        <x:v>959</x:v>
      </x:c>
      <x:c r="P670" s="14" t="n">
        <x:f>MIN(32767,MAX(0,INT((K670+INT('공식·설정'!$B$12/2))/'공식·설정'!$B$12)))</x:f>
        <x:v>959</x:v>
      </x:c>
      <x:c r="Q670" s="68" t="n">
        <x:f>P670-O670</x:f>
        <x:v>0</x:v>
      </x:c>
      <x:c r="R670" s="14" t="n">
        <x:v>2463488</x:v>
      </x:c>
      <x:c r="S670" s="14" t="n">
        <x:f>P670*'공식·설정'!$B$12+'공식·설정'!$B$14</x:f>
        <x:v>2463488</x:v>
      </x:c>
      <x:c r="T670" s="68" t="n">
        <x:f>S670-R670</x:f>
        <x:v>0</x:v>
      </x:c>
      <x:c r="U670" s="65" t="n">
        <x:f>R670/'공식·설정'!$B$7</x:f>
        <x:v>9623</x:v>
      </x:c>
      <x:c r="V670" s="65" t="n">
        <x:f>S670/'공식·설정'!$B$7</x:f>
        <x:v>9623</x:v>
      </x:c>
      <x:c r="W670" s="14" t="n">
        <x:v>738</x:v>
      </x:c>
      <x:c r="X670" s="14" t="n">
        <x:f>INT(ABS(K671-K670)*'공식·설정'!$B$8/K670)</x:f>
        <x:v>738</x:v>
      </x:c>
      <x:c r="Y670" s="68" t="n">
        <x:f>X670-W670</x:f>
        <x:v>0</x:v>
      </x:c>
      <x:c r="Z670" s="66" t="n">
        <x:f>W670/'공식·설정'!$B$8</x:f>
        <x:v>0.011260986328125</x:v>
      </x:c>
      <x:c r="AA670" s="66" t="n">
        <x:f>X670/'공식·설정'!$B$8</x:f>
        <x:v>0.011260986328125</x:v>
      </x:c>
      <x:c r="AB670" s="67" t="str">
        <x:f>IF(AND(I670=0,L670=0,Q670=0,T670=0,Y670=0),"PASS","FAIL")</x:f>
        <x:v>PASS</x:v>
      </x:c>
    </x:row>
    <x:row r="671" ht="18" customHeight="1">
      <x:c r="A671" s="14" t="n">
        <x:v>774</x:v>
      </x:c>
      <x:c r="B671" s="14" t="n">
        <x:v>666</x:v>
      </x:c>
      <x:c r="C671" s="14" t="n">
        <x:v>770</x:v>
      </x:c>
      <x:c r="D671" s="14" t="n">
        <x:v>364398</x:v>
      </x:c>
      <x:c r="E671" s="14" t="n">
        <x:v>784</x:v>
      </x:c>
      <x:c r="F671" s="14" t="n">
        <x:v>423854</x:v>
      </x:c>
      <x:c r="G671" s="14" t="n">
        <x:v>381385</x:v>
      </x:c>
      <x:c r="H671" s="14" t="n">
        <x:f>INT((F671-D671)*(A671-C671)/(E671-C671))+D671</x:f>
        <x:v>381385</x:v>
      </x:c>
      <x:c r="I671" s="68" t="n">
        <x:f>H671-G671</x:f>
        <x:v>0</x:v>
      </x:c>
      <x:c r="J671" s="14" t="n">
        <x:v>2482923</x:v>
      </x:c>
      <x:c r="K671" s="14" t="n">
        <x:f>INT(H671*'공식·설정'!$B$10/'공식·설정'!$B$15)</x:f>
        <x:v>2482923</x:v>
      </x:c>
      <x:c r="L671" s="68" t="n">
        <x:f>K671-J671</x:f>
        <x:v>0</x:v>
      </x:c>
      <x:c r="M671" s="65" t="n">
        <x:f>J671/'공식·설정'!$B$7</x:f>
        <x:v>9698.91796875</x:v>
      </x:c>
      <x:c r="N671" s="65" t="n">
        <x:f>K671/'공식·설정'!$B$7</x:f>
        <x:v>9698.91796875</x:v>
      </x:c>
      <x:c r="O671" s="14" t="n">
        <x:v>970</x:v>
      </x:c>
      <x:c r="P671" s="14" t="n">
        <x:f>MIN(32767,MAX(0,INT((K671+INT('공식·설정'!$B$12/2))/'공식·설정'!$B$12)))</x:f>
        <x:v>970</x:v>
      </x:c>
      <x:c r="Q671" s="68" t="n">
        <x:f>P671-O671</x:f>
        <x:v>0</x:v>
      </x:c>
      <x:c r="R671" s="14" t="n">
        <x:v>2491648</x:v>
      </x:c>
      <x:c r="S671" s="14" t="n">
        <x:f>P671*'공식·설정'!$B$12+'공식·설정'!$B$14</x:f>
        <x:v>2491648</x:v>
      </x:c>
      <x:c r="T671" s="68" t="n">
        <x:f>S671-R671</x:f>
        <x:v>0</x:v>
      </x:c>
      <x:c r="U671" s="65" t="n">
        <x:f>R671/'공식·설정'!$B$7</x:f>
        <x:v>9733</x:v>
      </x:c>
      <x:c r="V671" s="65" t="n">
        <x:f>S671/'공식·설정'!$B$7</x:f>
        <x:v>9733</x:v>
      </x:c>
      <x:c r="W671" s="14" t="n">
        <x:v>729</x:v>
      </x:c>
      <x:c r="X671" s="14" t="n">
        <x:f>INT(ABS(K672-K671)*'공식·설정'!$B$8/K671)</x:f>
        <x:v>729</x:v>
      </x:c>
      <x:c r="Y671" s="68" t="n">
        <x:f>X671-W671</x:f>
        <x:v>0</x:v>
      </x:c>
      <x:c r="Z671" s="66" t="n">
        <x:f>W671/'공식·설정'!$B$8</x:f>
        <x:v>0.0111236572265625</x:v>
      </x:c>
      <x:c r="AA671" s="66" t="n">
        <x:f>X671/'공식·설정'!$B$8</x:f>
        <x:v>0.0111236572265625</x:v>
      </x:c>
      <x:c r="AB671" s="67" t="str">
        <x:f>IF(AND(I671=0,L671=0,Q671=0,T671=0,Y671=0),"PASS","FAIL")</x:f>
        <x:v>PASS</x:v>
      </x:c>
    </x:row>
    <x:row r="672" ht="18" customHeight="1">
      <x:c r="A672" s="14" t="n">
        <x:v>775</x:v>
      </x:c>
      <x:c r="B672" s="14" t="n">
        <x:v>667</x:v>
      </x:c>
      <x:c r="C672" s="14" t="n">
        <x:v>770</x:v>
      </x:c>
      <x:c r="D672" s="14" t="n">
        <x:v>364398</x:v>
      </x:c>
      <x:c r="E672" s="14" t="n">
        <x:v>784</x:v>
      </x:c>
      <x:c r="F672" s="14" t="n">
        <x:v>423854</x:v>
      </x:c>
      <x:c r="G672" s="14" t="n">
        <x:v>385632</x:v>
      </x:c>
      <x:c r="H672" s="14" t="n">
        <x:f>INT((F672-D672)*(A672-C672)/(E672-C672))+D672</x:f>
        <x:v>385632</x:v>
      </x:c>
      <x:c r="I672" s="68" t="n">
        <x:f>H672-G672</x:f>
        <x:v>0</x:v>
      </x:c>
      <x:c r="J672" s="14" t="n">
        <x:v>2510573</x:v>
      </x:c>
      <x:c r="K672" s="14" t="n">
        <x:f>INT(H672*'공식·설정'!$B$10/'공식·설정'!$B$15)</x:f>
        <x:v>2510573</x:v>
      </x:c>
      <x:c r="L672" s="68" t="n">
        <x:f>K672-J672</x:f>
        <x:v>0</x:v>
      </x:c>
      <x:c r="M672" s="65" t="n">
        <x:f>J672/'공식·설정'!$B$7</x:f>
        <x:v>9806.92578125</x:v>
      </x:c>
      <x:c r="N672" s="65" t="n">
        <x:f>K672/'공식·설정'!$B$7</x:f>
        <x:v>9806.92578125</x:v>
      </x:c>
      <x:c r="O672" s="14" t="n">
        <x:v>981</x:v>
      </x:c>
      <x:c r="P672" s="14" t="n">
        <x:f>MIN(32767,MAX(0,INT((K672+INT('공식·설정'!$B$12/2))/'공식·설정'!$B$12)))</x:f>
        <x:v>981</x:v>
      </x:c>
      <x:c r="Q672" s="68" t="n">
        <x:f>P672-O672</x:f>
        <x:v>0</x:v>
      </x:c>
      <x:c r="R672" s="14" t="n">
        <x:v>2519808</x:v>
      </x:c>
      <x:c r="S672" s="14" t="n">
        <x:f>P672*'공식·설정'!$B$12+'공식·설정'!$B$14</x:f>
        <x:v>2519808</x:v>
      </x:c>
      <x:c r="T672" s="68" t="n">
        <x:f>S672-R672</x:f>
        <x:v>0</x:v>
      </x:c>
      <x:c r="U672" s="65" t="n">
        <x:f>R672/'공식·설정'!$B$7</x:f>
        <x:v>9843</x:v>
      </x:c>
      <x:c r="V672" s="65" t="n">
        <x:f>S672/'공식·설정'!$B$7</x:f>
        <x:v>9843</x:v>
      </x:c>
      <x:c r="W672" s="14" t="n">
        <x:v>721</x:v>
      </x:c>
      <x:c r="X672" s="14" t="n">
        <x:f>INT(ABS(K673-K672)*'공식·설정'!$B$8/K672)</x:f>
        <x:v>721</x:v>
      </x:c>
      <x:c r="Y672" s="68" t="n">
        <x:f>X672-W672</x:f>
        <x:v>0</x:v>
      </x:c>
      <x:c r="Z672" s="66" t="n">
        <x:f>W672/'공식·설정'!$B$8</x:f>
        <x:v>0.0110015869140625</x:v>
      </x:c>
      <x:c r="AA672" s="66" t="n">
        <x:f>X672/'공식·설정'!$B$8</x:f>
        <x:v>0.0110015869140625</x:v>
      </x:c>
      <x:c r="AB672" s="67" t="str">
        <x:f>IF(AND(I672=0,L672=0,Q672=0,T672=0,Y672=0),"PASS","FAIL")</x:f>
        <x:v>PASS</x:v>
      </x:c>
    </x:row>
    <x:row r="673" ht="18" customHeight="1">
      <x:c r="A673" s="14" t="n">
        <x:v>776</x:v>
      </x:c>
      <x:c r="B673" s="14" t="n">
        <x:v>668</x:v>
      </x:c>
      <x:c r="C673" s="14" t="n">
        <x:v>770</x:v>
      </x:c>
      <x:c r="D673" s="14" t="n">
        <x:v>364398</x:v>
      </x:c>
      <x:c r="E673" s="14" t="n">
        <x:v>784</x:v>
      </x:c>
      <x:c r="F673" s="14" t="n">
        <x:v>423854</x:v>
      </x:c>
      <x:c r="G673" s="14" t="n">
        <x:v>389879</x:v>
      </x:c>
      <x:c r="H673" s="14" t="n">
        <x:f>INT((F673-D673)*(A673-C673)/(E673-C673))+D673</x:f>
        <x:v>389879</x:v>
      </x:c>
      <x:c r="I673" s="68" t="n">
        <x:f>H673-G673</x:f>
        <x:v>0</x:v>
      </x:c>
      <x:c r="J673" s="14" t="n">
        <x:v>2538222</x:v>
      </x:c>
      <x:c r="K673" s="14" t="n">
        <x:f>INT(H673*'공식·설정'!$B$10/'공식·설정'!$B$15)</x:f>
        <x:v>2538222</x:v>
      </x:c>
      <x:c r="L673" s="68" t="n">
        <x:f>K673-J673</x:f>
        <x:v>0</x:v>
      </x:c>
      <x:c r="M673" s="65" t="n">
        <x:f>J673/'공식·설정'!$B$7</x:f>
        <x:v>9914.9296875</x:v>
      </x:c>
      <x:c r="N673" s="65" t="n">
        <x:f>K673/'공식·설정'!$B$7</x:f>
        <x:v>9914.9296875</x:v>
      </x:c>
      <x:c r="O673" s="14" t="n">
        <x:v>991</x:v>
      </x:c>
      <x:c r="P673" s="14" t="n">
        <x:f>MIN(32767,MAX(0,INT((K673+INT('공식·설정'!$B$12/2))/'공식·설정'!$B$12)))</x:f>
        <x:v>991</x:v>
      </x:c>
      <x:c r="Q673" s="68" t="n">
        <x:f>P673-O673</x:f>
        <x:v>0</x:v>
      </x:c>
      <x:c r="R673" s="14" t="n">
        <x:v>2545408</x:v>
      </x:c>
      <x:c r="S673" s="14" t="n">
        <x:f>P673*'공식·설정'!$B$12+'공식·설정'!$B$14</x:f>
        <x:v>2545408</x:v>
      </x:c>
      <x:c r="T673" s="68" t="n">
        <x:f>S673-R673</x:f>
        <x:v>0</x:v>
      </x:c>
      <x:c r="U673" s="65" t="n">
        <x:f>R673/'공식·설정'!$B$7</x:f>
        <x:v>9943</x:v>
      </x:c>
      <x:c r="V673" s="65" t="n">
        <x:f>S673/'공식·설정'!$B$7</x:f>
        <x:v>9943</x:v>
      </x:c>
      <x:c r="W673" s="14" t="n">
        <x:v>713</x:v>
      </x:c>
      <x:c r="X673" s="14" t="n">
        <x:f>INT(ABS(K674-K673)*'공식·설정'!$B$8/K673)</x:f>
        <x:v>713</x:v>
      </x:c>
      <x:c r="Y673" s="68" t="n">
        <x:f>X673-W673</x:f>
        <x:v>0</x:v>
      </x:c>
      <x:c r="Z673" s="66" t="n">
        <x:f>W673/'공식·설정'!$B$8</x:f>
        <x:v>0.0108795166015625</x:v>
      </x:c>
      <x:c r="AA673" s="66" t="n">
        <x:f>X673/'공식·설정'!$B$8</x:f>
        <x:v>0.0108795166015625</x:v>
      </x:c>
      <x:c r="AB673" s="67" t="str">
        <x:f>IF(AND(I673=0,L673=0,Q673=0,T673=0,Y673=0),"PASS","FAIL")</x:f>
        <x:v>PASS</x:v>
      </x:c>
    </x:row>
    <x:row r="674" ht="18" customHeight="1">
      <x:c r="A674" s="14" t="n">
        <x:v>777</x:v>
      </x:c>
      <x:c r="B674" s="14" t="n">
        <x:v>669</x:v>
      </x:c>
      <x:c r="C674" s="14" t="n">
        <x:v>770</x:v>
      </x:c>
      <x:c r="D674" s="14" t="n">
        <x:v>364398</x:v>
      </x:c>
      <x:c r="E674" s="14" t="n">
        <x:v>784</x:v>
      </x:c>
      <x:c r="F674" s="14" t="n">
        <x:v>423854</x:v>
      </x:c>
      <x:c r="G674" s="14" t="n">
        <x:v>394126</x:v>
      </x:c>
      <x:c r="H674" s="14" t="n">
        <x:f>INT((F674-D674)*(A674-C674)/(E674-C674))+D674</x:f>
        <x:v>394126</x:v>
      </x:c>
      <x:c r="I674" s="68" t="n">
        <x:f>H674-G674</x:f>
        <x:v>0</x:v>
      </x:c>
      <x:c r="J674" s="14" t="n">
        <x:v>2565871</x:v>
      </x:c>
      <x:c r="K674" s="14" t="n">
        <x:f>INT(H674*'공식·설정'!$B$10/'공식·설정'!$B$15)</x:f>
        <x:v>2565871</x:v>
      </x:c>
      <x:c r="L674" s="68" t="n">
        <x:f>K674-J674</x:f>
        <x:v>0</x:v>
      </x:c>
      <x:c r="M674" s="65" t="n">
        <x:f>J674/'공식·설정'!$B$7</x:f>
        <x:v>10022.93359375</x:v>
      </x:c>
      <x:c r="N674" s="65" t="n">
        <x:f>K674/'공식·설정'!$B$7</x:f>
        <x:v>10022.93359375</x:v>
      </x:c>
      <x:c r="O674" s="14" t="n">
        <x:v>1002</x:v>
      </x:c>
      <x:c r="P674" s="14" t="n">
        <x:f>MIN(32767,MAX(0,INT((K674+INT('공식·설정'!$B$12/2))/'공식·설정'!$B$12)))</x:f>
        <x:v>1002</x:v>
      </x:c>
      <x:c r="Q674" s="68" t="n">
        <x:f>P674-O674</x:f>
        <x:v>0</x:v>
      </x:c>
      <x:c r="R674" s="14" t="n">
        <x:v>2573568</x:v>
      </x:c>
      <x:c r="S674" s="14" t="n">
        <x:f>P674*'공식·설정'!$B$12+'공식·설정'!$B$14</x:f>
        <x:v>2573568</x:v>
      </x:c>
      <x:c r="T674" s="68" t="n">
        <x:f>S674-R674</x:f>
        <x:v>0</x:v>
      </x:c>
      <x:c r="U674" s="65" t="n">
        <x:f>R674/'공식·설정'!$B$7</x:f>
        <x:v>10053</x:v>
      </x:c>
      <x:c r="V674" s="65" t="n">
        <x:f>S674/'공식·설정'!$B$7</x:f>
        <x:v>10053</x:v>
      </x:c>
      <x:c r="W674" s="14" t="n">
        <x:v>706</x:v>
      </x:c>
      <x:c r="X674" s="14" t="n">
        <x:f>INT(ABS(K675-K674)*'공식·설정'!$B$8/K674)</x:f>
        <x:v>706</x:v>
      </x:c>
      <x:c r="Y674" s="68" t="n">
        <x:f>X674-W674</x:f>
        <x:v>0</x:v>
      </x:c>
      <x:c r="Z674" s="66" t="n">
        <x:f>W674/'공식·설정'!$B$8</x:f>
        <x:v>0.010772705078125</x:v>
      </x:c>
      <x:c r="AA674" s="66" t="n">
        <x:f>X674/'공식·설정'!$B$8</x:f>
        <x:v>0.010772705078125</x:v>
      </x:c>
      <x:c r="AB674" s="67" t="str">
        <x:f>IF(AND(I674=0,L674=0,Q674=0,T674=0,Y674=0),"PASS","FAIL")</x:f>
        <x:v>PASS</x:v>
      </x:c>
    </x:row>
    <x:row r="675" ht="18" customHeight="1">
      <x:c r="A675" s="14" t="n">
        <x:v>778</x:v>
      </x:c>
      <x:c r="B675" s="14" t="n">
        <x:v>670</x:v>
      </x:c>
      <x:c r="C675" s="14" t="n">
        <x:v>770</x:v>
      </x:c>
      <x:c r="D675" s="14" t="n">
        <x:v>364398</x:v>
      </x:c>
      <x:c r="E675" s="14" t="n">
        <x:v>784</x:v>
      </x:c>
      <x:c r="F675" s="14" t="n">
        <x:v>423854</x:v>
      </x:c>
      <x:c r="G675" s="14" t="n">
        <x:v>398372</x:v>
      </x:c>
      <x:c r="H675" s="14" t="n">
        <x:f>INT((F675-D675)*(A675-C675)/(E675-C675))+D675</x:f>
        <x:v>398372</x:v>
      </x:c>
      <x:c r="I675" s="68" t="n">
        <x:f>H675-G675</x:f>
        <x:v>0</x:v>
      </x:c>
      <x:c r="J675" s="14" t="n">
        <x:v>2593514</x:v>
      </x:c>
      <x:c r="K675" s="14" t="n">
        <x:f>INT(H675*'공식·설정'!$B$10/'공식·설정'!$B$15)</x:f>
        <x:v>2593514</x:v>
      </x:c>
      <x:c r="L675" s="68" t="n">
        <x:f>K675-J675</x:f>
        <x:v>0</x:v>
      </x:c>
      <x:c r="M675" s="65" t="n">
        <x:f>J675/'공식·설정'!$B$7</x:f>
        <x:v>10130.9140625</x:v>
      </x:c>
      <x:c r="N675" s="65" t="n">
        <x:f>K675/'공식·설정'!$B$7</x:f>
        <x:v>10130.9140625</x:v>
      </x:c>
      <x:c r="O675" s="14" t="n">
        <x:v>1013</x:v>
      </x:c>
      <x:c r="P675" s="14" t="n">
        <x:f>MIN(32767,MAX(0,INT((K675+INT('공식·설정'!$B$12/2))/'공식·설정'!$B$12)))</x:f>
        <x:v>1013</x:v>
      </x:c>
      <x:c r="Q675" s="68" t="n">
        <x:f>P675-O675</x:f>
        <x:v>0</x:v>
      </x:c>
      <x:c r="R675" s="14" t="n">
        <x:v>2601728</x:v>
      </x:c>
      <x:c r="S675" s="14" t="n">
        <x:f>P675*'공식·설정'!$B$12+'공식·설정'!$B$14</x:f>
        <x:v>2601728</x:v>
      </x:c>
      <x:c r="T675" s="68" t="n">
        <x:f>S675-R675</x:f>
        <x:v>0</x:v>
      </x:c>
      <x:c r="U675" s="65" t="n">
        <x:f>R675/'공식·설정'!$B$7</x:f>
        <x:v>10163</x:v>
      </x:c>
      <x:c r="V675" s="65" t="n">
        <x:f>S675/'공식·설정'!$B$7</x:f>
        <x:v>10163</x:v>
      </x:c>
      <x:c r="W675" s="14" t="n">
        <x:v>698</x:v>
      </x:c>
      <x:c r="X675" s="14" t="n">
        <x:f>INT(ABS(K676-K675)*'공식·설정'!$B$8/K675)</x:f>
        <x:v>698</x:v>
      </x:c>
      <x:c r="Y675" s="68" t="n">
        <x:f>X675-W675</x:f>
        <x:v>0</x:v>
      </x:c>
      <x:c r="Z675" s="66" t="n">
        <x:f>W675/'공식·설정'!$B$8</x:f>
        <x:v>0.010650634765625</x:v>
      </x:c>
      <x:c r="AA675" s="66" t="n">
        <x:f>X675/'공식·설정'!$B$8</x:f>
        <x:v>0.010650634765625</x:v>
      </x:c>
      <x:c r="AB675" s="67" t="str">
        <x:f>IF(AND(I675=0,L675=0,Q675=0,T675=0,Y675=0),"PASS","FAIL")</x:f>
        <x:v>PASS</x:v>
      </x:c>
    </x:row>
    <x:row r="676" ht="18" customHeight="1">
      <x:c r="A676" s="14" t="n">
        <x:v>779</x:v>
      </x:c>
      <x:c r="B676" s="14" t="n">
        <x:v>671</x:v>
      </x:c>
      <x:c r="C676" s="14" t="n">
        <x:v>770</x:v>
      </x:c>
      <x:c r="D676" s="14" t="n">
        <x:v>364398</x:v>
      </x:c>
      <x:c r="E676" s="14" t="n">
        <x:v>784</x:v>
      </x:c>
      <x:c r="F676" s="14" t="n">
        <x:v>423854</x:v>
      </x:c>
      <x:c r="G676" s="14" t="n">
        <x:v>402619</x:v>
      </x:c>
      <x:c r="H676" s="14" t="n">
        <x:f>INT((F676-D676)*(A676-C676)/(E676-C676))+D676</x:f>
        <x:v>402619</x:v>
      </x:c>
      <x:c r="I676" s="68" t="n">
        <x:f>H676-G676</x:f>
        <x:v>0</x:v>
      </x:c>
      <x:c r="J676" s="14" t="n">
        <x:v>2621163</x:v>
      </x:c>
      <x:c r="K676" s="14" t="n">
        <x:f>INT(H676*'공식·설정'!$B$10/'공식·설정'!$B$15)</x:f>
        <x:v>2621163</x:v>
      </x:c>
      <x:c r="L676" s="68" t="n">
        <x:f>K676-J676</x:f>
        <x:v>0</x:v>
      </x:c>
      <x:c r="M676" s="65" t="n">
        <x:f>J676/'공식·설정'!$B$7</x:f>
        <x:v>10238.91796875</x:v>
      </x:c>
      <x:c r="N676" s="65" t="n">
        <x:f>K676/'공식·설정'!$B$7</x:f>
        <x:v>10238.91796875</x:v>
      </x:c>
      <x:c r="O676" s="14" t="n">
        <x:v>1024</x:v>
      </x:c>
      <x:c r="P676" s="14" t="n">
        <x:f>MIN(32767,MAX(0,INT((K676+INT('공식·설정'!$B$12/2))/'공식·설정'!$B$12)))</x:f>
        <x:v>1024</x:v>
      </x:c>
      <x:c r="Q676" s="68" t="n">
        <x:f>P676-O676</x:f>
        <x:v>0</x:v>
      </x:c>
      <x:c r="R676" s="14" t="n">
        <x:v>2629888</x:v>
      </x:c>
      <x:c r="S676" s="14" t="n">
        <x:f>P676*'공식·설정'!$B$12+'공식·설정'!$B$14</x:f>
        <x:v>2629888</x:v>
      </x:c>
      <x:c r="T676" s="68" t="n">
        <x:f>S676-R676</x:f>
        <x:v>0</x:v>
      </x:c>
      <x:c r="U676" s="65" t="n">
        <x:f>R676/'공식·설정'!$B$7</x:f>
        <x:v>10273</x:v>
      </x:c>
      <x:c r="V676" s="65" t="n">
        <x:f>S676/'공식·설정'!$B$7</x:f>
        <x:v>10273</x:v>
      </x:c>
      <x:c r="W676" s="14" t="n">
        <x:v>691</x:v>
      </x:c>
      <x:c r="X676" s="14" t="n">
        <x:f>INT(ABS(K677-K676)*'공식·설정'!$B$8/K676)</x:f>
        <x:v>691</x:v>
      </x:c>
      <x:c r="Y676" s="68" t="n">
        <x:f>X676-W676</x:f>
        <x:v>0</x:v>
      </x:c>
      <x:c r="Z676" s="66" t="n">
        <x:f>W676/'공식·설정'!$B$8</x:f>
        <x:v>0.0105438232421875</x:v>
      </x:c>
      <x:c r="AA676" s="66" t="n">
        <x:f>X676/'공식·설정'!$B$8</x:f>
        <x:v>0.0105438232421875</x:v>
      </x:c>
      <x:c r="AB676" s="67" t="str">
        <x:f>IF(AND(I676=0,L676=0,Q676=0,T676=0,Y676=0),"PASS","FAIL")</x:f>
        <x:v>PASS</x:v>
      </x:c>
    </x:row>
    <x:row r="677" ht="18" customHeight="1">
      <x:c r="A677" s="14" t="n">
        <x:v>780</x:v>
      </x:c>
      <x:c r="B677" s="14" t="n">
        <x:v>672</x:v>
      </x:c>
      <x:c r="C677" s="14" t="n">
        <x:v>770</x:v>
      </x:c>
      <x:c r="D677" s="14" t="n">
        <x:v>364398</x:v>
      </x:c>
      <x:c r="E677" s="14" t="n">
        <x:v>784</x:v>
      </x:c>
      <x:c r="F677" s="14" t="n">
        <x:v>423854</x:v>
      </x:c>
      <x:c r="G677" s="14" t="n">
        <x:v>406866</x:v>
      </x:c>
      <x:c r="H677" s="14" t="n">
        <x:f>INT((F677-D677)*(A677-C677)/(E677-C677))+D677</x:f>
        <x:v>406866</x:v>
      </x:c>
      <x:c r="I677" s="68" t="n">
        <x:f>H677-G677</x:f>
        <x:v>0</x:v>
      </x:c>
      <x:c r="J677" s="14" t="n">
        <x:v>2648812</x:v>
      </x:c>
      <x:c r="K677" s="14" t="n">
        <x:f>INT(H677*'공식·설정'!$B$10/'공식·설정'!$B$15)</x:f>
        <x:v>2648812</x:v>
      </x:c>
      <x:c r="L677" s="68" t="n">
        <x:f>K677-J677</x:f>
        <x:v>0</x:v>
      </x:c>
      <x:c r="M677" s="65" t="n">
        <x:f>J677/'공식·설정'!$B$7</x:f>
        <x:v>10346.921875</x:v>
      </x:c>
      <x:c r="N677" s="65" t="n">
        <x:f>K677/'공식·설정'!$B$7</x:f>
        <x:v>10346.921875</x:v>
      </x:c>
      <x:c r="O677" s="14" t="n">
        <x:v>1035</x:v>
      </x:c>
      <x:c r="P677" s="14" t="n">
        <x:f>MIN(32767,MAX(0,INT((K677+INT('공식·설정'!$B$12/2))/'공식·설정'!$B$12)))</x:f>
        <x:v>1035</x:v>
      </x:c>
      <x:c r="Q677" s="68" t="n">
        <x:f>P677-O677</x:f>
        <x:v>0</x:v>
      </x:c>
      <x:c r="R677" s="14" t="n">
        <x:v>2658048</x:v>
      </x:c>
      <x:c r="S677" s="14" t="n">
        <x:f>P677*'공식·설정'!$B$12+'공식·설정'!$B$14</x:f>
        <x:v>2658048</x:v>
      </x:c>
      <x:c r="T677" s="68" t="n">
        <x:f>S677-R677</x:f>
        <x:v>0</x:v>
      </x:c>
      <x:c r="U677" s="65" t="n">
        <x:f>R677/'공식·설정'!$B$7</x:f>
        <x:v>10383</x:v>
      </x:c>
      <x:c r="V677" s="65" t="n">
        <x:f>S677/'공식·설정'!$B$7</x:f>
        <x:v>10383</x:v>
      </x:c>
      <x:c r="W677" s="14" t="n">
        <x:v>684</x:v>
      </x:c>
      <x:c r="X677" s="14" t="n">
        <x:f>INT(ABS(K678-K677)*'공식·설정'!$B$8/K677)</x:f>
        <x:v>684</x:v>
      </x:c>
      <x:c r="Y677" s="68" t="n">
        <x:f>X677-W677</x:f>
        <x:v>0</x:v>
      </x:c>
      <x:c r="Z677" s="66" t="n">
        <x:f>W677/'공식·설정'!$B$8</x:f>
        <x:v>0.01043701171875</x:v>
      </x:c>
      <x:c r="AA677" s="66" t="n">
        <x:f>X677/'공식·설정'!$B$8</x:f>
        <x:v>0.01043701171875</x:v>
      </x:c>
      <x:c r="AB677" s="67" t="str">
        <x:f>IF(AND(I677=0,L677=0,Q677=0,T677=0,Y677=0),"PASS","FAIL")</x:f>
        <x:v>PASS</x:v>
      </x:c>
    </x:row>
    <x:row r="678" ht="18" customHeight="1">
      <x:c r="A678" s="14" t="n">
        <x:v>781</x:v>
      </x:c>
      <x:c r="B678" s="14" t="n">
        <x:v>673</x:v>
      </x:c>
      <x:c r="C678" s="14" t="n">
        <x:v>770</x:v>
      </x:c>
      <x:c r="D678" s="14" t="n">
        <x:v>364398</x:v>
      </x:c>
      <x:c r="E678" s="14" t="n">
        <x:v>784</x:v>
      </x:c>
      <x:c r="F678" s="14" t="n">
        <x:v>423854</x:v>
      </x:c>
      <x:c r="G678" s="14" t="n">
        <x:v>411113</x:v>
      </x:c>
      <x:c r="H678" s="14" t="n">
        <x:f>INT((F678-D678)*(A678-C678)/(E678-C678))+D678</x:f>
        <x:v>411113</x:v>
      </x:c>
      <x:c r="I678" s="68" t="n">
        <x:f>H678-G678</x:f>
        <x:v>0</x:v>
      </x:c>
      <x:c r="J678" s="14" t="n">
        <x:v>2676461</x:v>
      </x:c>
      <x:c r="K678" s="14" t="n">
        <x:f>INT(H678*'공식·설정'!$B$10/'공식·설정'!$B$15)</x:f>
        <x:v>2676461</x:v>
      </x:c>
      <x:c r="L678" s="68" t="n">
        <x:f>K678-J678</x:f>
        <x:v>0</x:v>
      </x:c>
      <x:c r="M678" s="65" t="n">
        <x:f>J678/'공식·설정'!$B$7</x:f>
        <x:v>10454.92578125</x:v>
      </x:c>
      <x:c r="N678" s="65" t="n">
        <x:f>K678/'공식·설정'!$B$7</x:f>
        <x:v>10454.92578125</x:v>
      </x:c>
      <x:c r="O678" s="14" t="n">
        <x:v>1045</x:v>
      </x:c>
      <x:c r="P678" s="14" t="n">
        <x:f>MIN(32767,MAX(0,INT((K678+INT('공식·설정'!$B$12/2))/'공식·설정'!$B$12)))</x:f>
        <x:v>1045</x:v>
      </x:c>
      <x:c r="Q678" s="68" t="n">
        <x:f>P678-O678</x:f>
        <x:v>0</x:v>
      </x:c>
      <x:c r="R678" s="14" t="n">
        <x:v>2683648</x:v>
      </x:c>
      <x:c r="S678" s="14" t="n">
        <x:f>P678*'공식·설정'!$B$12+'공식·설정'!$B$14</x:f>
        <x:v>2683648</x:v>
      </x:c>
      <x:c r="T678" s="68" t="n">
        <x:f>S678-R678</x:f>
        <x:v>0</x:v>
      </x:c>
      <x:c r="U678" s="65" t="n">
        <x:f>R678/'공식·설정'!$B$7</x:f>
        <x:v>10483</x:v>
      </x:c>
      <x:c r="V678" s="65" t="n">
        <x:f>S678/'공식·설정'!$B$7</x:f>
        <x:v>10483</x:v>
      </x:c>
      <x:c r="W678" s="14" t="n">
        <x:v>677</x:v>
      </x:c>
      <x:c r="X678" s="14" t="n">
        <x:f>INT(ABS(K679-K678)*'공식·설정'!$B$8/K678)</x:f>
        <x:v>677</x:v>
      </x:c>
      <x:c r="Y678" s="68" t="n">
        <x:f>X678-W678</x:f>
        <x:v>0</x:v>
      </x:c>
      <x:c r="Z678" s="66" t="n">
        <x:f>W678/'공식·설정'!$B$8</x:f>
        <x:v>0.0103302001953125</x:v>
      </x:c>
      <x:c r="AA678" s="66" t="n">
        <x:f>X678/'공식·설정'!$B$8</x:f>
        <x:v>0.0103302001953125</x:v>
      </x:c>
      <x:c r="AB678" s="67" t="str">
        <x:f>IF(AND(I678=0,L678=0,Q678=0,T678=0,Y678=0),"PASS","FAIL")</x:f>
        <x:v>PASS</x:v>
      </x:c>
    </x:row>
    <x:row r="679" ht="18" customHeight="1">
      <x:c r="A679" s="14" t="n">
        <x:v>782</x:v>
      </x:c>
      <x:c r="B679" s="14" t="n">
        <x:v>674</x:v>
      </x:c>
      <x:c r="C679" s="14" t="n">
        <x:v>770</x:v>
      </x:c>
      <x:c r="D679" s="14" t="n">
        <x:v>364398</x:v>
      </x:c>
      <x:c r="E679" s="14" t="n">
        <x:v>784</x:v>
      </x:c>
      <x:c r="F679" s="14" t="n">
        <x:v>423854</x:v>
      </x:c>
      <x:c r="G679" s="14" t="n">
        <x:v>415360</x:v>
      </x:c>
      <x:c r="H679" s="14" t="n">
        <x:f>INT((F679-D679)*(A679-C679)/(E679-C679))+D679</x:f>
        <x:v>415360</x:v>
      </x:c>
      <x:c r="I679" s="68" t="n">
        <x:f>H679-G679</x:f>
        <x:v>0</x:v>
      </x:c>
      <x:c r="J679" s="14" t="n">
        <x:v>2704110</x:v>
      </x:c>
      <x:c r="K679" s="14" t="n">
        <x:f>INT(H679*'공식·설정'!$B$10/'공식·설정'!$B$15)</x:f>
        <x:v>2704110</x:v>
      </x:c>
      <x:c r="L679" s="68" t="n">
        <x:f>K679-J679</x:f>
        <x:v>0</x:v>
      </x:c>
      <x:c r="M679" s="65" t="n">
        <x:f>J679/'공식·설정'!$B$7</x:f>
        <x:v>10562.9296875</x:v>
      </x:c>
      <x:c r="N679" s="65" t="n">
        <x:f>K679/'공식·설정'!$B$7</x:f>
        <x:v>10562.9296875</x:v>
      </x:c>
      <x:c r="O679" s="14" t="n">
        <x:v>1056</x:v>
      </x:c>
      <x:c r="P679" s="14" t="n">
        <x:f>MIN(32767,MAX(0,INT((K679+INT('공식·설정'!$B$12/2))/'공식·설정'!$B$12)))</x:f>
        <x:v>1056</x:v>
      </x:c>
      <x:c r="Q679" s="68" t="n">
        <x:f>P679-O679</x:f>
        <x:v>0</x:v>
      </x:c>
      <x:c r="R679" s="14" t="n">
        <x:v>2711808</x:v>
      </x:c>
      <x:c r="S679" s="14" t="n">
        <x:f>P679*'공식·설정'!$B$12+'공식·설정'!$B$14</x:f>
        <x:v>2711808</x:v>
      </x:c>
      <x:c r="T679" s="68" t="n">
        <x:f>S679-R679</x:f>
        <x:v>0</x:v>
      </x:c>
      <x:c r="U679" s="65" t="n">
        <x:f>R679/'공식·설정'!$B$7</x:f>
        <x:v>10593</x:v>
      </x:c>
      <x:c r="V679" s="65" t="n">
        <x:f>S679/'공식·설정'!$B$7</x:f>
        <x:v>10593</x:v>
      </x:c>
      <x:c r="W679" s="14" t="n">
        <x:v>670</x:v>
      </x:c>
      <x:c r="X679" s="14" t="n">
        <x:f>INT(ABS(K680-K679)*'공식·설정'!$B$8/K679)</x:f>
        <x:v>670</x:v>
      </x:c>
      <x:c r="Y679" s="68" t="n">
        <x:f>X679-W679</x:f>
        <x:v>0</x:v>
      </x:c>
      <x:c r="Z679" s="66" t="n">
        <x:f>W679/'공식·설정'!$B$8</x:f>
        <x:v>0.010223388671875</x:v>
      </x:c>
      <x:c r="AA679" s="66" t="n">
        <x:f>X679/'공식·설정'!$B$8</x:f>
        <x:v>0.010223388671875</x:v>
      </x:c>
      <x:c r="AB679" s="67" t="str">
        <x:f>IF(AND(I679=0,L679=0,Q679=0,T679=0,Y679=0),"PASS","FAIL")</x:f>
        <x:v>PASS</x:v>
      </x:c>
    </x:row>
    <x:row r="680" ht="18" customHeight="1">
      <x:c r="A680" s="14" t="n">
        <x:v>783</x:v>
      </x:c>
      <x:c r="B680" s="14" t="n">
        <x:v>675</x:v>
      </x:c>
      <x:c r="C680" s="14" t="n">
        <x:v>770</x:v>
      </x:c>
      <x:c r="D680" s="14" t="n">
        <x:v>364398</x:v>
      </x:c>
      <x:c r="E680" s="14" t="n">
        <x:v>784</x:v>
      </x:c>
      <x:c r="F680" s="14" t="n">
        <x:v>423854</x:v>
      </x:c>
      <x:c r="G680" s="14" t="n">
        <x:v>419607</x:v>
      </x:c>
      <x:c r="H680" s="14" t="n">
        <x:f>INT((F680-D680)*(A680-C680)/(E680-C680))+D680</x:f>
        <x:v>419607</x:v>
      </x:c>
      <x:c r="I680" s="68" t="n">
        <x:f>H680-G680</x:f>
        <x:v>0</x:v>
      </x:c>
      <x:c r="J680" s="14" t="n">
        <x:v>2731759</x:v>
      </x:c>
      <x:c r="K680" s="14" t="n">
        <x:f>INT(H680*'공식·설정'!$B$10/'공식·설정'!$B$15)</x:f>
        <x:v>2731759</x:v>
      </x:c>
      <x:c r="L680" s="68" t="n">
        <x:f>K680-J680</x:f>
        <x:v>0</x:v>
      </x:c>
      <x:c r="M680" s="65" t="n">
        <x:f>J680/'공식·설정'!$B$7</x:f>
        <x:v>10670.93359375</x:v>
      </x:c>
      <x:c r="N680" s="65" t="n">
        <x:f>K680/'공식·설정'!$B$7</x:f>
        <x:v>10670.93359375</x:v>
      </x:c>
      <x:c r="O680" s="14" t="n">
        <x:v>1067</x:v>
      </x:c>
      <x:c r="P680" s="14" t="n">
        <x:f>MIN(32767,MAX(0,INT((K680+INT('공식·설정'!$B$12/2))/'공식·설정'!$B$12)))</x:f>
        <x:v>1067</x:v>
      </x:c>
      <x:c r="Q680" s="68" t="n">
        <x:f>P680-O680</x:f>
        <x:v>0</x:v>
      </x:c>
      <x:c r="R680" s="14" t="n">
        <x:v>2739968</x:v>
      </x:c>
      <x:c r="S680" s="14" t="n">
        <x:f>P680*'공식·설정'!$B$12+'공식·설정'!$B$14</x:f>
        <x:v>2739968</x:v>
      </x:c>
      <x:c r="T680" s="68" t="n">
        <x:f>S680-R680</x:f>
        <x:v>0</x:v>
      </x:c>
      <x:c r="U680" s="65" t="n">
        <x:f>R680/'공식·설정'!$B$7</x:f>
        <x:v>10703</x:v>
      </x:c>
      <x:c r="V680" s="65" t="n">
        <x:f>S680/'공식·설정'!$B$7</x:f>
        <x:v>10703</x:v>
      </x:c>
      <x:c r="W680" s="14" t="n">
        <x:v>663</x:v>
      </x:c>
      <x:c r="X680" s="14" t="n">
        <x:f>INT(ABS(K681-K680)*'공식·설정'!$B$8/K680)</x:f>
        <x:v>663</x:v>
      </x:c>
      <x:c r="Y680" s="68" t="n">
        <x:f>X680-W680</x:f>
        <x:v>0</x:v>
      </x:c>
      <x:c r="Z680" s="66" t="n">
        <x:f>W680/'공식·설정'!$B$8</x:f>
        <x:v>0.0101165771484375</x:v>
      </x:c>
      <x:c r="AA680" s="66" t="n">
        <x:f>X680/'공식·설정'!$B$8</x:f>
        <x:v>0.0101165771484375</x:v>
      </x:c>
      <x:c r="AB680" s="67" t="str">
        <x:f>IF(AND(I680=0,L680=0,Q680=0,T680=0,Y680=0),"PASS","FAIL")</x:f>
        <x:v>PASS</x:v>
      </x:c>
    </x:row>
    <x:row r="681" ht="18" customHeight="1">
      <x:c r="A681" s="14" t="n">
        <x:v>784</x:v>
      </x:c>
      <x:c r="B681" s="14" t="n">
        <x:v>676</x:v>
      </x:c>
      <x:c r="C681" s="14" t="n">
        <x:v>784</x:v>
      </x:c>
      <x:c r="D681" s="14" t="n">
        <x:v>423854</x:v>
      </x:c>
      <x:c r="E681" s="14" t="n">
        <x:v>798</x:v>
      </x:c>
      <x:c r="F681" s="14" t="n">
        <x:v>493008</x:v>
      </x:c>
      <x:c r="G681" s="14" t="n">
        <x:v>423854</x:v>
      </x:c>
      <x:c r="H681" s="14" t="n">
        <x:f>INT((F681-D681)*(A681-C681)/(E681-C681))+D681</x:f>
        <x:v>423854</x:v>
      </x:c>
      <x:c r="I681" s="68" t="n">
        <x:f>H681-G681</x:f>
        <x:v>0</x:v>
      </x:c>
      <x:c r="J681" s="14" t="n">
        <x:v>2759409</x:v>
      </x:c>
      <x:c r="K681" s="14" t="n">
        <x:f>INT(H681*'공식·설정'!$B$10/'공식·설정'!$B$15)</x:f>
        <x:v>2759409</x:v>
      </x:c>
      <x:c r="L681" s="68" t="n">
        <x:f>K681-J681</x:f>
        <x:v>0</x:v>
      </x:c>
      <x:c r="M681" s="65" t="n">
        <x:f>J681/'공식·설정'!$B$7</x:f>
        <x:v>10778.94140625</x:v>
      </x:c>
      <x:c r="N681" s="65" t="n">
        <x:f>K681/'공식·설정'!$B$7</x:f>
        <x:v>10778.94140625</x:v>
      </x:c>
      <x:c r="O681" s="14" t="n">
        <x:v>1078</x:v>
      </x:c>
      <x:c r="P681" s="14" t="n">
        <x:f>MIN(32767,MAX(0,INT((K681+INT('공식·설정'!$B$12/2))/'공식·설정'!$B$12)))</x:f>
        <x:v>1078</x:v>
      </x:c>
      <x:c r="Q681" s="68" t="n">
        <x:f>P681-O681</x:f>
        <x:v>0</x:v>
      </x:c>
      <x:c r="R681" s="14" t="n">
        <x:v>2768128</x:v>
      </x:c>
      <x:c r="S681" s="14" t="n">
        <x:f>P681*'공식·설정'!$B$12+'공식·설정'!$B$14</x:f>
        <x:v>2768128</x:v>
      </x:c>
      <x:c r="T681" s="68" t="n">
        <x:f>S681-R681</x:f>
        <x:v>0</x:v>
      </x:c>
      <x:c r="U681" s="65" t="n">
        <x:f>R681/'공식·설정'!$B$7</x:f>
        <x:v>10813</x:v>
      </x:c>
      <x:c r="V681" s="65" t="n">
        <x:f>S681/'공식·설정'!$B$7</x:f>
        <x:v>10813</x:v>
      </x:c>
      <x:c r="W681" s="14" t="n">
        <x:v>763</x:v>
      </x:c>
      <x:c r="X681" s="14" t="n">
        <x:f>INT(ABS(K682-K681)*'공식·설정'!$B$8/K681)</x:f>
        <x:v>763</x:v>
      </x:c>
      <x:c r="Y681" s="68" t="n">
        <x:f>X681-W681</x:f>
        <x:v>0</x:v>
      </x:c>
      <x:c r="Z681" s="66" t="n">
        <x:f>W681/'공식·설정'!$B$8</x:f>
        <x:v>0.0116424560546875</x:v>
      </x:c>
      <x:c r="AA681" s="66" t="n">
        <x:f>X681/'공식·설정'!$B$8</x:f>
        <x:v>0.0116424560546875</x:v>
      </x:c>
      <x:c r="AB681" s="67" t="str">
        <x:f>IF(AND(I681=0,L681=0,Q681=0,T681=0,Y681=0),"PASS","FAIL")</x:f>
        <x:v>PASS</x:v>
      </x:c>
    </x:row>
    <x:row r="682" ht="18" customHeight="1">
      <x:c r="A682" s="14" t="n">
        <x:v>785</x:v>
      </x:c>
      <x:c r="B682" s="14" t="n">
        <x:v>677</x:v>
      </x:c>
      <x:c r="C682" s="14" t="n">
        <x:v>784</x:v>
      </x:c>
      <x:c r="D682" s="14" t="n">
        <x:v>423854</x:v>
      </x:c>
      <x:c r="E682" s="14" t="n">
        <x:v>798</x:v>
      </x:c>
      <x:c r="F682" s="14" t="n">
        <x:v>493008</x:v>
      </x:c>
      <x:c r="G682" s="14" t="n">
        <x:v>428793</x:v>
      </x:c>
      <x:c r="H682" s="14" t="n">
        <x:f>INT((F682-D682)*(A682-C682)/(E682-C682))+D682</x:f>
        <x:v>428793</x:v>
      </x:c>
      <x:c r="I682" s="68" t="n">
        <x:f>H682-G682</x:f>
        <x:v>0</x:v>
      </x:c>
      <x:c r="J682" s="14" t="n">
        <x:v>2791563</x:v>
      </x:c>
      <x:c r="K682" s="14" t="n">
        <x:f>INT(H682*'공식·설정'!$B$10/'공식·설정'!$B$15)</x:f>
        <x:v>2791563</x:v>
      </x:c>
      <x:c r="L682" s="68" t="n">
        <x:f>K682-J682</x:f>
        <x:v>0</x:v>
      </x:c>
      <x:c r="M682" s="65" t="n">
        <x:f>J682/'공식·설정'!$B$7</x:f>
        <x:v>10904.54296875</x:v>
      </x:c>
      <x:c r="N682" s="65" t="n">
        <x:f>K682/'공식·설정'!$B$7</x:f>
        <x:v>10904.54296875</x:v>
      </x:c>
      <x:c r="O682" s="14" t="n">
        <x:v>1090</x:v>
      </x:c>
      <x:c r="P682" s="14" t="n">
        <x:f>MIN(32767,MAX(0,INT((K682+INT('공식·설정'!$B$12/2))/'공식·설정'!$B$12)))</x:f>
        <x:v>1090</x:v>
      </x:c>
      <x:c r="Q682" s="68" t="n">
        <x:f>P682-O682</x:f>
        <x:v>0</x:v>
      </x:c>
      <x:c r="R682" s="14" t="n">
        <x:v>2798848</x:v>
      </x:c>
      <x:c r="S682" s="14" t="n">
        <x:f>P682*'공식·설정'!$B$12+'공식·설정'!$B$14</x:f>
        <x:v>2798848</x:v>
      </x:c>
      <x:c r="T682" s="68" t="n">
        <x:f>S682-R682</x:f>
        <x:v>0</x:v>
      </x:c>
      <x:c r="U682" s="65" t="n">
        <x:f>R682/'공식·설정'!$B$7</x:f>
        <x:v>10933</x:v>
      </x:c>
      <x:c r="V682" s="65" t="n">
        <x:f>S682/'공식·설정'!$B$7</x:f>
        <x:v>10933</x:v>
      </x:c>
      <x:c r="W682" s="14" t="n">
        <x:v>755</x:v>
      </x:c>
      <x:c r="X682" s="14" t="n">
        <x:f>INT(ABS(K683-K682)*'공식·설정'!$B$8/K682)</x:f>
        <x:v>755</x:v>
      </x:c>
      <x:c r="Y682" s="68" t="n">
        <x:f>X682-W682</x:f>
        <x:v>0</x:v>
      </x:c>
      <x:c r="Z682" s="66" t="n">
        <x:f>W682/'공식·설정'!$B$8</x:f>
        <x:v>0.0115203857421875</x:v>
      </x:c>
      <x:c r="AA682" s="66" t="n">
        <x:f>X682/'공식·설정'!$B$8</x:f>
        <x:v>0.0115203857421875</x:v>
      </x:c>
      <x:c r="AB682" s="67" t="str">
        <x:f>IF(AND(I682=0,L682=0,Q682=0,T682=0,Y682=0),"PASS","FAIL")</x:f>
        <x:v>PASS</x:v>
      </x:c>
    </x:row>
    <x:row r="683" ht="18" customHeight="1">
      <x:c r="A683" s="14" t="n">
        <x:v>786</x:v>
      </x:c>
      <x:c r="B683" s="14" t="n">
        <x:v>678</x:v>
      </x:c>
      <x:c r="C683" s="14" t="n">
        <x:v>784</x:v>
      </x:c>
      <x:c r="D683" s="14" t="n">
        <x:v>423854</x:v>
      </x:c>
      <x:c r="E683" s="14" t="n">
        <x:v>798</x:v>
      </x:c>
      <x:c r="F683" s="14" t="n">
        <x:v>493008</x:v>
      </x:c>
      <x:c r="G683" s="14" t="n">
        <x:v>433733</x:v>
      </x:c>
      <x:c r="H683" s="14" t="n">
        <x:f>INT((F683-D683)*(A683-C683)/(E683-C683))+D683</x:f>
        <x:v>433733</x:v>
      </x:c>
      <x:c r="I683" s="68" t="n">
        <x:f>H683-G683</x:f>
        <x:v>0</x:v>
      </x:c>
      <x:c r="J683" s="14" t="n">
        <x:v>2823724</x:v>
      </x:c>
      <x:c r="K683" s="14" t="n">
        <x:f>INT(H683*'공식·설정'!$B$10/'공식·설정'!$B$15)</x:f>
        <x:v>2823724</x:v>
      </x:c>
      <x:c r="L683" s="68" t="n">
        <x:f>K683-J683</x:f>
        <x:v>0</x:v>
      </x:c>
      <x:c r="M683" s="65" t="n">
        <x:f>J683/'공식·설정'!$B$7</x:f>
        <x:v>11030.171875</x:v>
      </x:c>
      <x:c r="N683" s="65" t="n">
        <x:f>K683/'공식·설정'!$B$7</x:f>
        <x:v>11030.171875</x:v>
      </x:c>
      <x:c r="O683" s="14" t="n">
        <x:v>1103</x:v>
      </x:c>
      <x:c r="P683" s="14" t="n">
        <x:f>MIN(32767,MAX(0,INT((K683+INT('공식·설정'!$B$12/2))/'공식·설정'!$B$12)))</x:f>
        <x:v>1103</x:v>
      </x:c>
      <x:c r="Q683" s="68" t="n">
        <x:f>P683-O683</x:f>
        <x:v>0</x:v>
      </x:c>
      <x:c r="R683" s="14" t="n">
        <x:v>2832128</x:v>
      </x:c>
      <x:c r="S683" s="14" t="n">
        <x:f>P683*'공식·설정'!$B$12+'공식·설정'!$B$14</x:f>
        <x:v>2832128</x:v>
      </x:c>
      <x:c r="T683" s="68" t="n">
        <x:f>S683-R683</x:f>
        <x:v>0</x:v>
      </x:c>
      <x:c r="U683" s="65" t="n">
        <x:f>R683/'공식·설정'!$B$7</x:f>
        <x:v>11063</x:v>
      </x:c>
      <x:c r="V683" s="65" t="n">
        <x:f>S683/'공식·설정'!$B$7</x:f>
        <x:v>11063</x:v>
      </x:c>
      <x:c r="W683" s="14" t="n">
        <x:v>746</x:v>
      </x:c>
      <x:c r="X683" s="14" t="n">
        <x:f>INT(ABS(K684-K683)*'공식·설정'!$B$8/K683)</x:f>
        <x:v>746</x:v>
      </x:c>
      <x:c r="Y683" s="68" t="n">
        <x:f>X683-W683</x:f>
        <x:v>0</x:v>
      </x:c>
      <x:c r="Z683" s="66" t="n">
        <x:f>W683/'공식·설정'!$B$8</x:f>
        <x:v>0.011383056640625</x:v>
      </x:c>
      <x:c r="AA683" s="66" t="n">
        <x:f>X683/'공식·설정'!$B$8</x:f>
        <x:v>0.011383056640625</x:v>
      </x:c>
      <x:c r="AB683" s="67" t="str">
        <x:f>IF(AND(I683=0,L683=0,Q683=0,T683=0,Y683=0),"PASS","FAIL")</x:f>
        <x:v>PASS</x:v>
      </x:c>
    </x:row>
    <x:row r="684" ht="18" customHeight="1">
      <x:c r="A684" s="14" t="n">
        <x:v>787</x:v>
      </x:c>
      <x:c r="B684" s="14" t="n">
        <x:v>679</x:v>
      </x:c>
      <x:c r="C684" s="14" t="n">
        <x:v>784</x:v>
      </x:c>
      <x:c r="D684" s="14" t="n">
        <x:v>423854</x:v>
      </x:c>
      <x:c r="E684" s="14" t="n">
        <x:v>798</x:v>
      </x:c>
      <x:c r="F684" s="14" t="n">
        <x:v>493008</x:v>
      </x:c>
      <x:c r="G684" s="14" t="n">
        <x:v>438672</x:v>
      </x:c>
      <x:c r="H684" s="14" t="n">
        <x:f>INT((F684-D684)*(A684-C684)/(E684-C684))+D684</x:f>
        <x:v>438672</x:v>
      </x:c>
      <x:c r="I684" s="68" t="n">
        <x:f>H684-G684</x:f>
        <x:v>0</x:v>
      </x:c>
      <x:c r="J684" s="14" t="n">
        <x:v>2855878</x:v>
      </x:c>
      <x:c r="K684" s="14" t="n">
        <x:f>INT(H684*'공식·설정'!$B$10/'공식·설정'!$B$15)</x:f>
        <x:v>2855878</x:v>
      </x:c>
      <x:c r="L684" s="68" t="n">
        <x:f>K684-J684</x:f>
        <x:v>0</x:v>
      </x:c>
      <x:c r="M684" s="65" t="n">
        <x:f>J684/'공식·설정'!$B$7</x:f>
        <x:v>11155.7734375</x:v>
      </x:c>
      <x:c r="N684" s="65" t="n">
        <x:f>K684/'공식·설정'!$B$7</x:f>
        <x:v>11155.7734375</x:v>
      </x:c>
      <x:c r="O684" s="14" t="n">
        <x:v>1116</x:v>
      </x:c>
      <x:c r="P684" s="14" t="n">
        <x:f>MIN(32767,MAX(0,INT((K684+INT('공식·설정'!$B$12/2))/'공식·설정'!$B$12)))</x:f>
        <x:v>1116</x:v>
      </x:c>
      <x:c r="Q684" s="68" t="n">
        <x:f>P684-O684</x:f>
        <x:v>0</x:v>
      </x:c>
      <x:c r="R684" s="14" t="n">
        <x:v>2865408</x:v>
      </x:c>
      <x:c r="S684" s="14" t="n">
        <x:f>P684*'공식·설정'!$B$12+'공식·설정'!$B$14</x:f>
        <x:v>2865408</x:v>
      </x:c>
      <x:c r="T684" s="68" t="n">
        <x:f>S684-R684</x:f>
        <x:v>0</x:v>
      </x:c>
      <x:c r="U684" s="65" t="n">
        <x:f>R684/'공식·설정'!$B$7</x:f>
        <x:v>11193</x:v>
      </x:c>
      <x:c r="V684" s="65" t="n">
        <x:f>S684/'공식·설정'!$B$7</x:f>
        <x:v>11193</x:v>
      </x:c>
      <x:c r="W684" s="14" t="n">
        <x:v>738</x:v>
      </x:c>
      <x:c r="X684" s="14" t="n">
        <x:f>INT(ABS(K685-K684)*'공식·설정'!$B$8/K684)</x:f>
        <x:v>738</x:v>
      </x:c>
      <x:c r="Y684" s="68" t="n">
        <x:f>X684-W684</x:f>
        <x:v>0</x:v>
      </x:c>
      <x:c r="Z684" s="66" t="n">
        <x:f>W684/'공식·설정'!$B$8</x:f>
        <x:v>0.011260986328125</x:v>
      </x:c>
      <x:c r="AA684" s="66" t="n">
        <x:f>X684/'공식·설정'!$B$8</x:f>
        <x:v>0.011260986328125</x:v>
      </x:c>
      <x:c r="AB684" s="67" t="str">
        <x:f>IF(AND(I684=0,L684=0,Q684=0,T684=0,Y684=0),"PASS","FAIL")</x:f>
        <x:v>PASS</x:v>
      </x:c>
    </x:row>
    <x:row r="685" ht="18" customHeight="1">
      <x:c r="A685" s="14" t="n">
        <x:v>788</x:v>
      </x:c>
      <x:c r="B685" s="14" t="n">
        <x:v>680</x:v>
      </x:c>
      <x:c r="C685" s="14" t="n">
        <x:v>784</x:v>
      </x:c>
      <x:c r="D685" s="14" t="n">
        <x:v>423854</x:v>
      </x:c>
      <x:c r="E685" s="14" t="n">
        <x:v>798</x:v>
      </x:c>
      <x:c r="F685" s="14" t="n">
        <x:v>493008</x:v>
      </x:c>
      <x:c r="G685" s="14" t="n">
        <x:v>443612</x:v>
      </x:c>
      <x:c r="H685" s="14" t="n">
        <x:f>INT((F685-D685)*(A685-C685)/(E685-C685))+D685</x:f>
        <x:v>443612</x:v>
      </x:c>
      <x:c r="I685" s="68" t="n">
        <x:f>H685-G685</x:f>
        <x:v>0</x:v>
      </x:c>
      <x:c r="J685" s="14" t="n">
        <x:v>2888039</x:v>
      </x:c>
      <x:c r="K685" s="14" t="n">
        <x:f>INT(H685*'공식·설정'!$B$10/'공식·설정'!$B$15)</x:f>
        <x:v>2888039</x:v>
      </x:c>
      <x:c r="L685" s="68" t="n">
        <x:f>K685-J685</x:f>
        <x:v>0</x:v>
      </x:c>
      <x:c r="M685" s="65" t="n">
        <x:f>J685/'공식·설정'!$B$7</x:f>
        <x:v>11281.40234375</x:v>
      </x:c>
      <x:c r="N685" s="65" t="n">
        <x:f>K685/'공식·설정'!$B$7</x:f>
        <x:v>11281.40234375</x:v>
      </x:c>
      <x:c r="O685" s="14" t="n">
        <x:v>1128</x:v>
      </x:c>
      <x:c r="P685" s="14" t="n">
        <x:f>MIN(32767,MAX(0,INT((K685+INT('공식·설정'!$B$12/2))/'공식·설정'!$B$12)))</x:f>
        <x:v>1128</x:v>
      </x:c>
      <x:c r="Q685" s="68" t="n">
        <x:f>P685-O685</x:f>
        <x:v>0</x:v>
      </x:c>
      <x:c r="R685" s="14" t="n">
        <x:v>2896128</x:v>
      </x:c>
      <x:c r="S685" s="14" t="n">
        <x:f>P685*'공식·설정'!$B$12+'공식·설정'!$B$14</x:f>
        <x:v>2896128</x:v>
      </x:c>
      <x:c r="T685" s="68" t="n">
        <x:f>S685-R685</x:f>
        <x:v>0</x:v>
      </x:c>
      <x:c r="U685" s="65" t="n">
        <x:f>R685/'공식·설정'!$B$7</x:f>
        <x:v>11313</x:v>
      </x:c>
      <x:c r="V685" s="65" t="n">
        <x:f>S685/'공식·설정'!$B$7</x:f>
        <x:v>11313</x:v>
      </x:c>
      <x:c r="W685" s="14" t="n">
        <x:v>729</x:v>
      </x:c>
      <x:c r="X685" s="14" t="n">
        <x:f>INT(ABS(K686-K685)*'공식·설정'!$B$8/K685)</x:f>
        <x:v>729</x:v>
      </x:c>
      <x:c r="Y685" s="68" t="n">
        <x:f>X685-W685</x:f>
        <x:v>0</x:v>
      </x:c>
      <x:c r="Z685" s="66" t="n">
        <x:f>W685/'공식·설정'!$B$8</x:f>
        <x:v>0.0111236572265625</x:v>
      </x:c>
      <x:c r="AA685" s="66" t="n">
        <x:f>X685/'공식·설정'!$B$8</x:f>
        <x:v>0.0111236572265625</x:v>
      </x:c>
      <x:c r="AB685" s="67" t="str">
        <x:f>IF(AND(I685=0,L685=0,Q685=0,T685=0,Y685=0),"PASS","FAIL")</x:f>
        <x:v>PASS</x:v>
      </x:c>
    </x:row>
    <x:row r="686" ht="18" customHeight="1">
      <x:c r="A686" s="14" t="n">
        <x:v>789</x:v>
      </x:c>
      <x:c r="B686" s="14" t="n">
        <x:v>681</x:v>
      </x:c>
      <x:c r="C686" s="14" t="n">
        <x:v>784</x:v>
      </x:c>
      <x:c r="D686" s="14" t="n">
        <x:v>423854</x:v>
      </x:c>
      <x:c r="E686" s="14" t="n">
        <x:v>798</x:v>
      </x:c>
      <x:c r="F686" s="14" t="n">
        <x:v>493008</x:v>
      </x:c>
      <x:c r="G686" s="14" t="n">
        <x:v>448551</x:v>
      </x:c>
      <x:c r="H686" s="14" t="n">
        <x:f>INT((F686-D686)*(A686-C686)/(E686-C686))+D686</x:f>
        <x:v>448551</x:v>
      </x:c>
      <x:c r="I686" s="68" t="n">
        <x:f>H686-G686</x:f>
        <x:v>0</x:v>
      </x:c>
      <x:c r="J686" s="14" t="n">
        <x:v>2920193</x:v>
      </x:c>
      <x:c r="K686" s="14" t="n">
        <x:f>INT(H686*'공식·설정'!$B$10/'공식·설정'!$B$15)</x:f>
        <x:v>2920193</x:v>
      </x:c>
      <x:c r="L686" s="68" t="n">
        <x:f>K686-J686</x:f>
        <x:v>0</x:v>
      </x:c>
      <x:c r="M686" s="65" t="n">
        <x:f>J686/'공식·설정'!$B$7</x:f>
        <x:v>11407.00390625</x:v>
      </x:c>
      <x:c r="N686" s="65" t="n">
        <x:f>K686/'공식·설정'!$B$7</x:f>
        <x:v>11407.00390625</x:v>
      </x:c>
      <x:c r="O686" s="14" t="n">
        <x:v>1141</x:v>
      </x:c>
      <x:c r="P686" s="14" t="n">
        <x:f>MIN(32767,MAX(0,INT((K686+INT('공식·설정'!$B$12/2))/'공식·설정'!$B$12)))</x:f>
        <x:v>1141</x:v>
      </x:c>
      <x:c r="Q686" s="68" t="n">
        <x:f>P686-O686</x:f>
        <x:v>0</x:v>
      </x:c>
      <x:c r="R686" s="14" t="n">
        <x:v>2929408</x:v>
      </x:c>
      <x:c r="S686" s="14" t="n">
        <x:f>P686*'공식·설정'!$B$12+'공식·설정'!$B$14</x:f>
        <x:v>2929408</x:v>
      </x:c>
      <x:c r="T686" s="68" t="n">
        <x:f>S686-R686</x:f>
        <x:v>0</x:v>
      </x:c>
      <x:c r="U686" s="65" t="n">
        <x:f>R686/'공식·설정'!$B$7</x:f>
        <x:v>11443</x:v>
      </x:c>
      <x:c r="V686" s="65" t="n">
        <x:f>S686/'공식·설정'!$B$7</x:f>
        <x:v>11443</x:v>
      </x:c>
      <x:c r="W686" s="14" t="n">
        <x:v>721</x:v>
      </x:c>
      <x:c r="X686" s="14" t="n">
        <x:f>INT(ABS(K687-K686)*'공식·설정'!$B$8/K686)</x:f>
        <x:v>721</x:v>
      </x:c>
      <x:c r="Y686" s="68" t="n">
        <x:f>X686-W686</x:f>
        <x:v>0</x:v>
      </x:c>
      <x:c r="Z686" s="66" t="n">
        <x:f>W686/'공식·설정'!$B$8</x:f>
        <x:v>0.0110015869140625</x:v>
      </x:c>
      <x:c r="AA686" s="66" t="n">
        <x:f>X686/'공식·설정'!$B$8</x:f>
        <x:v>0.0110015869140625</x:v>
      </x:c>
      <x:c r="AB686" s="67" t="str">
        <x:f>IF(AND(I686=0,L686=0,Q686=0,T686=0,Y686=0),"PASS","FAIL")</x:f>
        <x:v>PASS</x:v>
      </x:c>
    </x:row>
    <x:row r="687" ht="18" customHeight="1">
      <x:c r="A687" s="14" t="n">
        <x:v>790</x:v>
      </x:c>
      <x:c r="B687" s="14" t="n">
        <x:v>682</x:v>
      </x:c>
      <x:c r="C687" s="14" t="n">
        <x:v>784</x:v>
      </x:c>
      <x:c r="D687" s="14" t="n">
        <x:v>423854</x:v>
      </x:c>
      <x:c r="E687" s="14" t="n">
        <x:v>798</x:v>
      </x:c>
      <x:c r="F687" s="14" t="n">
        <x:v>493008</x:v>
      </x:c>
      <x:c r="G687" s="14" t="n">
        <x:v>453491</x:v>
      </x:c>
      <x:c r="H687" s="14" t="n">
        <x:f>INT((F687-D687)*(A687-C687)/(E687-C687))+D687</x:f>
        <x:v>453491</x:v>
      </x:c>
      <x:c r="I687" s="68" t="n">
        <x:f>H687-G687</x:f>
        <x:v>0</x:v>
      </x:c>
      <x:c r="J687" s="14" t="n">
        <x:v>2952354</x:v>
      </x:c>
      <x:c r="K687" s="14" t="n">
        <x:f>INT(H687*'공식·설정'!$B$10/'공식·설정'!$B$15)</x:f>
        <x:v>2952354</x:v>
      </x:c>
      <x:c r="L687" s="68" t="n">
        <x:f>K687-J687</x:f>
        <x:v>0</x:v>
      </x:c>
      <x:c r="M687" s="65" t="n">
        <x:f>J687/'공식·설정'!$B$7</x:f>
        <x:v>11532.6328125</x:v>
      </x:c>
      <x:c r="N687" s="65" t="n">
        <x:f>K687/'공식·설정'!$B$7</x:f>
        <x:v>11532.6328125</x:v>
      </x:c>
      <x:c r="O687" s="14" t="n">
        <x:v>1153</x:v>
      </x:c>
      <x:c r="P687" s="14" t="n">
        <x:f>MIN(32767,MAX(0,INT((K687+INT('공식·설정'!$B$12/2))/'공식·설정'!$B$12)))</x:f>
        <x:v>1153</x:v>
      </x:c>
      <x:c r="Q687" s="68" t="n">
        <x:f>P687-O687</x:f>
        <x:v>0</x:v>
      </x:c>
      <x:c r="R687" s="14" t="n">
        <x:v>2960128</x:v>
      </x:c>
      <x:c r="S687" s="14" t="n">
        <x:f>P687*'공식·설정'!$B$12+'공식·설정'!$B$14</x:f>
        <x:v>2960128</x:v>
      </x:c>
      <x:c r="T687" s="68" t="n">
        <x:f>S687-R687</x:f>
        <x:v>0</x:v>
      </x:c>
      <x:c r="U687" s="65" t="n">
        <x:f>R687/'공식·설정'!$B$7</x:f>
        <x:v>11563</x:v>
      </x:c>
      <x:c r="V687" s="65" t="n">
        <x:f>S687/'공식·설정'!$B$7</x:f>
        <x:v>11563</x:v>
      </x:c>
      <x:c r="W687" s="14" t="n">
        <x:v>713</x:v>
      </x:c>
      <x:c r="X687" s="14" t="n">
        <x:f>INT(ABS(K688-K687)*'공식·설정'!$B$8/K687)</x:f>
        <x:v>713</x:v>
      </x:c>
      <x:c r="Y687" s="68" t="n">
        <x:f>X687-W687</x:f>
        <x:v>0</x:v>
      </x:c>
      <x:c r="Z687" s="66" t="n">
        <x:f>W687/'공식·설정'!$B$8</x:f>
        <x:v>0.0108795166015625</x:v>
      </x:c>
      <x:c r="AA687" s="66" t="n">
        <x:f>X687/'공식·설정'!$B$8</x:f>
        <x:v>0.0108795166015625</x:v>
      </x:c>
      <x:c r="AB687" s="67" t="str">
        <x:f>IF(AND(I687=0,L687=0,Q687=0,T687=0,Y687=0),"PASS","FAIL")</x:f>
        <x:v>PASS</x:v>
      </x:c>
    </x:row>
    <x:row r="688" ht="18" customHeight="1">
      <x:c r="A688" s="14" t="n">
        <x:v>791</x:v>
      </x:c>
      <x:c r="B688" s="14" t="n">
        <x:v>683</x:v>
      </x:c>
      <x:c r="C688" s="14" t="n">
        <x:v>784</x:v>
      </x:c>
      <x:c r="D688" s="14" t="n">
        <x:v>423854</x:v>
      </x:c>
      <x:c r="E688" s="14" t="n">
        <x:v>798</x:v>
      </x:c>
      <x:c r="F688" s="14" t="n">
        <x:v>493008</x:v>
      </x:c>
      <x:c r="G688" s="14" t="n">
        <x:v>458431</x:v>
      </x:c>
      <x:c r="H688" s="14" t="n">
        <x:f>INT((F688-D688)*(A688-C688)/(E688-C688))+D688</x:f>
        <x:v>458431</x:v>
      </x:c>
      <x:c r="I688" s="68" t="n">
        <x:f>H688-G688</x:f>
        <x:v>0</x:v>
      </x:c>
      <x:c r="J688" s="14" t="n">
        <x:v>2984515</x:v>
      </x:c>
      <x:c r="K688" s="14" t="n">
        <x:f>INT(H688*'공식·설정'!$B$10/'공식·설정'!$B$15)</x:f>
        <x:v>2984515</x:v>
      </x:c>
      <x:c r="L688" s="68" t="n">
        <x:f>K688-J688</x:f>
        <x:v>0</x:v>
      </x:c>
      <x:c r="M688" s="65" t="n">
        <x:f>J688/'공식·설정'!$B$7</x:f>
        <x:v>11658.26171875</x:v>
      </x:c>
      <x:c r="N688" s="65" t="n">
        <x:f>K688/'공식·설정'!$B$7</x:f>
        <x:v>11658.26171875</x:v>
      </x:c>
      <x:c r="O688" s="14" t="n">
        <x:v>1166</x:v>
      </x:c>
      <x:c r="P688" s="14" t="n">
        <x:f>MIN(32767,MAX(0,INT((K688+INT('공식·설정'!$B$12/2))/'공식·설정'!$B$12)))</x:f>
        <x:v>1166</x:v>
      </x:c>
      <x:c r="Q688" s="68" t="n">
        <x:f>P688-O688</x:f>
        <x:v>0</x:v>
      </x:c>
      <x:c r="R688" s="14" t="n">
        <x:v>2993408</x:v>
      </x:c>
      <x:c r="S688" s="14" t="n">
        <x:f>P688*'공식·설정'!$B$12+'공식·설정'!$B$14</x:f>
        <x:v>2993408</x:v>
      </x:c>
      <x:c r="T688" s="68" t="n">
        <x:f>S688-R688</x:f>
        <x:v>0</x:v>
      </x:c>
      <x:c r="U688" s="65" t="n">
        <x:f>R688/'공식·설정'!$B$7</x:f>
        <x:v>11693</x:v>
      </x:c>
      <x:c r="V688" s="65" t="n">
        <x:f>S688/'공식·설정'!$B$7</x:f>
        <x:v>11693</x:v>
      </x:c>
      <x:c r="W688" s="14" t="n">
        <x:v>706</x:v>
      </x:c>
      <x:c r="X688" s="14" t="n">
        <x:f>INT(ABS(K689-K688)*'공식·설정'!$B$8/K688)</x:f>
        <x:v>706</x:v>
      </x:c>
      <x:c r="Y688" s="68" t="n">
        <x:f>X688-W688</x:f>
        <x:v>0</x:v>
      </x:c>
      <x:c r="Z688" s="66" t="n">
        <x:f>W688/'공식·설정'!$B$8</x:f>
        <x:v>0.010772705078125</x:v>
      </x:c>
      <x:c r="AA688" s="66" t="n">
        <x:f>X688/'공식·설정'!$B$8</x:f>
        <x:v>0.010772705078125</x:v>
      </x:c>
      <x:c r="AB688" s="67" t="str">
        <x:f>IF(AND(I688=0,L688=0,Q688=0,T688=0,Y688=0),"PASS","FAIL")</x:f>
        <x:v>PASS</x:v>
      </x:c>
    </x:row>
    <x:row r="689" ht="18" customHeight="1">
      <x:c r="A689" s="14" t="n">
        <x:v>792</x:v>
      </x:c>
      <x:c r="B689" s="14" t="n">
        <x:v>684</x:v>
      </x:c>
      <x:c r="C689" s="14" t="n">
        <x:v>784</x:v>
      </x:c>
      <x:c r="D689" s="14" t="n">
        <x:v>423854</x:v>
      </x:c>
      <x:c r="E689" s="14" t="n">
        <x:v>798</x:v>
      </x:c>
      <x:c r="F689" s="14" t="n">
        <x:v>493008</x:v>
      </x:c>
      <x:c r="G689" s="14" t="n">
        <x:v>463370</x:v>
      </x:c>
      <x:c r="H689" s="14" t="n">
        <x:f>INT((F689-D689)*(A689-C689)/(E689-C689))+D689</x:f>
        <x:v>463370</x:v>
      </x:c>
      <x:c r="I689" s="68" t="n">
        <x:f>H689-G689</x:f>
        <x:v>0</x:v>
      </x:c>
      <x:c r="J689" s="14" t="n">
        <x:v>3016669</x:v>
      </x:c>
      <x:c r="K689" s="14" t="n">
        <x:f>INT(H689*'공식·설정'!$B$10/'공식·설정'!$B$15)</x:f>
        <x:v>3016669</x:v>
      </x:c>
      <x:c r="L689" s="68" t="n">
        <x:f>K689-J689</x:f>
        <x:v>0</x:v>
      </x:c>
      <x:c r="M689" s="65" t="n">
        <x:f>J689/'공식·설정'!$B$7</x:f>
        <x:v>11783.86328125</x:v>
      </x:c>
      <x:c r="N689" s="65" t="n">
        <x:f>K689/'공식·설정'!$B$7</x:f>
        <x:v>11783.86328125</x:v>
      </x:c>
      <x:c r="O689" s="14" t="n">
        <x:v>1178</x:v>
      </x:c>
      <x:c r="P689" s="14" t="n">
        <x:f>MIN(32767,MAX(0,INT((K689+INT('공식·설정'!$B$12/2))/'공식·설정'!$B$12)))</x:f>
        <x:v>1178</x:v>
      </x:c>
      <x:c r="Q689" s="68" t="n">
        <x:f>P689-O689</x:f>
        <x:v>0</x:v>
      </x:c>
      <x:c r="R689" s="14" t="n">
        <x:v>3024128</x:v>
      </x:c>
      <x:c r="S689" s="14" t="n">
        <x:f>P689*'공식·설정'!$B$12+'공식·설정'!$B$14</x:f>
        <x:v>3024128</x:v>
      </x:c>
      <x:c r="T689" s="68" t="n">
        <x:f>S689-R689</x:f>
        <x:v>0</x:v>
      </x:c>
      <x:c r="U689" s="65" t="n">
        <x:f>R689/'공식·설정'!$B$7</x:f>
        <x:v>11813</x:v>
      </x:c>
      <x:c r="V689" s="65" t="n">
        <x:f>S689/'공식·설정'!$B$7</x:f>
        <x:v>11813</x:v>
      </x:c>
      <x:c r="W689" s="14" t="n">
        <x:v>698</x:v>
      </x:c>
      <x:c r="X689" s="14" t="n">
        <x:f>INT(ABS(K690-K689)*'공식·설정'!$B$8/K689)</x:f>
        <x:v>698</x:v>
      </x:c>
      <x:c r="Y689" s="68" t="n">
        <x:f>X689-W689</x:f>
        <x:v>0</x:v>
      </x:c>
      <x:c r="Z689" s="66" t="n">
        <x:f>W689/'공식·설정'!$B$8</x:f>
        <x:v>0.010650634765625</x:v>
      </x:c>
      <x:c r="AA689" s="66" t="n">
        <x:f>X689/'공식·설정'!$B$8</x:f>
        <x:v>0.010650634765625</x:v>
      </x:c>
      <x:c r="AB689" s="67" t="str">
        <x:f>IF(AND(I689=0,L689=0,Q689=0,T689=0,Y689=0),"PASS","FAIL")</x:f>
        <x:v>PASS</x:v>
      </x:c>
    </x:row>
    <x:row r="690" ht="18" customHeight="1">
      <x:c r="A690" s="14" t="n">
        <x:v>793</x:v>
      </x:c>
      <x:c r="B690" s="14" t="n">
        <x:v>685</x:v>
      </x:c>
      <x:c r="C690" s="14" t="n">
        <x:v>784</x:v>
      </x:c>
      <x:c r="D690" s="14" t="n">
        <x:v>423854</x:v>
      </x:c>
      <x:c r="E690" s="14" t="n">
        <x:v>798</x:v>
      </x:c>
      <x:c r="F690" s="14" t="n">
        <x:v>493008</x:v>
      </x:c>
      <x:c r="G690" s="14" t="n">
        <x:v>468310</x:v>
      </x:c>
      <x:c r="H690" s="14" t="n">
        <x:f>INT((F690-D690)*(A690-C690)/(E690-C690))+D690</x:f>
        <x:v>468310</x:v>
      </x:c>
      <x:c r="I690" s="68" t="n">
        <x:f>H690-G690</x:f>
        <x:v>0</x:v>
      </x:c>
      <x:c r="J690" s="14" t="n">
        <x:v>3048830</x:v>
      </x:c>
      <x:c r="K690" s="14" t="n">
        <x:f>INT(H690*'공식·설정'!$B$10/'공식·설정'!$B$15)</x:f>
        <x:v>3048830</x:v>
      </x:c>
      <x:c r="L690" s="68" t="n">
        <x:f>K690-J690</x:f>
        <x:v>0</x:v>
      </x:c>
      <x:c r="M690" s="65" t="n">
        <x:f>J690/'공식·설정'!$B$7</x:f>
        <x:v>11909.4921875</x:v>
      </x:c>
      <x:c r="N690" s="65" t="n">
        <x:f>K690/'공식·설정'!$B$7</x:f>
        <x:v>11909.4921875</x:v>
      </x:c>
      <x:c r="O690" s="14" t="n">
        <x:v>1191</x:v>
      </x:c>
      <x:c r="P690" s="14" t="n">
        <x:f>MIN(32767,MAX(0,INT((K690+INT('공식·설정'!$B$12/2))/'공식·설정'!$B$12)))</x:f>
        <x:v>1191</x:v>
      </x:c>
      <x:c r="Q690" s="68" t="n">
        <x:f>P690-O690</x:f>
        <x:v>0</x:v>
      </x:c>
      <x:c r="R690" s="14" t="n">
        <x:v>3057408</x:v>
      </x:c>
      <x:c r="S690" s="14" t="n">
        <x:f>P690*'공식·설정'!$B$12+'공식·설정'!$B$14</x:f>
        <x:v>3057408</x:v>
      </x:c>
      <x:c r="T690" s="68" t="n">
        <x:f>S690-R690</x:f>
        <x:v>0</x:v>
      </x:c>
      <x:c r="U690" s="65" t="n">
        <x:f>R690/'공식·설정'!$B$7</x:f>
        <x:v>11943</x:v>
      </x:c>
      <x:c r="V690" s="65" t="n">
        <x:f>S690/'공식·설정'!$B$7</x:f>
        <x:v>11943</x:v>
      </x:c>
      <x:c r="W690" s="14" t="n">
        <x:v>691</x:v>
      </x:c>
      <x:c r="X690" s="14" t="n">
        <x:f>INT(ABS(K691-K690)*'공식·설정'!$B$8/K690)</x:f>
        <x:v>691</x:v>
      </x:c>
      <x:c r="Y690" s="68" t="n">
        <x:f>X690-W690</x:f>
        <x:v>0</x:v>
      </x:c>
      <x:c r="Z690" s="66" t="n">
        <x:f>W690/'공식·설정'!$B$8</x:f>
        <x:v>0.0105438232421875</x:v>
      </x:c>
      <x:c r="AA690" s="66" t="n">
        <x:f>X690/'공식·설정'!$B$8</x:f>
        <x:v>0.0105438232421875</x:v>
      </x:c>
      <x:c r="AB690" s="67" t="str">
        <x:f>IF(AND(I690=0,L690=0,Q690=0,T690=0,Y690=0),"PASS","FAIL")</x:f>
        <x:v>PASS</x:v>
      </x:c>
    </x:row>
    <x:row r="691" ht="18" customHeight="1">
      <x:c r="A691" s="14" t="n">
        <x:v>794</x:v>
      </x:c>
      <x:c r="B691" s="14" t="n">
        <x:v>686</x:v>
      </x:c>
      <x:c r="C691" s="14" t="n">
        <x:v>784</x:v>
      </x:c>
      <x:c r="D691" s="14" t="n">
        <x:v>423854</x:v>
      </x:c>
      <x:c r="E691" s="14" t="n">
        <x:v>798</x:v>
      </x:c>
      <x:c r="F691" s="14" t="n">
        <x:v>493008</x:v>
      </x:c>
      <x:c r="G691" s="14" t="n">
        <x:v>473249</x:v>
      </x:c>
      <x:c r="H691" s="14" t="n">
        <x:f>INT((F691-D691)*(A691-C691)/(E691-C691))+D691</x:f>
        <x:v>473249</x:v>
      </x:c>
      <x:c r="I691" s="68" t="n">
        <x:f>H691-G691</x:f>
        <x:v>0</x:v>
      </x:c>
      <x:c r="J691" s="14" t="n">
        <x:v>3080984</x:v>
      </x:c>
      <x:c r="K691" s="14" t="n">
        <x:f>INT(H691*'공식·설정'!$B$10/'공식·설정'!$B$15)</x:f>
        <x:v>3080984</x:v>
      </x:c>
      <x:c r="L691" s="68" t="n">
        <x:f>K691-J691</x:f>
        <x:v>0</x:v>
      </x:c>
      <x:c r="M691" s="65" t="n">
        <x:f>J691/'공식·설정'!$B$7</x:f>
        <x:v>12035.09375</x:v>
      </x:c>
      <x:c r="N691" s="65" t="n">
        <x:f>K691/'공식·설정'!$B$7</x:f>
        <x:v>12035.09375</x:v>
      </x:c>
      <x:c r="O691" s="14" t="n">
        <x:v>1204</x:v>
      </x:c>
      <x:c r="P691" s="14" t="n">
        <x:f>MIN(32767,MAX(0,INT((K691+INT('공식·설정'!$B$12/2))/'공식·설정'!$B$12)))</x:f>
        <x:v>1204</x:v>
      </x:c>
      <x:c r="Q691" s="68" t="n">
        <x:f>P691-O691</x:f>
        <x:v>0</x:v>
      </x:c>
      <x:c r="R691" s="14" t="n">
        <x:v>3090688</x:v>
      </x:c>
      <x:c r="S691" s="14" t="n">
        <x:f>P691*'공식·설정'!$B$12+'공식·설정'!$B$14</x:f>
        <x:v>3090688</x:v>
      </x:c>
      <x:c r="T691" s="68" t="n">
        <x:f>S691-R691</x:f>
        <x:v>0</x:v>
      </x:c>
      <x:c r="U691" s="65" t="n">
        <x:f>R691/'공식·설정'!$B$7</x:f>
        <x:v>12073</x:v>
      </x:c>
      <x:c r="V691" s="65" t="n">
        <x:f>S691/'공식·설정'!$B$7</x:f>
        <x:v>12073</x:v>
      </x:c>
      <x:c r="W691" s="14" t="n">
        <x:v>684</x:v>
      </x:c>
      <x:c r="X691" s="14" t="n">
        <x:f>INT(ABS(K692-K691)*'공식·설정'!$B$8/K691)</x:f>
        <x:v>684</x:v>
      </x:c>
      <x:c r="Y691" s="68" t="n">
        <x:f>X691-W691</x:f>
        <x:v>0</x:v>
      </x:c>
      <x:c r="Z691" s="66" t="n">
        <x:f>W691/'공식·설정'!$B$8</x:f>
        <x:v>0.01043701171875</x:v>
      </x:c>
      <x:c r="AA691" s="66" t="n">
        <x:f>X691/'공식·설정'!$B$8</x:f>
        <x:v>0.01043701171875</x:v>
      </x:c>
      <x:c r="AB691" s="67" t="str">
        <x:f>IF(AND(I691=0,L691=0,Q691=0,T691=0,Y691=0),"PASS","FAIL")</x:f>
        <x:v>PASS</x:v>
      </x:c>
    </x:row>
    <x:row r="692" ht="18" customHeight="1">
      <x:c r="A692" s="14" t="n">
        <x:v>795</x:v>
      </x:c>
      <x:c r="B692" s="14" t="n">
        <x:v>687</x:v>
      </x:c>
      <x:c r="C692" s="14" t="n">
        <x:v>784</x:v>
      </x:c>
      <x:c r="D692" s="14" t="n">
        <x:v>423854</x:v>
      </x:c>
      <x:c r="E692" s="14" t="n">
        <x:v>798</x:v>
      </x:c>
      <x:c r="F692" s="14" t="n">
        <x:v>493008</x:v>
      </x:c>
      <x:c r="G692" s="14" t="n">
        <x:v>478189</x:v>
      </x:c>
      <x:c r="H692" s="14" t="n">
        <x:f>INT((F692-D692)*(A692-C692)/(E692-C692))+D692</x:f>
        <x:v>478189</x:v>
      </x:c>
      <x:c r="I692" s="68" t="n">
        <x:f>H692-G692</x:f>
        <x:v>0</x:v>
      </x:c>
      <x:c r="J692" s="14" t="n">
        <x:v>3113145</x:v>
      </x:c>
      <x:c r="K692" s="14" t="n">
        <x:f>INT(H692*'공식·설정'!$B$10/'공식·설정'!$B$15)</x:f>
        <x:v>3113145</x:v>
      </x:c>
      <x:c r="L692" s="68" t="n">
        <x:f>K692-J692</x:f>
        <x:v>0</x:v>
      </x:c>
      <x:c r="M692" s="65" t="n">
        <x:f>J692/'공식·설정'!$B$7</x:f>
        <x:v>12160.72265625</x:v>
      </x:c>
      <x:c r="N692" s="65" t="n">
        <x:f>K692/'공식·설정'!$B$7</x:f>
        <x:v>12160.72265625</x:v>
      </x:c>
      <x:c r="O692" s="14" t="n">
        <x:v>1216</x:v>
      </x:c>
      <x:c r="P692" s="14" t="n">
        <x:f>MIN(32767,MAX(0,INT((K692+INT('공식·설정'!$B$12/2))/'공식·설정'!$B$12)))</x:f>
        <x:v>1216</x:v>
      </x:c>
      <x:c r="Q692" s="68" t="n">
        <x:f>P692-O692</x:f>
        <x:v>0</x:v>
      </x:c>
      <x:c r="R692" s="14" t="n">
        <x:v>3121408</x:v>
      </x:c>
      <x:c r="S692" s="14" t="n">
        <x:f>P692*'공식·설정'!$B$12+'공식·설정'!$B$14</x:f>
        <x:v>3121408</x:v>
      </x:c>
      <x:c r="T692" s="68" t="n">
        <x:f>S692-R692</x:f>
        <x:v>0</x:v>
      </x:c>
      <x:c r="U692" s="65" t="n">
        <x:f>R692/'공식·설정'!$B$7</x:f>
        <x:v>12193</x:v>
      </x:c>
      <x:c r="V692" s="65" t="n">
        <x:f>S692/'공식·설정'!$B$7</x:f>
        <x:v>12193</x:v>
      </x:c>
      <x:c r="W692" s="14" t="n">
        <x:v>676</x:v>
      </x:c>
      <x:c r="X692" s="14" t="n">
        <x:f>INT(ABS(K693-K692)*'공식·설정'!$B$8/K692)</x:f>
        <x:v>676</x:v>
      </x:c>
      <x:c r="Y692" s="68" t="n">
        <x:f>X692-W692</x:f>
        <x:v>0</x:v>
      </x:c>
      <x:c r="Z692" s="66" t="n">
        <x:f>W692/'공식·설정'!$B$8</x:f>
        <x:v>0.01031494140625</x:v>
      </x:c>
      <x:c r="AA692" s="66" t="n">
        <x:f>X692/'공식·설정'!$B$8</x:f>
        <x:v>0.01031494140625</x:v>
      </x:c>
      <x:c r="AB692" s="67" t="str">
        <x:f>IF(AND(I692=0,L692=0,Q692=0,T692=0,Y692=0),"PASS","FAIL")</x:f>
        <x:v>PASS</x:v>
      </x:c>
    </x:row>
    <x:row r="693" ht="18" customHeight="1">
      <x:c r="A693" s="14" t="n">
        <x:v>796</x:v>
      </x:c>
      <x:c r="B693" s="14" t="n">
        <x:v>688</x:v>
      </x:c>
      <x:c r="C693" s="14" t="n">
        <x:v>784</x:v>
      </x:c>
      <x:c r="D693" s="14" t="n">
        <x:v>423854</x:v>
      </x:c>
      <x:c r="E693" s="14" t="n">
        <x:v>798</x:v>
      </x:c>
      <x:c r="F693" s="14" t="n">
        <x:v>493008</x:v>
      </x:c>
      <x:c r="G693" s="14" t="n">
        <x:v>483128</x:v>
      </x:c>
      <x:c r="H693" s="14" t="n">
        <x:f>INT((F693-D693)*(A693-C693)/(E693-C693))+D693</x:f>
        <x:v>483128</x:v>
      </x:c>
      <x:c r="I693" s="68" t="n">
        <x:f>H693-G693</x:f>
        <x:v>0</x:v>
      </x:c>
      <x:c r="J693" s="14" t="n">
        <x:v>3145299</x:v>
      </x:c>
      <x:c r="K693" s="14" t="n">
        <x:f>INT(H693*'공식·설정'!$B$10/'공식·설정'!$B$15)</x:f>
        <x:v>3145299</x:v>
      </x:c>
      <x:c r="L693" s="68" t="n">
        <x:f>K693-J693</x:f>
        <x:v>0</x:v>
      </x:c>
      <x:c r="M693" s="65" t="n">
        <x:f>J693/'공식·설정'!$B$7</x:f>
        <x:v>12286.32421875</x:v>
      </x:c>
      <x:c r="N693" s="65" t="n">
        <x:f>K693/'공식·설정'!$B$7</x:f>
        <x:v>12286.32421875</x:v>
      </x:c>
      <x:c r="O693" s="14" t="n">
        <x:v>1229</x:v>
      </x:c>
      <x:c r="P693" s="14" t="n">
        <x:f>MIN(32767,MAX(0,INT((K693+INT('공식·설정'!$B$12/2))/'공식·설정'!$B$12)))</x:f>
        <x:v>1229</x:v>
      </x:c>
      <x:c r="Q693" s="68" t="n">
        <x:f>P693-O693</x:f>
        <x:v>0</x:v>
      </x:c>
      <x:c r="R693" s="14" t="n">
        <x:v>3154688</x:v>
      </x:c>
      <x:c r="S693" s="14" t="n">
        <x:f>P693*'공식·설정'!$B$12+'공식·설정'!$B$14</x:f>
        <x:v>3154688</x:v>
      </x:c>
      <x:c r="T693" s="68" t="n">
        <x:f>S693-R693</x:f>
        <x:v>0</x:v>
      </x:c>
      <x:c r="U693" s="65" t="n">
        <x:f>R693/'공식·설정'!$B$7</x:f>
        <x:v>12323</x:v>
      </x:c>
      <x:c r="V693" s="65" t="n">
        <x:f>S693/'공식·설정'!$B$7</x:f>
        <x:v>12323</x:v>
      </x:c>
      <x:c r="W693" s="14" t="n">
        <x:v>670</x:v>
      </x:c>
      <x:c r="X693" s="14" t="n">
        <x:f>INT(ABS(K694-K693)*'공식·설정'!$B$8/K693)</x:f>
        <x:v>670</x:v>
      </x:c>
      <x:c r="Y693" s="68" t="n">
        <x:f>X693-W693</x:f>
        <x:v>0</x:v>
      </x:c>
      <x:c r="Z693" s="66" t="n">
        <x:f>W693/'공식·설정'!$B$8</x:f>
        <x:v>0.010223388671875</x:v>
      </x:c>
      <x:c r="AA693" s="66" t="n">
        <x:f>X693/'공식·설정'!$B$8</x:f>
        <x:v>0.010223388671875</x:v>
      </x:c>
      <x:c r="AB693" s="67" t="str">
        <x:f>IF(AND(I693=0,L693=0,Q693=0,T693=0,Y693=0),"PASS","FAIL")</x:f>
        <x:v>PASS</x:v>
      </x:c>
    </x:row>
    <x:row r="694" ht="18" customHeight="1">
      <x:c r="A694" s="14" t="n">
        <x:v>797</x:v>
      </x:c>
      <x:c r="B694" s="14" t="n">
        <x:v>689</x:v>
      </x:c>
      <x:c r="C694" s="14" t="n">
        <x:v>784</x:v>
      </x:c>
      <x:c r="D694" s="14" t="n">
        <x:v>423854</x:v>
      </x:c>
      <x:c r="E694" s="14" t="n">
        <x:v>798</x:v>
      </x:c>
      <x:c r="F694" s="14" t="n">
        <x:v>493008</x:v>
      </x:c>
      <x:c r="G694" s="14" t="n">
        <x:v>488068</x:v>
      </x:c>
      <x:c r="H694" s="14" t="n">
        <x:f>INT((F694-D694)*(A694-C694)/(E694-C694))+D694</x:f>
        <x:v>488068</x:v>
      </x:c>
      <x:c r="I694" s="68" t="n">
        <x:f>H694-G694</x:f>
        <x:v>0</x:v>
      </x:c>
      <x:c r="J694" s="14" t="n">
        <x:v>3177460</x:v>
      </x:c>
      <x:c r="K694" s="14" t="n">
        <x:f>INT(H694*'공식·설정'!$B$10/'공식·설정'!$B$15)</x:f>
        <x:v>3177460</x:v>
      </x:c>
      <x:c r="L694" s="68" t="n">
        <x:f>K694-J694</x:f>
        <x:v>0</x:v>
      </x:c>
      <x:c r="M694" s="65" t="n">
        <x:f>J694/'공식·설정'!$B$7</x:f>
        <x:v>12411.953125</x:v>
      </x:c>
      <x:c r="N694" s="65" t="n">
        <x:f>K694/'공식·설정'!$B$7</x:f>
        <x:v>12411.953125</x:v>
      </x:c>
      <x:c r="O694" s="14" t="n">
        <x:v>1241</x:v>
      </x:c>
      <x:c r="P694" s="14" t="n">
        <x:f>MIN(32767,MAX(0,INT((K694+INT('공식·설정'!$B$12/2))/'공식·설정'!$B$12)))</x:f>
        <x:v>1241</x:v>
      </x:c>
      <x:c r="Q694" s="68" t="n">
        <x:f>P694-O694</x:f>
        <x:v>0</x:v>
      </x:c>
      <x:c r="R694" s="14" t="n">
        <x:v>3185408</x:v>
      </x:c>
      <x:c r="S694" s="14" t="n">
        <x:f>P694*'공식·설정'!$B$12+'공식·설정'!$B$14</x:f>
        <x:v>3185408</x:v>
      </x:c>
      <x:c r="T694" s="68" t="n">
        <x:f>S694-R694</x:f>
        <x:v>0</x:v>
      </x:c>
      <x:c r="U694" s="65" t="n">
        <x:f>R694/'공식·설정'!$B$7</x:f>
        <x:v>12443</x:v>
      </x:c>
      <x:c r="V694" s="65" t="n">
        <x:f>S694/'공식·설정'!$B$7</x:f>
        <x:v>12443</x:v>
      </x:c>
      <x:c r="W694" s="14" t="n">
        <x:v>663</x:v>
      </x:c>
      <x:c r="X694" s="14" t="n">
        <x:f>INT(ABS(K695-K694)*'공식·설정'!$B$8/K694)</x:f>
        <x:v>663</x:v>
      </x:c>
      <x:c r="Y694" s="68" t="n">
        <x:f>X694-W694</x:f>
        <x:v>0</x:v>
      </x:c>
      <x:c r="Z694" s="66" t="n">
        <x:f>W694/'공식·설정'!$B$8</x:f>
        <x:v>0.0101165771484375</x:v>
      </x:c>
      <x:c r="AA694" s="66" t="n">
        <x:f>X694/'공식·설정'!$B$8</x:f>
        <x:v>0.0101165771484375</x:v>
      </x:c>
      <x:c r="AB694" s="67" t="str">
        <x:f>IF(AND(I694=0,L694=0,Q694=0,T694=0,Y694=0),"PASS","FAIL")</x:f>
        <x:v>PASS</x:v>
      </x:c>
    </x:row>
    <x:row r="695" ht="18" customHeight="1">
      <x:c r="A695" s="14" t="n">
        <x:v>798</x:v>
      </x:c>
      <x:c r="B695" s="14" t="n">
        <x:v>690</x:v>
      </x:c>
      <x:c r="C695" s="14" t="n">
        <x:v>798</x:v>
      </x:c>
      <x:c r="D695" s="14" t="n">
        <x:v>493008</x:v>
      </x:c>
      <x:c r="E695" s="14" t="n">
        <x:v>812</x:v>
      </x:c>
      <x:c r="F695" s="14" t="n">
        <x:v>573443</x:v>
      </x:c>
      <x:c r="G695" s="14" t="n">
        <x:v>493008</x:v>
      </x:c>
      <x:c r="H695" s="14" t="n">
        <x:f>INT((F695-D695)*(A695-C695)/(E695-C695))+D695</x:f>
        <x:v>493008</x:v>
      </x:c>
      <x:c r="I695" s="68" t="n">
        <x:f>H695-G695</x:f>
        <x:v>0</x:v>
      </x:c>
      <x:c r="J695" s="14" t="n">
        <x:v>3209621</x:v>
      </x:c>
      <x:c r="K695" s="14" t="n">
        <x:f>INT(H695*'공식·설정'!$B$10/'공식·설정'!$B$15)</x:f>
        <x:v>3209621</x:v>
      </x:c>
      <x:c r="L695" s="68" t="n">
        <x:f>K695-J695</x:f>
        <x:v>0</x:v>
      </x:c>
      <x:c r="M695" s="65" t="n">
        <x:f>J695/'공식·설정'!$B$7</x:f>
        <x:v>12537.58203125</x:v>
      </x:c>
      <x:c r="N695" s="65" t="n">
        <x:f>K695/'공식·설정'!$B$7</x:f>
        <x:v>12537.58203125</x:v>
      </x:c>
      <x:c r="O695" s="14" t="n">
        <x:v>1254</x:v>
      </x:c>
      <x:c r="P695" s="14" t="n">
        <x:f>MIN(32767,MAX(0,INT((K695+INT('공식·설정'!$B$12/2))/'공식·설정'!$B$12)))</x:f>
        <x:v>1254</x:v>
      </x:c>
      <x:c r="Q695" s="68" t="n">
        <x:f>P695-O695</x:f>
        <x:v>0</x:v>
      </x:c>
      <x:c r="R695" s="14" t="n">
        <x:v>3218688</x:v>
      </x:c>
      <x:c r="S695" s="14" t="n">
        <x:f>P695*'공식·설정'!$B$12+'공식·설정'!$B$14</x:f>
        <x:v>3218688</x:v>
      </x:c>
      <x:c r="T695" s="68" t="n">
        <x:f>S695-R695</x:f>
        <x:v>0</x:v>
      </x:c>
      <x:c r="U695" s="65" t="n">
        <x:f>R695/'공식·설정'!$B$7</x:f>
        <x:v>12573</x:v>
      </x:c>
      <x:c r="V695" s="65" t="n">
        <x:f>S695/'공식·설정'!$B$7</x:f>
        <x:v>12573</x:v>
      </x:c>
      <x:c r="W695" s="14" t="n">
        <x:v>763</x:v>
      </x:c>
      <x:c r="X695" s="14" t="n">
        <x:f>INT(ABS(K696-K695)*'공식·설정'!$B$8/K695)</x:f>
        <x:v>763</x:v>
      </x:c>
      <x:c r="Y695" s="68" t="n">
        <x:f>X695-W695</x:f>
        <x:v>0</x:v>
      </x:c>
      <x:c r="Z695" s="66" t="n">
        <x:f>W695/'공식·설정'!$B$8</x:f>
        <x:v>0.0116424560546875</x:v>
      </x:c>
      <x:c r="AA695" s="66" t="n">
        <x:f>X695/'공식·설정'!$B$8</x:f>
        <x:v>0.0116424560546875</x:v>
      </x:c>
      <x:c r="AB695" s="67" t="str">
        <x:f>IF(AND(I695=0,L695=0,Q695=0,T695=0,Y695=0),"PASS","FAIL")</x:f>
        <x:v>PASS</x:v>
      </x:c>
    </x:row>
    <x:row r="696" ht="18" customHeight="1">
      <x:c r="A696" s="14" t="n">
        <x:v>799</x:v>
      </x:c>
      <x:c r="B696" s="14" t="n">
        <x:v>691</x:v>
      </x:c>
      <x:c r="C696" s="14" t="n">
        <x:v>798</x:v>
      </x:c>
      <x:c r="D696" s="14" t="n">
        <x:v>493008</x:v>
      </x:c>
      <x:c r="E696" s="14" t="n">
        <x:v>812</x:v>
      </x:c>
      <x:c r="F696" s="14" t="n">
        <x:v>573443</x:v>
      </x:c>
      <x:c r="G696" s="14" t="n">
        <x:v>498753</x:v>
      </x:c>
      <x:c r="H696" s="14" t="n">
        <x:f>INT((F696-D696)*(A696-C696)/(E696-C696))+D696</x:f>
        <x:v>498753</x:v>
      </x:c>
      <x:c r="I696" s="68" t="n">
        <x:f>H696-G696</x:f>
        <x:v>0</x:v>
      </x:c>
      <x:c r="J696" s="14" t="n">
        <x:v>3247022</x:v>
      </x:c>
      <x:c r="K696" s="14" t="n">
        <x:f>INT(H696*'공식·설정'!$B$10/'공식·설정'!$B$15)</x:f>
        <x:v>3247022</x:v>
      </x:c>
      <x:c r="L696" s="68" t="n">
        <x:f>K696-J696</x:f>
        <x:v>0</x:v>
      </x:c>
      <x:c r="M696" s="65" t="n">
        <x:f>J696/'공식·설정'!$B$7</x:f>
        <x:v>12683.6796875</x:v>
      </x:c>
      <x:c r="N696" s="65" t="n">
        <x:f>K696/'공식·설정'!$B$7</x:f>
        <x:v>12683.6796875</x:v>
      </x:c>
      <x:c r="O696" s="14" t="n">
        <x:v>1268</x:v>
      </x:c>
      <x:c r="P696" s="14" t="n">
        <x:f>MIN(32767,MAX(0,INT((K696+INT('공식·설정'!$B$12/2))/'공식·설정'!$B$12)))</x:f>
        <x:v>1268</x:v>
      </x:c>
      <x:c r="Q696" s="68" t="n">
        <x:f>P696-O696</x:f>
        <x:v>0</x:v>
      </x:c>
      <x:c r="R696" s="14" t="n">
        <x:v>3254528</x:v>
      </x:c>
      <x:c r="S696" s="14" t="n">
        <x:f>P696*'공식·설정'!$B$12+'공식·설정'!$B$14</x:f>
        <x:v>3254528</x:v>
      </x:c>
      <x:c r="T696" s="68" t="n">
        <x:f>S696-R696</x:f>
        <x:v>0</x:v>
      </x:c>
      <x:c r="U696" s="65" t="n">
        <x:f>R696/'공식·설정'!$B$7</x:f>
        <x:v>12713</x:v>
      </x:c>
      <x:c r="V696" s="65" t="n">
        <x:f>S696/'공식·설정'!$B$7</x:f>
        <x:v>12713</x:v>
      </x:c>
      <x:c r="W696" s="14" t="n">
        <x:v>754</x:v>
      </x:c>
      <x:c r="X696" s="14" t="n">
        <x:f>INT(ABS(K697-K696)*'공식·설정'!$B$8/K696)</x:f>
        <x:v>754</x:v>
      </x:c>
      <x:c r="Y696" s="68" t="n">
        <x:f>X696-W696</x:f>
        <x:v>0</x:v>
      </x:c>
      <x:c r="Z696" s="66" t="n">
        <x:f>W696/'공식·설정'!$B$8</x:f>
        <x:v>0.011505126953125</x:v>
      </x:c>
      <x:c r="AA696" s="66" t="n">
        <x:f>X696/'공식·설정'!$B$8</x:f>
        <x:v>0.011505126953125</x:v>
      </x:c>
      <x:c r="AB696" s="67" t="str">
        <x:f>IF(AND(I696=0,L696=0,Q696=0,T696=0,Y696=0),"PASS","FAIL")</x:f>
        <x:v>PASS</x:v>
      </x:c>
    </x:row>
    <x:row r="697" ht="18" customHeight="1">
      <x:c r="A697" s="14" t="n">
        <x:v>800</x:v>
      </x:c>
      <x:c r="B697" s="14" t="n">
        <x:v>692</x:v>
      </x:c>
      <x:c r="C697" s="14" t="n">
        <x:v>798</x:v>
      </x:c>
      <x:c r="D697" s="14" t="n">
        <x:v>493008</x:v>
      </x:c>
      <x:c r="E697" s="14" t="n">
        <x:v>812</x:v>
      </x:c>
      <x:c r="F697" s="14" t="n">
        <x:v>573443</x:v>
      </x:c>
      <x:c r="G697" s="14" t="n">
        <x:v>504498</x:v>
      </x:c>
      <x:c r="H697" s="14" t="n">
        <x:f>INT((F697-D697)*(A697-C697)/(E697-C697))+D697</x:f>
        <x:v>504498</x:v>
      </x:c>
      <x:c r="I697" s="68" t="n">
        <x:f>H697-G697</x:f>
        <x:v>0</x:v>
      </x:c>
      <x:c r="J697" s="14" t="n">
        <x:v>3284424</x:v>
      </x:c>
      <x:c r="K697" s="14" t="n">
        <x:f>INT(H697*'공식·설정'!$B$10/'공식·설정'!$B$15)</x:f>
        <x:v>3284424</x:v>
      </x:c>
      <x:c r="L697" s="68" t="n">
        <x:f>K697-J697</x:f>
        <x:v>0</x:v>
      </x:c>
      <x:c r="M697" s="65" t="n">
        <x:f>J697/'공식·설정'!$B$7</x:f>
        <x:v>12829.78125</x:v>
      </x:c>
      <x:c r="N697" s="65" t="n">
        <x:f>K697/'공식·설정'!$B$7</x:f>
        <x:v>12829.78125</x:v>
      </x:c>
      <x:c r="O697" s="14" t="n">
        <x:v>1283</x:v>
      </x:c>
      <x:c r="P697" s="14" t="n">
        <x:f>MIN(32767,MAX(0,INT((K697+INT('공식·설정'!$B$12/2))/'공식·설정'!$B$12)))</x:f>
        <x:v>1283</x:v>
      </x:c>
      <x:c r="Q697" s="68" t="n">
        <x:f>P697-O697</x:f>
        <x:v>0</x:v>
      </x:c>
      <x:c r="R697" s="14" t="n">
        <x:v>3292928</x:v>
      </x:c>
      <x:c r="S697" s="14" t="n">
        <x:f>P697*'공식·설정'!$B$12+'공식·설정'!$B$14</x:f>
        <x:v>3292928</x:v>
      </x:c>
      <x:c r="T697" s="68" t="n">
        <x:f>S697-R697</x:f>
        <x:v>0</x:v>
      </x:c>
      <x:c r="U697" s="65" t="n">
        <x:f>R697/'공식·설정'!$B$7</x:f>
        <x:v>12863</x:v>
      </x:c>
      <x:c r="V697" s="65" t="n">
        <x:f>S697/'공식·설정'!$B$7</x:f>
        <x:v>12863</x:v>
      </x:c>
      <x:c r="W697" s="14" t="n">
        <x:v>746</x:v>
      </x:c>
      <x:c r="X697" s="14" t="n">
        <x:f>INT(ABS(K698-K697)*'공식·설정'!$B$8/K697)</x:f>
        <x:v>746</x:v>
      </x:c>
      <x:c r="Y697" s="68" t="n">
        <x:f>X697-W697</x:f>
        <x:v>0</x:v>
      </x:c>
      <x:c r="Z697" s="66" t="n">
        <x:f>W697/'공식·설정'!$B$8</x:f>
        <x:v>0.011383056640625</x:v>
      </x:c>
      <x:c r="AA697" s="66" t="n">
        <x:f>X697/'공식·설정'!$B$8</x:f>
        <x:v>0.011383056640625</x:v>
      </x:c>
      <x:c r="AB697" s="67" t="str">
        <x:f>IF(AND(I697=0,L697=0,Q697=0,T697=0,Y697=0),"PASS","FAIL")</x:f>
        <x:v>PASS</x:v>
      </x:c>
    </x:row>
    <x:row r="698" ht="18" customHeight="1">
      <x:c r="A698" s="14" t="n">
        <x:v>801</x:v>
      </x:c>
      <x:c r="B698" s="14" t="n">
        <x:v>693</x:v>
      </x:c>
      <x:c r="C698" s="14" t="n">
        <x:v>798</x:v>
      </x:c>
      <x:c r="D698" s="14" t="n">
        <x:v>493008</x:v>
      </x:c>
      <x:c r="E698" s="14" t="n">
        <x:v>812</x:v>
      </x:c>
      <x:c r="F698" s="14" t="n">
        <x:v>573443</x:v>
      </x:c>
      <x:c r="G698" s="14" t="n">
        <x:v>510244</x:v>
      </x:c>
      <x:c r="H698" s="14" t="n">
        <x:f>INT((F698-D698)*(A698-C698)/(E698-C698))+D698</x:f>
        <x:v>510244</x:v>
      </x:c>
      <x:c r="I698" s="68" t="n">
        <x:f>H698-G698</x:f>
        <x:v>0</x:v>
      </x:c>
      <x:c r="J698" s="14" t="n">
        <x:v>3321832</x:v>
      </x:c>
      <x:c r="K698" s="14" t="n">
        <x:f>INT(H698*'공식·설정'!$B$10/'공식·설정'!$B$15)</x:f>
        <x:v>3321832</x:v>
      </x:c>
      <x:c r="L698" s="68" t="n">
        <x:f>K698-J698</x:f>
        <x:v>0</x:v>
      </x:c>
      <x:c r="M698" s="65" t="n">
        <x:f>J698/'공식·설정'!$B$7</x:f>
        <x:v>12975.90625</x:v>
      </x:c>
      <x:c r="N698" s="65" t="n">
        <x:f>K698/'공식·설정'!$B$7</x:f>
        <x:v>12975.90625</x:v>
      </x:c>
      <x:c r="O698" s="14" t="n">
        <x:v>1298</x:v>
      </x:c>
      <x:c r="P698" s="14" t="n">
        <x:f>MIN(32767,MAX(0,INT((K698+INT('공식·설정'!$B$12/2))/'공식·설정'!$B$12)))</x:f>
        <x:v>1298</x:v>
      </x:c>
      <x:c r="Q698" s="68" t="n">
        <x:f>P698-O698</x:f>
        <x:v>0</x:v>
      </x:c>
      <x:c r="R698" s="14" t="n">
        <x:v>3331328</x:v>
      </x:c>
      <x:c r="S698" s="14" t="n">
        <x:f>P698*'공식·설정'!$B$12+'공식·설정'!$B$14</x:f>
        <x:v>3331328</x:v>
      </x:c>
      <x:c r="T698" s="68" t="n">
        <x:f>S698-R698</x:f>
        <x:v>0</x:v>
      </x:c>
      <x:c r="U698" s="65" t="n">
        <x:f>R698/'공식·설정'!$B$7</x:f>
        <x:v>13013</x:v>
      </x:c>
      <x:c r="V698" s="65" t="n">
        <x:f>S698/'공식·설정'!$B$7</x:f>
        <x:v>13013</x:v>
      </x:c>
      <x:c r="W698" s="14" t="n">
        <x:v>737</x:v>
      </x:c>
      <x:c r="X698" s="14" t="n">
        <x:f>INT(ABS(K699-K698)*'공식·설정'!$B$8/K698)</x:f>
        <x:v>737</x:v>
      </x:c>
      <x:c r="Y698" s="68" t="n">
        <x:f>X698-W698</x:f>
        <x:v>0</x:v>
      </x:c>
      <x:c r="Z698" s="66" t="n">
        <x:f>W698/'공식·설정'!$B$8</x:f>
        <x:v>0.0112457275390625</x:v>
      </x:c>
      <x:c r="AA698" s="66" t="n">
        <x:f>X698/'공식·설정'!$B$8</x:f>
        <x:v>0.0112457275390625</x:v>
      </x:c>
      <x:c r="AB698" s="67" t="str">
        <x:f>IF(AND(I698=0,L698=0,Q698=0,T698=0,Y698=0),"PASS","FAIL")</x:f>
        <x:v>PASS</x:v>
      </x:c>
    </x:row>
    <x:row r="699" ht="18" customHeight="1">
      <x:c r="A699" s="14" t="n">
        <x:v>802</x:v>
      </x:c>
      <x:c r="B699" s="14" t="n">
        <x:v>694</x:v>
      </x:c>
      <x:c r="C699" s="14" t="n">
        <x:v>798</x:v>
      </x:c>
      <x:c r="D699" s="14" t="n">
        <x:v>493008</x:v>
      </x:c>
      <x:c r="E699" s="14" t="n">
        <x:v>812</x:v>
      </x:c>
      <x:c r="F699" s="14" t="n">
        <x:v>573443</x:v>
      </x:c>
      <x:c r="G699" s="14" t="n">
        <x:v>515989</x:v>
      </x:c>
      <x:c r="H699" s="14" t="n">
        <x:f>INT((F699-D699)*(A699-C699)/(E699-C699))+D699</x:f>
        <x:v>515989</x:v>
      </x:c>
      <x:c r="I699" s="68" t="n">
        <x:f>H699-G699</x:f>
        <x:v>0</x:v>
      </x:c>
      <x:c r="J699" s="14" t="n">
        <x:v>3359233</x:v>
      </x:c>
      <x:c r="K699" s="14" t="n">
        <x:f>INT(H699*'공식·설정'!$B$10/'공식·설정'!$B$15)</x:f>
        <x:v>3359233</x:v>
      </x:c>
      <x:c r="L699" s="68" t="n">
        <x:f>K699-J699</x:f>
        <x:v>0</x:v>
      </x:c>
      <x:c r="M699" s="65" t="n">
        <x:f>J699/'공식·설정'!$B$7</x:f>
        <x:v>13122.00390625</x:v>
      </x:c>
      <x:c r="N699" s="65" t="n">
        <x:f>K699/'공식·설정'!$B$7</x:f>
        <x:v>13122.00390625</x:v>
      </x:c>
      <x:c r="O699" s="14" t="n">
        <x:v>1312</x:v>
      </x:c>
      <x:c r="P699" s="14" t="n">
        <x:f>MIN(32767,MAX(0,INT((K699+INT('공식·설정'!$B$12/2))/'공식·설정'!$B$12)))</x:f>
        <x:v>1312</x:v>
      </x:c>
      <x:c r="Q699" s="68" t="n">
        <x:f>P699-O699</x:f>
        <x:v>0</x:v>
      </x:c>
      <x:c r="R699" s="14" t="n">
        <x:v>3367168</x:v>
      </x:c>
      <x:c r="S699" s="14" t="n">
        <x:f>P699*'공식·설정'!$B$12+'공식·설정'!$B$14</x:f>
        <x:v>3367168</x:v>
      </x:c>
      <x:c r="T699" s="68" t="n">
        <x:f>S699-R699</x:f>
        <x:v>0</x:v>
      </x:c>
      <x:c r="U699" s="65" t="n">
        <x:f>R699/'공식·설정'!$B$7</x:f>
        <x:v>13153</x:v>
      </x:c>
      <x:c r="V699" s="65" t="n">
        <x:f>S699/'공식·설정'!$B$7</x:f>
        <x:v>13153</x:v>
      </x:c>
      <x:c r="W699" s="14" t="n">
        <x:v>729</x:v>
      </x:c>
      <x:c r="X699" s="14" t="n">
        <x:f>INT(ABS(K700-K699)*'공식·설정'!$B$8/K699)</x:f>
        <x:v>729</x:v>
      </x:c>
      <x:c r="Y699" s="68" t="n">
        <x:f>X699-W699</x:f>
        <x:v>0</x:v>
      </x:c>
      <x:c r="Z699" s="66" t="n">
        <x:f>W699/'공식·설정'!$B$8</x:f>
        <x:v>0.0111236572265625</x:v>
      </x:c>
      <x:c r="AA699" s="66" t="n">
        <x:f>X699/'공식·설정'!$B$8</x:f>
        <x:v>0.0111236572265625</x:v>
      </x:c>
      <x:c r="AB699" s="67" t="str">
        <x:f>IF(AND(I699=0,L699=0,Q699=0,T699=0,Y699=0),"PASS","FAIL")</x:f>
        <x:v>PASS</x:v>
      </x:c>
    </x:row>
    <x:row r="700" ht="18" customHeight="1">
      <x:c r="A700" s="14" t="n">
        <x:v>803</x:v>
      </x:c>
      <x:c r="B700" s="14" t="n">
        <x:v>695</x:v>
      </x:c>
      <x:c r="C700" s="14" t="n">
        <x:v>798</x:v>
      </x:c>
      <x:c r="D700" s="14" t="n">
        <x:v>493008</x:v>
      </x:c>
      <x:c r="E700" s="14" t="n">
        <x:v>812</x:v>
      </x:c>
      <x:c r="F700" s="14" t="n">
        <x:v>573443</x:v>
      </x:c>
      <x:c r="G700" s="14" t="n">
        <x:v>521734</x:v>
      </x:c>
      <x:c r="H700" s="14" t="n">
        <x:f>INT((F700-D700)*(A700-C700)/(E700-C700))+D700</x:f>
        <x:v>521734</x:v>
      </x:c>
      <x:c r="I700" s="68" t="n">
        <x:f>H700-G700</x:f>
        <x:v>0</x:v>
      </x:c>
      <x:c r="J700" s="14" t="n">
        <x:v>3396635</x:v>
      </x:c>
      <x:c r="K700" s="14" t="n">
        <x:f>INT(H700*'공식·설정'!$B$10/'공식·설정'!$B$15)</x:f>
        <x:v>3396635</x:v>
      </x:c>
      <x:c r="L700" s="68" t="n">
        <x:f>K700-J700</x:f>
        <x:v>0</x:v>
      </x:c>
      <x:c r="M700" s="65" t="n">
        <x:f>J700/'공식·설정'!$B$7</x:f>
        <x:v>13268.10546875</x:v>
      </x:c>
      <x:c r="N700" s="65" t="n">
        <x:f>K700/'공식·설정'!$B$7</x:f>
        <x:v>13268.10546875</x:v>
      </x:c>
      <x:c r="O700" s="14" t="n">
        <x:v>1327</x:v>
      </x:c>
      <x:c r="P700" s="14" t="n">
        <x:f>MIN(32767,MAX(0,INT((K700+INT('공식·설정'!$B$12/2))/'공식·설정'!$B$12)))</x:f>
        <x:v>1327</x:v>
      </x:c>
      <x:c r="Q700" s="68" t="n">
        <x:f>P700-O700</x:f>
        <x:v>0</x:v>
      </x:c>
      <x:c r="R700" s="14" t="n">
        <x:v>3405568</x:v>
      </x:c>
      <x:c r="S700" s="14" t="n">
        <x:f>P700*'공식·설정'!$B$12+'공식·설정'!$B$14</x:f>
        <x:v>3405568</x:v>
      </x:c>
      <x:c r="T700" s="68" t="n">
        <x:f>S700-R700</x:f>
        <x:v>0</x:v>
      </x:c>
      <x:c r="U700" s="65" t="n">
        <x:f>R700/'공식·설정'!$B$7</x:f>
        <x:v>13303</x:v>
      </x:c>
      <x:c r="V700" s="65" t="n">
        <x:f>S700/'공식·설정'!$B$7</x:f>
        <x:v>13303</x:v>
      </x:c>
      <x:c r="W700" s="14" t="n">
        <x:v>721</x:v>
      </x:c>
      <x:c r="X700" s="14" t="n">
        <x:f>INT(ABS(K701-K700)*'공식·설정'!$B$8/K700)</x:f>
        <x:v>721</x:v>
      </x:c>
      <x:c r="Y700" s="68" t="n">
        <x:f>X700-W700</x:f>
        <x:v>0</x:v>
      </x:c>
      <x:c r="Z700" s="66" t="n">
        <x:f>W700/'공식·설정'!$B$8</x:f>
        <x:v>0.0110015869140625</x:v>
      </x:c>
      <x:c r="AA700" s="66" t="n">
        <x:f>X700/'공식·설정'!$B$8</x:f>
        <x:v>0.0110015869140625</x:v>
      </x:c>
      <x:c r="AB700" s="67" t="str">
        <x:f>IF(AND(I700=0,L700=0,Q700=0,T700=0,Y700=0),"PASS","FAIL")</x:f>
        <x:v>PASS</x:v>
      </x:c>
    </x:row>
    <x:row r="701" ht="18" customHeight="1">
      <x:c r="A701" s="14" t="n">
        <x:v>804</x:v>
      </x:c>
      <x:c r="B701" s="14" t="n">
        <x:v>696</x:v>
      </x:c>
      <x:c r="C701" s="14" t="n">
        <x:v>798</x:v>
      </x:c>
      <x:c r="D701" s="14" t="n">
        <x:v>493008</x:v>
      </x:c>
      <x:c r="E701" s="14" t="n">
        <x:v>812</x:v>
      </x:c>
      <x:c r="F701" s="14" t="n">
        <x:v>573443</x:v>
      </x:c>
      <x:c r="G701" s="14" t="n">
        <x:v>527480</x:v>
      </x:c>
      <x:c r="H701" s="14" t="n">
        <x:f>INT((F701-D701)*(A701-C701)/(E701-C701))+D701</x:f>
        <x:v>527480</x:v>
      </x:c>
      <x:c r="I701" s="68" t="n">
        <x:f>H701-G701</x:f>
        <x:v>0</x:v>
      </x:c>
      <x:c r="J701" s="14" t="n">
        <x:v>3434043</x:v>
      </x:c>
      <x:c r="K701" s="14" t="n">
        <x:f>INT(H701*'공식·설정'!$B$10/'공식·설정'!$B$15)</x:f>
        <x:v>3434043</x:v>
      </x:c>
      <x:c r="L701" s="68" t="n">
        <x:f>K701-J701</x:f>
        <x:v>0</x:v>
      </x:c>
      <x:c r="M701" s="65" t="n">
        <x:f>J701/'공식·설정'!$B$7</x:f>
        <x:v>13414.23046875</x:v>
      </x:c>
      <x:c r="N701" s="65" t="n">
        <x:f>K701/'공식·설정'!$B$7</x:f>
        <x:v>13414.23046875</x:v>
      </x:c>
      <x:c r="O701" s="14" t="n">
        <x:v>1341</x:v>
      </x:c>
      <x:c r="P701" s="14" t="n">
        <x:f>MIN(32767,MAX(0,INT((K701+INT('공식·설정'!$B$12/2))/'공식·설정'!$B$12)))</x:f>
        <x:v>1341</x:v>
      </x:c>
      <x:c r="Q701" s="68" t="n">
        <x:f>P701-O701</x:f>
        <x:v>0</x:v>
      </x:c>
      <x:c r="R701" s="14" t="n">
        <x:v>3441408</x:v>
      </x:c>
      <x:c r="S701" s="14" t="n">
        <x:f>P701*'공식·설정'!$B$12+'공식·설정'!$B$14</x:f>
        <x:v>3441408</x:v>
      </x:c>
      <x:c r="T701" s="68" t="n">
        <x:f>S701-R701</x:f>
        <x:v>0</x:v>
      </x:c>
      <x:c r="U701" s="65" t="n">
        <x:f>R701/'공식·설정'!$B$7</x:f>
        <x:v>13443</x:v>
      </x:c>
      <x:c r="V701" s="65" t="n">
        <x:f>S701/'공식·설정'!$B$7</x:f>
        <x:v>13443</x:v>
      </x:c>
      <x:c r="W701" s="14" t="n">
        <x:v>713</x:v>
      </x:c>
      <x:c r="X701" s="14" t="n">
        <x:f>INT(ABS(K702-K701)*'공식·설정'!$B$8/K701)</x:f>
        <x:v>713</x:v>
      </x:c>
      <x:c r="Y701" s="68" t="n">
        <x:f>X701-W701</x:f>
        <x:v>0</x:v>
      </x:c>
      <x:c r="Z701" s="66" t="n">
        <x:f>W701/'공식·설정'!$B$8</x:f>
        <x:v>0.0108795166015625</x:v>
      </x:c>
      <x:c r="AA701" s="66" t="n">
        <x:f>X701/'공식·설정'!$B$8</x:f>
        <x:v>0.0108795166015625</x:v>
      </x:c>
      <x:c r="AB701" s="67" t="str">
        <x:f>IF(AND(I701=0,L701=0,Q701=0,T701=0,Y701=0),"PASS","FAIL")</x:f>
        <x:v>PASS</x:v>
      </x:c>
    </x:row>
    <x:row r="702" ht="18" customHeight="1">
      <x:c r="A702" s="14" t="n">
        <x:v>805</x:v>
      </x:c>
      <x:c r="B702" s="14" t="n">
        <x:v>697</x:v>
      </x:c>
      <x:c r="C702" s="14" t="n">
        <x:v>798</x:v>
      </x:c>
      <x:c r="D702" s="14" t="n">
        <x:v>493008</x:v>
      </x:c>
      <x:c r="E702" s="14" t="n">
        <x:v>812</x:v>
      </x:c>
      <x:c r="F702" s="14" t="n">
        <x:v>573443</x:v>
      </x:c>
      <x:c r="G702" s="14" t="n">
        <x:v>533225</x:v>
      </x:c>
      <x:c r="H702" s="14" t="n">
        <x:f>INT((F702-D702)*(A702-C702)/(E702-C702))+D702</x:f>
        <x:v>533225</x:v>
      </x:c>
      <x:c r="I702" s="68" t="n">
        <x:f>H702-G702</x:f>
        <x:v>0</x:v>
      </x:c>
      <x:c r="J702" s="14" t="n">
        <x:v>3471445</x:v>
      </x:c>
      <x:c r="K702" s="14" t="n">
        <x:f>INT(H702*'공식·설정'!$B$10/'공식·설정'!$B$15)</x:f>
        <x:v>3471445</x:v>
      </x:c>
      <x:c r="L702" s="68" t="n">
        <x:f>K702-J702</x:f>
        <x:v>0</x:v>
      </x:c>
      <x:c r="M702" s="65" t="n">
        <x:f>J702/'공식·설정'!$B$7</x:f>
        <x:v>13560.33203125</x:v>
      </x:c>
      <x:c r="N702" s="65" t="n">
        <x:f>K702/'공식·설정'!$B$7</x:f>
        <x:v>13560.33203125</x:v>
      </x:c>
      <x:c r="O702" s="14" t="n">
        <x:v>1356</x:v>
      </x:c>
      <x:c r="P702" s="14" t="n">
        <x:f>MIN(32767,MAX(0,INT((K702+INT('공식·설정'!$B$12/2))/'공식·설정'!$B$12)))</x:f>
        <x:v>1356</x:v>
      </x:c>
      <x:c r="Q702" s="68" t="n">
        <x:f>P702-O702</x:f>
        <x:v>0</x:v>
      </x:c>
      <x:c r="R702" s="14" t="n">
        <x:v>3479808</x:v>
      </x:c>
      <x:c r="S702" s="14" t="n">
        <x:f>P702*'공식·설정'!$B$12+'공식·설정'!$B$14</x:f>
        <x:v>3479808</x:v>
      </x:c>
      <x:c r="T702" s="68" t="n">
        <x:f>S702-R702</x:f>
        <x:v>0</x:v>
      </x:c>
      <x:c r="U702" s="65" t="n">
        <x:f>R702/'공식·설정'!$B$7</x:f>
        <x:v>13593</x:v>
      </x:c>
      <x:c r="V702" s="65" t="n">
        <x:f>S702/'공식·설정'!$B$7</x:f>
        <x:v>13593</x:v>
      </x:c>
      <x:c r="W702" s="14" t="n">
        <x:v>706</x:v>
      </x:c>
      <x:c r="X702" s="14" t="n">
        <x:f>INT(ABS(K703-K702)*'공식·설정'!$B$8/K702)</x:f>
        <x:v>706</x:v>
      </x:c>
      <x:c r="Y702" s="68" t="n">
        <x:f>X702-W702</x:f>
        <x:v>0</x:v>
      </x:c>
      <x:c r="Z702" s="66" t="n">
        <x:f>W702/'공식·설정'!$B$8</x:f>
        <x:v>0.010772705078125</x:v>
      </x:c>
      <x:c r="AA702" s="66" t="n">
        <x:f>X702/'공식·설정'!$B$8</x:f>
        <x:v>0.010772705078125</x:v>
      </x:c>
      <x:c r="AB702" s="67" t="str">
        <x:f>IF(AND(I702=0,L702=0,Q702=0,T702=0,Y702=0),"PASS","FAIL")</x:f>
        <x:v>PASS</x:v>
      </x:c>
    </x:row>
    <x:row r="703" ht="18" customHeight="1">
      <x:c r="A703" s="14" t="n">
        <x:v>806</x:v>
      </x:c>
      <x:c r="B703" s="14" t="n">
        <x:v>698</x:v>
      </x:c>
      <x:c r="C703" s="14" t="n">
        <x:v>798</x:v>
      </x:c>
      <x:c r="D703" s="14" t="n">
        <x:v>493008</x:v>
      </x:c>
      <x:c r="E703" s="14" t="n">
        <x:v>812</x:v>
      </x:c>
      <x:c r="F703" s="14" t="n">
        <x:v>573443</x:v>
      </x:c>
      <x:c r="G703" s="14" t="n">
        <x:v>538970</x:v>
      </x:c>
      <x:c r="H703" s="14" t="n">
        <x:f>INT((F703-D703)*(A703-C703)/(E703-C703))+D703</x:f>
        <x:v>538970</x:v>
      </x:c>
      <x:c r="I703" s="68" t="n">
        <x:f>H703-G703</x:f>
        <x:v>0</x:v>
      </x:c>
      <x:c r="J703" s="14" t="n">
        <x:v>3508846</x:v>
      </x:c>
      <x:c r="K703" s="14" t="n">
        <x:f>INT(H703*'공식·설정'!$B$10/'공식·설정'!$B$15)</x:f>
        <x:v>3508846</x:v>
      </x:c>
      <x:c r="L703" s="68" t="n">
        <x:f>K703-J703</x:f>
        <x:v>0</x:v>
      </x:c>
      <x:c r="M703" s="65" t="n">
        <x:f>J703/'공식·설정'!$B$7</x:f>
        <x:v>13706.4296875</x:v>
      </x:c>
      <x:c r="N703" s="65" t="n">
        <x:f>K703/'공식·설정'!$B$7</x:f>
        <x:v>13706.4296875</x:v>
      </x:c>
      <x:c r="O703" s="14" t="n">
        <x:v>1371</x:v>
      </x:c>
      <x:c r="P703" s="14" t="n">
        <x:f>MIN(32767,MAX(0,INT((K703+INT('공식·설정'!$B$12/2))/'공식·설정'!$B$12)))</x:f>
        <x:v>1371</x:v>
      </x:c>
      <x:c r="Q703" s="68" t="n">
        <x:f>P703-O703</x:f>
        <x:v>0</x:v>
      </x:c>
      <x:c r="R703" s="14" t="n">
        <x:v>3518208</x:v>
      </x:c>
      <x:c r="S703" s="14" t="n">
        <x:f>P703*'공식·설정'!$B$12+'공식·설정'!$B$14</x:f>
        <x:v>3518208</x:v>
      </x:c>
      <x:c r="T703" s="68" t="n">
        <x:f>S703-R703</x:f>
        <x:v>0</x:v>
      </x:c>
      <x:c r="U703" s="65" t="n">
        <x:f>R703/'공식·설정'!$B$7</x:f>
        <x:v>13743</x:v>
      </x:c>
      <x:c r="V703" s="65" t="n">
        <x:f>S703/'공식·설정'!$B$7</x:f>
        <x:v>13743</x:v>
      </x:c>
      <x:c r="W703" s="14" t="n">
        <x:v>698</x:v>
      </x:c>
      <x:c r="X703" s="14" t="n">
        <x:f>INT(ABS(K704-K703)*'공식·설정'!$B$8/K703)</x:f>
        <x:v>698</x:v>
      </x:c>
      <x:c r="Y703" s="68" t="n">
        <x:f>X703-W703</x:f>
        <x:v>0</x:v>
      </x:c>
      <x:c r="Z703" s="66" t="n">
        <x:f>W703/'공식·설정'!$B$8</x:f>
        <x:v>0.010650634765625</x:v>
      </x:c>
      <x:c r="AA703" s="66" t="n">
        <x:f>X703/'공식·설정'!$B$8</x:f>
        <x:v>0.010650634765625</x:v>
      </x:c>
      <x:c r="AB703" s="67" t="str">
        <x:f>IF(AND(I703=0,L703=0,Q703=0,T703=0,Y703=0),"PASS","FAIL")</x:f>
        <x:v>PASS</x:v>
      </x:c>
    </x:row>
    <x:row r="704" ht="18" customHeight="1">
      <x:c r="A704" s="14" t="n">
        <x:v>807</x:v>
      </x:c>
      <x:c r="B704" s="14" t="n">
        <x:v>699</x:v>
      </x:c>
      <x:c r="C704" s="14" t="n">
        <x:v>798</x:v>
      </x:c>
      <x:c r="D704" s="14" t="n">
        <x:v>493008</x:v>
      </x:c>
      <x:c r="E704" s="14" t="n">
        <x:v>812</x:v>
      </x:c>
      <x:c r="F704" s="14" t="n">
        <x:v>573443</x:v>
      </x:c>
      <x:c r="G704" s="14" t="n">
        <x:v>544716</x:v>
      </x:c>
      <x:c r="H704" s="14" t="n">
        <x:f>INT((F704-D704)*(A704-C704)/(E704-C704))+D704</x:f>
        <x:v>544716</x:v>
      </x:c>
      <x:c r="I704" s="68" t="n">
        <x:f>H704-G704</x:f>
        <x:v>0</x:v>
      </x:c>
      <x:c r="J704" s="14" t="n">
        <x:v>3546254</x:v>
      </x:c>
      <x:c r="K704" s="14" t="n">
        <x:f>INT(H704*'공식·설정'!$B$10/'공식·설정'!$B$15)</x:f>
        <x:v>3546254</x:v>
      </x:c>
      <x:c r="L704" s="68" t="n">
        <x:f>K704-J704</x:f>
        <x:v>0</x:v>
      </x:c>
      <x:c r="M704" s="65" t="n">
        <x:f>J704/'공식·설정'!$B$7</x:f>
        <x:v>13852.5546875</x:v>
      </x:c>
      <x:c r="N704" s="65" t="n">
        <x:f>K704/'공식·설정'!$B$7</x:f>
        <x:v>13852.5546875</x:v>
      </x:c>
      <x:c r="O704" s="14" t="n">
        <x:v>1385</x:v>
      </x:c>
      <x:c r="P704" s="14" t="n">
        <x:f>MIN(32767,MAX(0,INT((K704+INT('공식·설정'!$B$12/2))/'공식·설정'!$B$12)))</x:f>
        <x:v>1385</x:v>
      </x:c>
      <x:c r="Q704" s="68" t="n">
        <x:f>P704-O704</x:f>
        <x:v>0</x:v>
      </x:c>
      <x:c r="R704" s="14" t="n">
        <x:v>3554048</x:v>
      </x:c>
      <x:c r="S704" s="14" t="n">
        <x:f>P704*'공식·설정'!$B$12+'공식·설정'!$B$14</x:f>
        <x:v>3554048</x:v>
      </x:c>
      <x:c r="T704" s="68" t="n">
        <x:f>S704-R704</x:f>
        <x:v>0</x:v>
      </x:c>
      <x:c r="U704" s="65" t="n">
        <x:f>R704/'공식·설정'!$B$7</x:f>
        <x:v>13883</x:v>
      </x:c>
      <x:c r="V704" s="65" t="n">
        <x:f>S704/'공식·설정'!$B$7</x:f>
        <x:v>13883</x:v>
      </x:c>
      <x:c r="W704" s="14" t="n">
        <x:v>691</x:v>
      </x:c>
      <x:c r="X704" s="14" t="n">
        <x:f>INT(ABS(K705-K704)*'공식·설정'!$B$8/K704)</x:f>
        <x:v>691</x:v>
      </x:c>
      <x:c r="Y704" s="68" t="n">
        <x:f>X704-W704</x:f>
        <x:v>0</x:v>
      </x:c>
      <x:c r="Z704" s="66" t="n">
        <x:f>W704/'공식·설정'!$B$8</x:f>
        <x:v>0.0105438232421875</x:v>
      </x:c>
      <x:c r="AA704" s="66" t="n">
        <x:f>X704/'공식·설정'!$B$8</x:f>
        <x:v>0.0105438232421875</x:v>
      </x:c>
      <x:c r="AB704" s="67" t="str">
        <x:f>IF(AND(I704=0,L704=0,Q704=0,T704=0,Y704=0),"PASS","FAIL")</x:f>
        <x:v>PASS</x:v>
      </x:c>
    </x:row>
    <x:row r="705" ht="18" customHeight="1">
      <x:c r="A705" s="14" t="n">
        <x:v>808</x:v>
      </x:c>
      <x:c r="B705" s="14" t="n">
        <x:v>700</x:v>
      </x:c>
      <x:c r="C705" s="14" t="n">
        <x:v>798</x:v>
      </x:c>
      <x:c r="D705" s="14" t="n">
        <x:v>493008</x:v>
      </x:c>
      <x:c r="E705" s="14" t="n">
        <x:v>812</x:v>
      </x:c>
      <x:c r="F705" s="14" t="n">
        <x:v>573443</x:v>
      </x:c>
      <x:c r="G705" s="14" t="n">
        <x:v>550461</x:v>
      </x:c>
      <x:c r="H705" s="14" t="n">
        <x:f>INT((F705-D705)*(A705-C705)/(E705-C705))+D705</x:f>
        <x:v>550461</x:v>
      </x:c>
      <x:c r="I705" s="68" t="n">
        <x:f>H705-G705</x:f>
        <x:v>0</x:v>
      </x:c>
      <x:c r="J705" s="14" t="n">
        <x:v>3583656</x:v>
      </x:c>
      <x:c r="K705" s="14" t="n">
        <x:f>INT(H705*'공식·설정'!$B$10/'공식·설정'!$B$15)</x:f>
        <x:v>3583656</x:v>
      </x:c>
      <x:c r="L705" s="68" t="n">
        <x:f>K705-J705</x:f>
        <x:v>0</x:v>
      </x:c>
      <x:c r="M705" s="65" t="n">
        <x:f>J705/'공식·설정'!$B$7</x:f>
        <x:v>13998.65625</x:v>
      </x:c>
      <x:c r="N705" s="65" t="n">
        <x:f>K705/'공식·설정'!$B$7</x:f>
        <x:v>13998.65625</x:v>
      </x:c>
      <x:c r="O705" s="14" t="n">
        <x:v>1400</x:v>
      </x:c>
      <x:c r="P705" s="14" t="n">
        <x:f>MIN(32767,MAX(0,INT((K705+INT('공식·설정'!$B$12/2))/'공식·설정'!$B$12)))</x:f>
        <x:v>1400</x:v>
      </x:c>
      <x:c r="Q705" s="68" t="n">
        <x:f>P705-O705</x:f>
        <x:v>0</x:v>
      </x:c>
      <x:c r="R705" s="14" t="n">
        <x:v>3592448</x:v>
      </x:c>
      <x:c r="S705" s="14" t="n">
        <x:f>P705*'공식·설정'!$B$12+'공식·설정'!$B$14</x:f>
        <x:v>3592448</x:v>
      </x:c>
      <x:c r="T705" s="68" t="n">
        <x:f>S705-R705</x:f>
        <x:v>0</x:v>
      </x:c>
      <x:c r="U705" s="65" t="n">
        <x:f>R705/'공식·설정'!$B$7</x:f>
        <x:v>14033</x:v>
      </x:c>
      <x:c r="V705" s="65" t="n">
        <x:f>S705/'공식·설정'!$B$7</x:f>
        <x:v>14033</x:v>
      </x:c>
      <x:c r="W705" s="14" t="n">
        <x:v>683</x:v>
      </x:c>
      <x:c r="X705" s="14" t="n">
        <x:f>INT(ABS(K706-K705)*'공식·설정'!$B$8/K705)</x:f>
        <x:v>683</x:v>
      </x:c>
      <x:c r="Y705" s="68" t="n">
        <x:f>X705-W705</x:f>
        <x:v>0</x:v>
      </x:c>
      <x:c r="Z705" s="66" t="n">
        <x:f>W705/'공식·설정'!$B$8</x:f>
        <x:v>0.0104217529296875</x:v>
      </x:c>
      <x:c r="AA705" s="66" t="n">
        <x:f>X705/'공식·설정'!$B$8</x:f>
        <x:v>0.0104217529296875</x:v>
      </x:c>
      <x:c r="AB705" s="67" t="str">
        <x:f>IF(AND(I705=0,L705=0,Q705=0,T705=0,Y705=0),"PASS","FAIL")</x:f>
        <x:v>PASS</x:v>
      </x:c>
    </x:row>
    <x:row r="706" ht="18" customHeight="1">
      <x:c r="A706" s="14" t="n">
        <x:v>809</x:v>
      </x:c>
      <x:c r="B706" s="14" t="n">
        <x:v>701</x:v>
      </x:c>
      <x:c r="C706" s="14" t="n">
        <x:v>798</x:v>
      </x:c>
      <x:c r="D706" s="14" t="n">
        <x:v>493008</x:v>
      </x:c>
      <x:c r="E706" s="14" t="n">
        <x:v>812</x:v>
      </x:c>
      <x:c r="F706" s="14" t="n">
        <x:v>573443</x:v>
      </x:c>
      <x:c r="G706" s="14" t="n">
        <x:v>556206</x:v>
      </x:c>
      <x:c r="H706" s="14" t="n">
        <x:f>INT((F706-D706)*(A706-C706)/(E706-C706))+D706</x:f>
        <x:v>556206</x:v>
      </x:c>
      <x:c r="I706" s="68" t="n">
        <x:f>H706-G706</x:f>
        <x:v>0</x:v>
      </x:c>
      <x:c r="J706" s="14" t="n">
        <x:v>3621057</x:v>
      </x:c>
      <x:c r="K706" s="14" t="n">
        <x:f>INT(H706*'공식·설정'!$B$10/'공식·설정'!$B$15)</x:f>
        <x:v>3621057</x:v>
      </x:c>
      <x:c r="L706" s="68" t="n">
        <x:f>K706-J706</x:f>
        <x:v>0</x:v>
      </x:c>
      <x:c r="M706" s="65" t="n">
        <x:f>J706/'공식·설정'!$B$7</x:f>
        <x:v>14144.75390625</x:v>
      </x:c>
      <x:c r="N706" s="65" t="n">
        <x:f>K706/'공식·설정'!$B$7</x:f>
        <x:v>14144.75390625</x:v>
      </x:c>
      <x:c r="O706" s="14" t="n">
        <x:v>1414</x:v>
      </x:c>
      <x:c r="P706" s="14" t="n">
        <x:f>MIN(32767,MAX(0,INT((K706+INT('공식·설정'!$B$12/2))/'공식·설정'!$B$12)))</x:f>
        <x:v>1414</x:v>
      </x:c>
      <x:c r="Q706" s="68" t="n">
        <x:f>P706-O706</x:f>
        <x:v>0</x:v>
      </x:c>
      <x:c r="R706" s="14" t="n">
        <x:v>3628288</x:v>
      </x:c>
      <x:c r="S706" s="14" t="n">
        <x:f>P706*'공식·설정'!$B$12+'공식·설정'!$B$14</x:f>
        <x:v>3628288</x:v>
      </x:c>
      <x:c r="T706" s="68" t="n">
        <x:f>S706-R706</x:f>
        <x:v>0</x:v>
      </x:c>
      <x:c r="U706" s="65" t="n">
        <x:f>R706/'공식·설정'!$B$7</x:f>
        <x:v>14173</x:v>
      </x:c>
      <x:c r="V706" s="65" t="n">
        <x:f>S706/'공식·설정'!$B$7</x:f>
        <x:v>14173</x:v>
      </x:c>
      <x:c r="W706" s="14" t="n">
        <x:v>677</x:v>
      </x:c>
      <x:c r="X706" s="14" t="n">
        <x:f>INT(ABS(K707-K706)*'공식·설정'!$B$8/K706)</x:f>
        <x:v>677</x:v>
      </x:c>
      <x:c r="Y706" s="68" t="n">
        <x:f>X706-W706</x:f>
        <x:v>0</x:v>
      </x:c>
      <x:c r="Z706" s="66" t="n">
        <x:f>W706/'공식·설정'!$B$8</x:f>
        <x:v>0.0103302001953125</x:v>
      </x:c>
      <x:c r="AA706" s="66" t="n">
        <x:f>X706/'공식·설정'!$B$8</x:f>
        <x:v>0.0103302001953125</x:v>
      </x:c>
      <x:c r="AB706" s="67" t="str">
        <x:f>IF(AND(I706=0,L706=0,Q706=0,T706=0,Y706=0),"PASS","FAIL")</x:f>
        <x:v>PASS</x:v>
      </x:c>
    </x:row>
    <x:row r="707" ht="18" customHeight="1">
      <x:c r="A707" s="14" t="n">
        <x:v>810</x:v>
      </x:c>
      <x:c r="B707" s="14" t="n">
        <x:v>702</x:v>
      </x:c>
      <x:c r="C707" s="14" t="n">
        <x:v>798</x:v>
      </x:c>
      <x:c r="D707" s="14" t="n">
        <x:v>493008</x:v>
      </x:c>
      <x:c r="E707" s="14" t="n">
        <x:v>812</x:v>
      </x:c>
      <x:c r="F707" s="14" t="n">
        <x:v>573443</x:v>
      </x:c>
      <x:c r="G707" s="14" t="n">
        <x:v>561952</x:v>
      </x:c>
      <x:c r="H707" s="14" t="n">
        <x:f>INT((F707-D707)*(A707-C707)/(E707-C707))+D707</x:f>
        <x:v>561952</x:v>
      </x:c>
      <x:c r="I707" s="68" t="n">
        <x:f>H707-G707</x:f>
        <x:v>0</x:v>
      </x:c>
      <x:c r="J707" s="14" t="n">
        <x:v>3658465</x:v>
      </x:c>
      <x:c r="K707" s="14" t="n">
        <x:f>INT(H707*'공식·설정'!$B$10/'공식·설정'!$B$15)</x:f>
        <x:v>3658465</x:v>
      </x:c>
      <x:c r="L707" s="68" t="n">
        <x:f>K707-J707</x:f>
        <x:v>0</x:v>
      </x:c>
      <x:c r="M707" s="65" t="n">
        <x:f>J707/'공식·설정'!$B$7</x:f>
        <x:v>14290.87890625</x:v>
      </x:c>
      <x:c r="N707" s="65" t="n">
        <x:f>K707/'공식·설정'!$B$7</x:f>
        <x:v>14290.87890625</x:v>
      </x:c>
      <x:c r="O707" s="14" t="n">
        <x:v>1429</x:v>
      </x:c>
      <x:c r="P707" s="14" t="n">
        <x:f>MIN(32767,MAX(0,INT((K707+INT('공식·설정'!$B$12/2))/'공식·설정'!$B$12)))</x:f>
        <x:v>1429</x:v>
      </x:c>
      <x:c r="Q707" s="68" t="n">
        <x:f>P707-O707</x:f>
        <x:v>0</x:v>
      </x:c>
      <x:c r="R707" s="14" t="n">
        <x:v>3666688</x:v>
      </x:c>
      <x:c r="S707" s="14" t="n">
        <x:f>P707*'공식·설정'!$B$12+'공식·설정'!$B$14</x:f>
        <x:v>3666688</x:v>
      </x:c>
      <x:c r="T707" s="68" t="n">
        <x:f>S707-R707</x:f>
        <x:v>0</x:v>
      </x:c>
      <x:c r="U707" s="65" t="n">
        <x:f>R707/'공식·설정'!$B$7</x:f>
        <x:v>14323</x:v>
      </x:c>
      <x:c r="V707" s="65" t="n">
        <x:f>S707/'공식·설정'!$B$7</x:f>
        <x:v>14323</x:v>
      </x:c>
      <x:c r="W707" s="14" t="n">
        <x:v>670</x:v>
      </x:c>
      <x:c r="X707" s="14" t="n">
        <x:f>INT(ABS(K708-K707)*'공식·설정'!$B$8/K707)</x:f>
        <x:v>670</x:v>
      </x:c>
      <x:c r="Y707" s="68" t="n">
        <x:f>X707-W707</x:f>
        <x:v>0</x:v>
      </x:c>
      <x:c r="Z707" s="66" t="n">
        <x:f>W707/'공식·설정'!$B$8</x:f>
        <x:v>0.010223388671875</x:v>
      </x:c>
      <x:c r="AA707" s="66" t="n">
        <x:f>X707/'공식·설정'!$B$8</x:f>
        <x:v>0.010223388671875</x:v>
      </x:c>
      <x:c r="AB707" s="67" t="str">
        <x:f>IF(AND(I707=0,L707=0,Q707=0,T707=0,Y707=0),"PASS","FAIL")</x:f>
        <x:v>PASS</x:v>
      </x:c>
    </x:row>
    <x:row r="708" ht="18" customHeight="1">
      <x:c r="A708" s="14" t="n">
        <x:v>811</x:v>
      </x:c>
      <x:c r="B708" s="14" t="n">
        <x:v>703</x:v>
      </x:c>
      <x:c r="C708" s="14" t="n">
        <x:v>798</x:v>
      </x:c>
      <x:c r="D708" s="14" t="n">
        <x:v>493008</x:v>
      </x:c>
      <x:c r="E708" s="14" t="n">
        <x:v>812</x:v>
      </x:c>
      <x:c r="F708" s="14" t="n">
        <x:v>573443</x:v>
      </x:c>
      <x:c r="G708" s="14" t="n">
        <x:v>567697</x:v>
      </x:c>
      <x:c r="H708" s="14" t="n">
        <x:f>INT((F708-D708)*(A708-C708)/(E708-C708))+D708</x:f>
        <x:v>567697</x:v>
      </x:c>
      <x:c r="I708" s="68" t="n">
        <x:f>H708-G708</x:f>
        <x:v>0</x:v>
      </x:c>
      <x:c r="J708" s="14" t="n">
        <x:v>3695867</x:v>
      </x:c>
      <x:c r="K708" s="14" t="n">
        <x:f>INT(H708*'공식·설정'!$B$10/'공식·설정'!$B$15)</x:f>
        <x:v>3695867</x:v>
      </x:c>
      <x:c r="L708" s="68" t="n">
        <x:f>K708-J708</x:f>
        <x:v>0</x:v>
      </x:c>
      <x:c r="M708" s="65" t="n">
        <x:f>J708/'공식·설정'!$B$7</x:f>
        <x:v>14436.98046875</x:v>
      </x:c>
      <x:c r="N708" s="65" t="n">
        <x:f>K708/'공식·설정'!$B$7</x:f>
        <x:v>14436.98046875</x:v>
      </x:c>
      <x:c r="O708" s="14" t="n">
        <x:v>1444</x:v>
      </x:c>
      <x:c r="P708" s="14" t="n">
        <x:f>MIN(32767,MAX(0,INT((K708+INT('공식·설정'!$B$12/2))/'공식·설정'!$B$12)))</x:f>
        <x:v>1444</x:v>
      </x:c>
      <x:c r="Q708" s="68" t="n">
        <x:f>P708-O708</x:f>
        <x:v>0</x:v>
      </x:c>
      <x:c r="R708" s="14" t="n">
        <x:v>3705088</x:v>
      </x:c>
      <x:c r="S708" s="14" t="n">
        <x:f>P708*'공식·설정'!$B$12+'공식·설정'!$B$14</x:f>
        <x:v>3705088</x:v>
      </x:c>
      <x:c r="T708" s="68" t="n">
        <x:f>S708-R708</x:f>
        <x:v>0</x:v>
      </x:c>
      <x:c r="U708" s="65" t="n">
        <x:f>R708/'공식·설정'!$B$7</x:f>
        <x:v>14473</x:v>
      </x:c>
      <x:c r="V708" s="65" t="n">
        <x:f>S708/'공식·설정'!$B$7</x:f>
        <x:v>14473</x:v>
      </x:c>
      <x:c r="W708" s="14" t="n">
        <x:v>663</x:v>
      </x:c>
      <x:c r="X708" s="14" t="n">
        <x:f>INT(ABS(K709-K708)*'공식·설정'!$B$8/K708)</x:f>
        <x:v>663</x:v>
      </x:c>
      <x:c r="Y708" s="68" t="n">
        <x:f>X708-W708</x:f>
        <x:v>0</x:v>
      </x:c>
      <x:c r="Z708" s="66" t="n">
        <x:f>W708/'공식·설정'!$B$8</x:f>
        <x:v>0.0101165771484375</x:v>
      </x:c>
      <x:c r="AA708" s="66" t="n">
        <x:f>X708/'공식·설정'!$B$8</x:f>
        <x:v>0.0101165771484375</x:v>
      </x:c>
      <x:c r="AB708" s="67" t="str">
        <x:f>IF(AND(I708=0,L708=0,Q708=0,T708=0,Y708=0),"PASS","FAIL")</x:f>
        <x:v>PASS</x:v>
      </x:c>
    </x:row>
    <x:row r="709" ht="18" customHeight="1">
      <x:c r="A709" s="14" t="n">
        <x:v>812</x:v>
      </x:c>
      <x:c r="B709" s="14" t="n">
        <x:v>704</x:v>
      </x:c>
      <x:c r="C709" s="14" t="n">
        <x:v>812</x:v>
      </x:c>
      <x:c r="D709" s="14" t="n">
        <x:v>573443</x:v>
      </x:c>
      <x:c r="E709" s="14" t="n">
        <x:v>826</x:v>
      </x:c>
      <x:c r="F709" s="14" t="n">
        <x:v>666998</x:v>
      </x:c>
      <x:c r="G709" s="14" t="n">
        <x:v>573443</x:v>
      </x:c>
      <x:c r="H709" s="14" t="n">
        <x:f>INT((F709-D709)*(A709-C709)/(E709-C709))+D709</x:f>
        <x:v>573443</x:v>
      </x:c>
      <x:c r="I709" s="68" t="n">
        <x:f>H709-G709</x:f>
        <x:v>0</x:v>
      </x:c>
      <x:c r="J709" s="14" t="n">
        <x:v>3733275</x:v>
      </x:c>
      <x:c r="K709" s="14" t="n">
        <x:f>INT(H709*'공식·설정'!$B$10/'공식·설정'!$B$15)</x:f>
        <x:v>3733275</x:v>
      </x:c>
      <x:c r="L709" s="68" t="n">
        <x:f>K709-J709</x:f>
        <x:v>0</x:v>
      </x:c>
      <x:c r="M709" s="65" t="n">
        <x:f>J709/'공식·설정'!$B$7</x:f>
        <x:v>14583.10546875</x:v>
      </x:c>
      <x:c r="N709" s="65" t="n">
        <x:f>K709/'공식·설정'!$B$7</x:f>
        <x:v>14583.10546875</x:v>
      </x:c>
      <x:c r="O709" s="14" t="n">
        <x:v>1458</x:v>
      </x:c>
      <x:c r="P709" s="14" t="n">
        <x:f>MIN(32767,MAX(0,INT((K709+INT('공식·설정'!$B$12/2))/'공식·설정'!$B$12)))</x:f>
        <x:v>1458</x:v>
      </x:c>
      <x:c r="Q709" s="68" t="n">
        <x:f>P709-O709</x:f>
        <x:v>0</x:v>
      </x:c>
      <x:c r="R709" s="14" t="n">
        <x:v>3740928</x:v>
      </x:c>
      <x:c r="S709" s="14" t="n">
        <x:f>P709*'공식·설정'!$B$12+'공식·설정'!$B$14</x:f>
        <x:v>3740928</x:v>
      </x:c>
      <x:c r="T709" s="68" t="n">
        <x:f>S709-R709</x:f>
        <x:v>0</x:v>
      </x:c>
      <x:c r="U709" s="65" t="n">
        <x:f>R709/'공식·설정'!$B$7</x:f>
        <x:v>14613</x:v>
      </x:c>
      <x:c r="V709" s="65" t="n">
        <x:f>S709/'공식·설정'!$B$7</x:f>
        <x:v>14613</x:v>
      </x:c>
      <x:c r="W709" s="14" t="n">
        <x:v>763</x:v>
      </x:c>
      <x:c r="X709" s="14" t="n">
        <x:f>INT(ABS(K710-K709)*'공식·설정'!$B$8/K709)</x:f>
        <x:v>763</x:v>
      </x:c>
      <x:c r="Y709" s="68" t="n">
        <x:f>X709-W709</x:f>
        <x:v>0</x:v>
      </x:c>
      <x:c r="Z709" s="66" t="n">
        <x:f>W709/'공식·설정'!$B$8</x:f>
        <x:v>0.0116424560546875</x:v>
      </x:c>
      <x:c r="AA709" s="66" t="n">
        <x:f>X709/'공식·설정'!$B$8</x:f>
        <x:v>0.0116424560546875</x:v>
      </x:c>
      <x:c r="AB709" s="67" t="str">
        <x:f>IF(AND(I709=0,L709=0,Q709=0,T709=0,Y709=0),"PASS","FAIL")</x:f>
        <x:v>PASS</x:v>
      </x:c>
    </x:row>
    <x:row r="710" ht="18" customHeight="1">
      <x:c r="A710" s="14" t="n">
        <x:v>813</x:v>
      </x:c>
      <x:c r="B710" s="14" t="n">
        <x:v>705</x:v>
      </x:c>
      <x:c r="C710" s="14" t="n">
        <x:v>812</x:v>
      </x:c>
      <x:c r="D710" s="14" t="n">
        <x:v>573443</x:v>
      </x:c>
      <x:c r="E710" s="14" t="n">
        <x:v>826</x:v>
      </x:c>
      <x:c r="F710" s="14" t="n">
        <x:v>666998</x:v>
      </x:c>
      <x:c r="G710" s="14" t="n">
        <x:v>580125</x:v>
      </x:c>
      <x:c r="H710" s="14" t="n">
        <x:f>INT((F710-D710)*(A710-C710)/(E710-C710))+D710</x:f>
        <x:v>580125</x:v>
      </x:c>
      <x:c r="I710" s="68" t="n">
        <x:f>H710-G710</x:f>
        <x:v>0</x:v>
      </x:c>
      <x:c r="J710" s="14" t="n">
        <x:v>3776777</x:v>
      </x:c>
      <x:c r="K710" s="14" t="n">
        <x:f>INT(H710*'공식·설정'!$B$10/'공식·설정'!$B$15)</x:f>
        <x:v>3776777</x:v>
      </x:c>
      <x:c r="L710" s="68" t="n">
        <x:f>K710-J710</x:f>
        <x:v>0</x:v>
      </x:c>
      <x:c r="M710" s="65" t="n">
        <x:f>J710/'공식·설정'!$B$7</x:f>
        <x:v>14753.03515625</x:v>
      </x:c>
      <x:c r="N710" s="65" t="n">
        <x:f>K710/'공식·설정'!$B$7</x:f>
        <x:v>14753.03515625</x:v>
      </x:c>
      <x:c r="O710" s="14" t="n">
        <x:v>1475</x:v>
      </x:c>
      <x:c r="P710" s="14" t="n">
        <x:f>MIN(32767,MAX(0,INT((K710+INT('공식·설정'!$B$12/2))/'공식·설정'!$B$12)))</x:f>
        <x:v>1475</x:v>
      </x:c>
      <x:c r="Q710" s="68" t="n">
        <x:f>P710-O710</x:f>
        <x:v>0</x:v>
      </x:c>
      <x:c r="R710" s="14" t="n">
        <x:v>3784448</x:v>
      </x:c>
      <x:c r="S710" s="14" t="n">
        <x:f>P710*'공식·설정'!$B$12+'공식·설정'!$B$14</x:f>
        <x:v>3784448</x:v>
      </x:c>
      <x:c r="T710" s="68" t="n">
        <x:f>S710-R710</x:f>
        <x:v>0</x:v>
      </x:c>
      <x:c r="U710" s="65" t="n">
        <x:f>R710/'공식·설정'!$B$7</x:f>
        <x:v>14783</x:v>
      </x:c>
      <x:c r="V710" s="65" t="n">
        <x:f>S710/'공식·설정'!$B$7</x:f>
        <x:v>14783</x:v>
      </x:c>
      <x:c r="W710" s="14" t="n">
        <x:v>754</x:v>
      </x:c>
      <x:c r="X710" s="14" t="n">
        <x:f>INT(ABS(K711-K710)*'공식·설정'!$B$8/K710)</x:f>
        <x:v>754</x:v>
      </x:c>
      <x:c r="Y710" s="68" t="n">
        <x:f>X710-W710</x:f>
        <x:v>0</x:v>
      </x:c>
      <x:c r="Z710" s="66" t="n">
        <x:f>W710/'공식·설정'!$B$8</x:f>
        <x:v>0.011505126953125</x:v>
      </x:c>
      <x:c r="AA710" s="66" t="n">
        <x:f>X710/'공식·설정'!$B$8</x:f>
        <x:v>0.011505126953125</x:v>
      </x:c>
      <x:c r="AB710" s="67" t="str">
        <x:f>IF(AND(I710=0,L710=0,Q710=0,T710=0,Y710=0),"PASS","FAIL")</x:f>
        <x:v>PASS</x:v>
      </x:c>
    </x:row>
    <x:row r="711" ht="18" customHeight="1">
      <x:c r="A711" s="14" t="n">
        <x:v>814</x:v>
      </x:c>
      <x:c r="B711" s="14" t="n">
        <x:v>706</x:v>
      </x:c>
      <x:c r="C711" s="14" t="n">
        <x:v>812</x:v>
      </x:c>
      <x:c r="D711" s="14" t="n">
        <x:v>573443</x:v>
      </x:c>
      <x:c r="E711" s="14" t="n">
        <x:v>826</x:v>
      </x:c>
      <x:c r="F711" s="14" t="n">
        <x:v>666998</x:v>
      </x:c>
      <x:c r="G711" s="14" t="n">
        <x:v>586808</x:v>
      </x:c>
      <x:c r="H711" s="14" t="n">
        <x:f>INT((F711-D711)*(A711-C711)/(E711-C711))+D711</x:f>
        <x:v>586808</x:v>
      </x:c>
      <x:c r="I711" s="68" t="n">
        <x:f>H711-G711</x:f>
        <x:v>0</x:v>
      </x:c>
      <x:c r="J711" s="14" t="n">
        <x:v>3820285</x:v>
      </x:c>
      <x:c r="K711" s="14" t="n">
        <x:f>INT(H711*'공식·설정'!$B$10/'공식·설정'!$B$15)</x:f>
        <x:v>3820285</x:v>
      </x:c>
      <x:c r="L711" s="68" t="n">
        <x:f>K711-J711</x:f>
        <x:v>0</x:v>
      </x:c>
      <x:c r="M711" s="65" t="n">
        <x:f>J711/'공식·설정'!$B$7</x:f>
        <x:v>14922.98828125</x:v>
      </x:c>
      <x:c r="N711" s="65" t="n">
        <x:f>K711/'공식·설정'!$B$7</x:f>
        <x:v>14922.98828125</x:v>
      </x:c>
      <x:c r="O711" s="14" t="n">
        <x:v>1492</x:v>
      </x:c>
      <x:c r="P711" s="14" t="n">
        <x:f>MIN(32767,MAX(0,INT((K711+INT('공식·설정'!$B$12/2))/'공식·설정'!$B$12)))</x:f>
        <x:v>1492</x:v>
      </x:c>
      <x:c r="Q711" s="68" t="n">
        <x:f>P711-O711</x:f>
        <x:v>0</x:v>
      </x:c>
      <x:c r="R711" s="14" t="n">
        <x:v>3827968</x:v>
      </x:c>
      <x:c r="S711" s="14" t="n">
        <x:f>P711*'공식·설정'!$B$12+'공식·설정'!$B$14</x:f>
        <x:v>3827968</x:v>
      </x:c>
      <x:c r="T711" s="68" t="n">
        <x:f>S711-R711</x:f>
        <x:v>0</x:v>
      </x:c>
      <x:c r="U711" s="65" t="n">
        <x:f>R711/'공식·설정'!$B$7</x:f>
        <x:v>14953</x:v>
      </x:c>
      <x:c r="V711" s="65" t="n">
        <x:f>S711/'공식·설정'!$B$7</x:f>
        <x:v>14953</x:v>
      </x:c>
      <x:c r="W711" s="14" t="n">
        <x:v>746</x:v>
      </x:c>
      <x:c r="X711" s="14" t="n">
        <x:f>INT(ABS(K712-K711)*'공식·설정'!$B$8/K711)</x:f>
        <x:v>746</x:v>
      </x:c>
      <x:c r="Y711" s="68" t="n">
        <x:f>X711-W711</x:f>
        <x:v>0</x:v>
      </x:c>
      <x:c r="Z711" s="66" t="n">
        <x:f>W711/'공식·설정'!$B$8</x:f>
        <x:v>0.011383056640625</x:v>
      </x:c>
      <x:c r="AA711" s="66" t="n">
        <x:f>X711/'공식·설정'!$B$8</x:f>
        <x:v>0.011383056640625</x:v>
      </x:c>
      <x:c r="AB711" s="67" t="str">
        <x:f>IF(AND(I711=0,L711=0,Q711=0,T711=0,Y711=0),"PASS","FAIL")</x:f>
        <x:v>PASS</x:v>
      </x:c>
    </x:row>
    <x:row r="712" ht="18" customHeight="1">
      <x:c r="A712" s="14" t="n">
        <x:v>815</x:v>
      </x:c>
      <x:c r="B712" s="14" t="n">
        <x:v>707</x:v>
      </x:c>
      <x:c r="C712" s="14" t="n">
        <x:v>812</x:v>
      </x:c>
      <x:c r="D712" s="14" t="n">
        <x:v>573443</x:v>
      </x:c>
      <x:c r="E712" s="14" t="n">
        <x:v>826</x:v>
      </x:c>
      <x:c r="F712" s="14" t="n">
        <x:v>666998</x:v>
      </x:c>
      <x:c r="G712" s="14" t="n">
        <x:v>593490</x:v>
      </x:c>
      <x:c r="H712" s="14" t="n">
        <x:f>INT((F712-D712)*(A712-C712)/(E712-C712))+D712</x:f>
        <x:v>593490</x:v>
      </x:c>
      <x:c r="I712" s="68" t="n">
        <x:f>H712-G712</x:f>
        <x:v>0</x:v>
      </x:c>
      <x:c r="J712" s="14" t="n">
        <x:v>3863787</x:v>
      </x:c>
      <x:c r="K712" s="14" t="n">
        <x:f>INT(H712*'공식·설정'!$B$10/'공식·설정'!$B$15)</x:f>
        <x:v>3863787</x:v>
      </x:c>
      <x:c r="L712" s="68" t="n">
        <x:f>K712-J712</x:f>
        <x:v>0</x:v>
      </x:c>
      <x:c r="M712" s="65" t="n">
        <x:f>J712/'공식·설정'!$B$7</x:f>
        <x:v>15092.91796875</x:v>
      </x:c>
      <x:c r="N712" s="65" t="n">
        <x:f>K712/'공식·설정'!$B$7</x:f>
        <x:v>15092.91796875</x:v>
      </x:c>
      <x:c r="O712" s="14" t="n">
        <x:v>1509</x:v>
      </x:c>
      <x:c r="P712" s="14" t="n">
        <x:f>MIN(32767,MAX(0,INT((K712+INT('공식·설정'!$B$12/2))/'공식·설정'!$B$12)))</x:f>
        <x:v>1509</x:v>
      </x:c>
      <x:c r="Q712" s="68" t="n">
        <x:f>P712-O712</x:f>
        <x:v>0</x:v>
      </x:c>
      <x:c r="R712" s="14" t="n">
        <x:v>3871488</x:v>
      </x:c>
      <x:c r="S712" s="14" t="n">
        <x:f>P712*'공식·설정'!$B$12+'공식·설정'!$B$14</x:f>
        <x:v>3871488</x:v>
      </x:c>
      <x:c r="T712" s="68" t="n">
        <x:f>S712-R712</x:f>
        <x:v>0</x:v>
      </x:c>
      <x:c r="U712" s="65" t="n">
        <x:f>R712/'공식·설정'!$B$7</x:f>
        <x:v>15123</x:v>
      </x:c>
      <x:c r="V712" s="65" t="n">
        <x:f>S712/'공식·설정'!$B$7</x:f>
        <x:v>15123</x:v>
      </x:c>
      <x:c r="W712" s="14" t="n">
        <x:v>737</x:v>
      </x:c>
      <x:c r="X712" s="14" t="n">
        <x:f>INT(ABS(K713-K712)*'공식·설정'!$B$8/K712)</x:f>
        <x:v>737</x:v>
      </x:c>
      <x:c r="Y712" s="68" t="n">
        <x:f>X712-W712</x:f>
        <x:v>0</x:v>
      </x:c>
      <x:c r="Z712" s="66" t="n">
        <x:f>W712/'공식·설정'!$B$8</x:f>
        <x:v>0.0112457275390625</x:v>
      </x:c>
      <x:c r="AA712" s="66" t="n">
        <x:f>X712/'공식·설정'!$B$8</x:f>
        <x:v>0.0112457275390625</x:v>
      </x:c>
      <x:c r="AB712" s="67" t="str">
        <x:f>IF(AND(I712=0,L712=0,Q712=0,T712=0,Y712=0),"PASS","FAIL")</x:f>
        <x:v>PASS</x:v>
      </x:c>
    </x:row>
    <x:row r="713" ht="18" customHeight="1">
      <x:c r="A713" s="14" t="n">
        <x:v>816</x:v>
      </x:c>
      <x:c r="B713" s="14" t="n">
        <x:v>708</x:v>
      </x:c>
      <x:c r="C713" s="14" t="n">
        <x:v>812</x:v>
      </x:c>
      <x:c r="D713" s="14" t="n">
        <x:v>573443</x:v>
      </x:c>
      <x:c r="E713" s="14" t="n">
        <x:v>826</x:v>
      </x:c>
      <x:c r="F713" s="14" t="n">
        <x:v>666998</x:v>
      </x:c>
      <x:c r="G713" s="14" t="n">
        <x:v>600173</x:v>
      </x:c>
      <x:c r="H713" s="14" t="n">
        <x:f>INT((F713-D713)*(A713-C713)/(E713-C713))+D713</x:f>
        <x:v>600173</x:v>
      </x:c>
      <x:c r="I713" s="68" t="n">
        <x:f>H713-G713</x:f>
        <x:v>0</x:v>
      </x:c>
      <x:c r="J713" s="14" t="n">
        <x:v>3907295</x:v>
      </x:c>
      <x:c r="K713" s="14" t="n">
        <x:f>INT(H713*'공식·설정'!$B$10/'공식·설정'!$B$15)</x:f>
        <x:v>3907295</x:v>
      </x:c>
      <x:c r="L713" s="68" t="n">
        <x:f>K713-J713</x:f>
        <x:v>0</x:v>
      </x:c>
      <x:c r="M713" s="65" t="n">
        <x:f>J713/'공식·설정'!$B$7</x:f>
        <x:v>15262.87109375</x:v>
      </x:c>
      <x:c r="N713" s="65" t="n">
        <x:f>K713/'공식·설정'!$B$7</x:f>
        <x:v>15262.87109375</x:v>
      </x:c>
      <x:c r="O713" s="14" t="n">
        <x:v>1526</x:v>
      </x:c>
      <x:c r="P713" s="14" t="n">
        <x:f>MIN(32767,MAX(0,INT((K713+INT('공식·설정'!$B$12/2))/'공식·설정'!$B$12)))</x:f>
        <x:v>1526</x:v>
      </x:c>
      <x:c r="Q713" s="68" t="n">
        <x:f>P713-O713</x:f>
        <x:v>0</x:v>
      </x:c>
      <x:c r="R713" s="14" t="n">
        <x:v>3915008</x:v>
      </x:c>
      <x:c r="S713" s="14" t="n">
        <x:f>P713*'공식·설정'!$B$12+'공식·설정'!$B$14</x:f>
        <x:v>3915008</x:v>
      </x:c>
      <x:c r="T713" s="68" t="n">
        <x:f>S713-R713</x:f>
        <x:v>0</x:v>
      </x:c>
      <x:c r="U713" s="65" t="n">
        <x:f>R713/'공식·설정'!$B$7</x:f>
        <x:v>15293</x:v>
      </x:c>
      <x:c r="V713" s="65" t="n">
        <x:f>S713/'공식·설정'!$B$7</x:f>
        <x:v>15293</x:v>
      </x:c>
      <x:c r="W713" s="14" t="n">
        <x:v>729</x:v>
      </x:c>
      <x:c r="X713" s="14" t="n">
        <x:f>INT(ABS(K714-K713)*'공식·설정'!$B$8/K713)</x:f>
        <x:v>729</x:v>
      </x:c>
      <x:c r="Y713" s="68" t="n">
        <x:f>X713-W713</x:f>
        <x:v>0</x:v>
      </x:c>
      <x:c r="Z713" s="66" t="n">
        <x:f>W713/'공식·설정'!$B$8</x:f>
        <x:v>0.0111236572265625</x:v>
      </x:c>
      <x:c r="AA713" s="66" t="n">
        <x:f>X713/'공식·설정'!$B$8</x:f>
        <x:v>0.0111236572265625</x:v>
      </x:c>
      <x:c r="AB713" s="67" t="str">
        <x:f>IF(AND(I713=0,L713=0,Q713=0,T713=0,Y713=0),"PASS","FAIL")</x:f>
        <x:v>PASS</x:v>
      </x:c>
    </x:row>
    <x:row r="714" ht="18" customHeight="1">
      <x:c r="A714" s="14" t="n">
        <x:v>817</x:v>
      </x:c>
      <x:c r="B714" s="14" t="n">
        <x:v>709</x:v>
      </x:c>
      <x:c r="C714" s="14" t="n">
        <x:v>812</x:v>
      </x:c>
      <x:c r="D714" s="14" t="n">
        <x:v>573443</x:v>
      </x:c>
      <x:c r="E714" s="14" t="n">
        <x:v>826</x:v>
      </x:c>
      <x:c r="F714" s="14" t="n">
        <x:v>666998</x:v>
      </x:c>
      <x:c r="G714" s="14" t="n">
        <x:v>606855</x:v>
      </x:c>
      <x:c r="H714" s="14" t="n">
        <x:f>INT((F714-D714)*(A714-C714)/(E714-C714))+D714</x:f>
        <x:v>606855</x:v>
      </x:c>
      <x:c r="I714" s="68" t="n">
        <x:f>H714-G714</x:f>
        <x:v>0</x:v>
      </x:c>
      <x:c r="J714" s="14" t="n">
        <x:v>3950797</x:v>
      </x:c>
      <x:c r="K714" s="14" t="n">
        <x:f>INT(H714*'공식·설정'!$B$10/'공식·설정'!$B$15)</x:f>
        <x:v>3950797</x:v>
      </x:c>
      <x:c r="L714" s="68" t="n">
        <x:f>K714-J714</x:f>
        <x:v>0</x:v>
      </x:c>
      <x:c r="M714" s="65" t="n">
        <x:f>J714/'공식·설정'!$B$7</x:f>
        <x:v>15432.80078125</x:v>
      </x:c>
      <x:c r="N714" s="65" t="n">
        <x:f>K714/'공식·설정'!$B$7</x:f>
        <x:v>15432.80078125</x:v>
      </x:c>
      <x:c r="O714" s="14" t="n">
        <x:v>1543</x:v>
      </x:c>
      <x:c r="P714" s="14" t="n">
        <x:f>MIN(32767,MAX(0,INT((K714+INT('공식·설정'!$B$12/2))/'공식·설정'!$B$12)))</x:f>
        <x:v>1543</x:v>
      </x:c>
      <x:c r="Q714" s="68" t="n">
        <x:f>P714-O714</x:f>
        <x:v>0</x:v>
      </x:c>
      <x:c r="R714" s="14" t="n">
        <x:v>3958528</x:v>
      </x:c>
      <x:c r="S714" s="14" t="n">
        <x:f>P714*'공식·설정'!$B$12+'공식·설정'!$B$14</x:f>
        <x:v>3958528</x:v>
      </x:c>
      <x:c r="T714" s="68" t="n">
        <x:f>S714-R714</x:f>
        <x:v>0</x:v>
      </x:c>
      <x:c r="U714" s="65" t="n">
        <x:f>R714/'공식·설정'!$B$7</x:f>
        <x:v>15463</x:v>
      </x:c>
      <x:c r="V714" s="65" t="n">
        <x:f>S714/'공식·설정'!$B$7</x:f>
        <x:v>15463</x:v>
      </x:c>
      <x:c r="W714" s="14" t="n">
        <x:v>721</x:v>
      </x:c>
      <x:c r="X714" s="14" t="n">
        <x:f>INT(ABS(K715-K714)*'공식·설정'!$B$8/K714)</x:f>
        <x:v>721</x:v>
      </x:c>
      <x:c r="Y714" s="68" t="n">
        <x:f>X714-W714</x:f>
        <x:v>0</x:v>
      </x:c>
      <x:c r="Z714" s="66" t="n">
        <x:f>W714/'공식·설정'!$B$8</x:f>
        <x:v>0.0110015869140625</x:v>
      </x:c>
      <x:c r="AA714" s="66" t="n">
        <x:f>X714/'공식·설정'!$B$8</x:f>
        <x:v>0.0110015869140625</x:v>
      </x:c>
      <x:c r="AB714" s="67" t="str">
        <x:f>IF(AND(I714=0,L714=0,Q714=0,T714=0,Y714=0),"PASS","FAIL")</x:f>
        <x:v>PASS</x:v>
      </x:c>
    </x:row>
    <x:row r="715" ht="18" customHeight="1">
      <x:c r="A715" s="14" t="n">
        <x:v>818</x:v>
      </x:c>
      <x:c r="B715" s="14" t="n">
        <x:v>710</x:v>
      </x:c>
      <x:c r="C715" s="14" t="n">
        <x:v>812</x:v>
      </x:c>
      <x:c r="D715" s="14" t="n">
        <x:v>573443</x:v>
      </x:c>
      <x:c r="E715" s="14" t="n">
        <x:v>826</x:v>
      </x:c>
      <x:c r="F715" s="14" t="n">
        <x:v>666998</x:v>
      </x:c>
      <x:c r="G715" s="14" t="n">
        <x:v>613538</x:v>
      </x:c>
      <x:c r="H715" s="14" t="n">
        <x:f>INT((F715-D715)*(A715-C715)/(E715-C715))+D715</x:f>
        <x:v>613538</x:v>
      </x:c>
      <x:c r="I715" s="68" t="n">
        <x:f>H715-G715</x:f>
        <x:v>0</x:v>
      </x:c>
      <x:c r="J715" s="14" t="n">
        <x:v>3994305</x:v>
      </x:c>
      <x:c r="K715" s="14" t="n">
        <x:f>INT(H715*'공식·설정'!$B$10/'공식·설정'!$B$15)</x:f>
        <x:v>3994305</x:v>
      </x:c>
      <x:c r="L715" s="68" t="n">
        <x:f>K715-J715</x:f>
        <x:v>0</x:v>
      </x:c>
      <x:c r="M715" s="65" t="n">
        <x:f>J715/'공식·설정'!$B$7</x:f>
        <x:v>15602.75390625</x:v>
      </x:c>
      <x:c r="N715" s="65" t="n">
        <x:f>K715/'공식·설정'!$B$7</x:f>
        <x:v>15602.75390625</x:v>
      </x:c>
      <x:c r="O715" s="14" t="n">
        <x:v>1560</x:v>
      </x:c>
      <x:c r="P715" s="14" t="n">
        <x:f>MIN(32767,MAX(0,INT((K715+INT('공식·설정'!$B$12/2))/'공식·설정'!$B$12)))</x:f>
        <x:v>1560</x:v>
      </x:c>
      <x:c r="Q715" s="68" t="n">
        <x:f>P715-O715</x:f>
        <x:v>0</x:v>
      </x:c>
      <x:c r="R715" s="14" t="n">
        <x:v>4002048</x:v>
      </x:c>
      <x:c r="S715" s="14" t="n">
        <x:f>P715*'공식·설정'!$B$12+'공식·설정'!$B$14</x:f>
        <x:v>4002048</x:v>
      </x:c>
      <x:c r="T715" s="68" t="n">
        <x:f>S715-R715</x:f>
        <x:v>0</x:v>
      </x:c>
      <x:c r="U715" s="65" t="n">
        <x:f>R715/'공식·설정'!$B$7</x:f>
        <x:v>15633</x:v>
      </x:c>
      <x:c r="V715" s="65" t="n">
        <x:f>S715/'공식·설정'!$B$7</x:f>
        <x:v>15633</x:v>
      </x:c>
      <x:c r="W715" s="14" t="n">
        <x:v>713</x:v>
      </x:c>
      <x:c r="X715" s="14" t="n">
        <x:f>INT(ABS(K716-K715)*'공식·설정'!$B$8/K715)</x:f>
        <x:v>713</x:v>
      </x:c>
      <x:c r="Y715" s="68" t="n">
        <x:f>X715-W715</x:f>
        <x:v>0</x:v>
      </x:c>
      <x:c r="Z715" s="66" t="n">
        <x:f>W715/'공식·설정'!$B$8</x:f>
        <x:v>0.0108795166015625</x:v>
      </x:c>
      <x:c r="AA715" s="66" t="n">
        <x:f>X715/'공식·설정'!$B$8</x:f>
        <x:v>0.0108795166015625</x:v>
      </x:c>
      <x:c r="AB715" s="67" t="str">
        <x:f>IF(AND(I715=0,L715=0,Q715=0,T715=0,Y715=0),"PASS","FAIL")</x:f>
        <x:v>PASS</x:v>
      </x:c>
    </x:row>
    <x:row r="716" ht="18" customHeight="1">
      <x:c r="A716" s="14" t="n">
        <x:v>819</x:v>
      </x:c>
      <x:c r="B716" s="14" t="n">
        <x:v>711</x:v>
      </x:c>
      <x:c r="C716" s="14" t="n">
        <x:v>812</x:v>
      </x:c>
      <x:c r="D716" s="14" t="n">
        <x:v>573443</x:v>
      </x:c>
      <x:c r="E716" s="14" t="n">
        <x:v>826</x:v>
      </x:c>
      <x:c r="F716" s="14" t="n">
        <x:v>666998</x:v>
      </x:c>
      <x:c r="G716" s="14" t="n">
        <x:v>620220</x:v>
      </x:c>
      <x:c r="H716" s="14" t="n">
        <x:f>INT((F716-D716)*(A716-C716)/(E716-C716))+D716</x:f>
        <x:v>620220</x:v>
      </x:c>
      <x:c r="I716" s="68" t="n">
        <x:f>H716-G716</x:f>
        <x:v>0</x:v>
      </x:c>
      <x:c r="J716" s="14" t="n">
        <x:v>4037807</x:v>
      </x:c>
      <x:c r="K716" s="14" t="n">
        <x:f>INT(H716*'공식·설정'!$B$10/'공식·설정'!$B$15)</x:f>
        <x:v>4037807</x:v>
      </x:c>
      <x:c r="L716" s="68" t="n">
        <x:f>K716-J716</x:f>
        <x:v>0</x:v>
      </x:c>
      <x:c r="M716" s="65" t="n">
        <x:f>J716/'공식·설정'!$B$7</x:f>
        <x:v>15772.68359375</x:v>
      </x:c>
      <x:c r="N716" s="65" t="n">
        <x:f>K716/'공식·설정'!$B$7</x:f>
        <x:v>15772.68359375</x:v>
      </x:c>
      <x:c r="O716" s="14" t="n">
        <x:v>1577</x:v>
      </x:c>
      <x:c r="P716" s="14" t="n">
        <x:f>MIN(32767,MAX(0,INT((K716+INT('공식·설정'!$B$12/2))/'공식·설정'!$B$12)))</x:f>
        <x:v>1577</x:v>
      </x:c>
      <x:c r="Q716" s="68" t="n">
        <x:f>P716-O716</x:f>
        <x:v>0</x:v>
      </x:c>
      <x:c r="R716" s="14" t="n">
        <x:v>4045568</x:v>
      </x:c>
      <x:c r="S716" s="14" t="n">
        <x:f>P716*'공식·설정'!$B$12+'공식·설정'!$B$14</x:f>
        <x:v>4045568</x:v>
      </x:c>
      <x:c r="T716" s="68" t="n">
        <x:f>S716-R716</x:f>
        <x:v>0</x:v>
      </x:c>
      <x:c r="U716" s="65" t="n">
        <x:f>R716/'공식·설정'!$B$7</x:f>
        <x:v>15803</x:v>
      </x:c>
      <x:c r="V716" s="65" t="n">
        <x:f>S716/'공식·설정'!$B$7</x:f>
        <x:v>15803</x:v>
      </x:c>
      <x:c r="W716" s="14" t="n">
        <x:v>706</x:v>
      </x:c>
      <x:c r="X716" s="14" t="n">
        <x:f>INT(ABS(K717-K716)*'공식·설정'!$B$8/K716)</x:f>
        <x:v>706</x:v>
      </x:c>
      <x:c r="Y716" s="68" t="n">
        <x:f>X716-W716</x:f>
        <x:v>0</x:v>
      </x:c>
      <x:c r="Z716" s="66" t="n">
        <x:f>W716/'공식·설정'!$B$8</x:f>
        <x:v>0.010772705078125</x:v>
      </x:c>
      <x:c r="AA716" s="66" t="n">
        <x:f>X716/'공식·설정'!$B$8</x:f>
        <x:v>0.010772705078125</x:v>
      </x:c>
      <x:c r="AB716" s="67" t="str">
        <x:f>IF(AND(I716=0,L716=0,Q716=0,T716=0,Y716=0),"PASS","FAIL")</x:f>
        <x:v>PASS</x:v>
      </x:c>
    </x:row>
    <x:row r="717" ht="18" customHeight="1">
      <x:c r="A717" s="14" t="n">
        <x:v>820</x:v>
      </x:c>
      <x:c r="B717" s="14" t="n">
        <x:v>712</x:v>
      </x:c>
      <x:c r="C717" s="14" t="n">
        <x:v>812</x:v>
      </x:c>
      <x:c r="D717" s="14" t="n">
        <x:v>573443</x:v>
      </x:c>
      <x:c r="E717" s="14" t="n">
        <x:v>826</x:v>
      </x:c>
      <x:c r="F717" s="14" t="n">
        <x:v>666998</x:v>
      </x:c>
      <x:c r="G717" s="14" t="n">
        <x:v>626903</x:v>
      </x:c>
      <x:c r="H717" s="14" t="n">
        <x:f>INT((F717-D717)*(A717-C717)/(E717-C717))+D717</x:f>
        <x:v>626903</x:v>
      </x:c>
      <x:c r="I717" s="68" t="n">
        <x:f>H717-G717</x:f>
        <x:v>0</x:v>
      </x:c>
      <x:c r="J717" s="14" t="n">
        <x:v>4081315</x:v>
      </x:c>
      <x:c r="K717" s="14" t="n">
        <x:f>INT(H717*'공식·설정'!$B$10/'공식·설정'!$B$15)</x:f>
        <x:v>4081315</x:v>
      </x:c>
      <x:c r="L717" s="68" t="n">
        <x:f>K717-J717</x:f>
        <x:v>0</x:v>
      </x:c>
      <x:c r="M717" s="65" t="n">
        <x:f>J717/'공식·설정'!$B$7</x:f>
        <x:v>15942.63671875</x:v>
      </x:c>
      <x:c r="N717" s="65" t="n">
        <x:f>K717/'공식·설정'!$B$7</x:f>
        <x:v>15942.63671875</x:v>
      </x:c>
      <x:c r="O717" s="14" t="n">
        <x:v>1594</x:v>
      </x:c>
      <x:c r="P717" s="14" t="n">
        <x:f>MIN(32767,MAX(0,INT((K717+INT('공식·설정'!$B$12/2))/'공식·설정'!$B$12)))</x:f>
        <x:v>1594</x:v>
      </x:c>
      <x:c r="Q717" s="68" t="n">
        <x:f>P717-O717</x:f>
        <x:v>0</x:v>
      </x:c>
      <x:c r="R717" s="14" t="n">
        <x:v>4089088</x:v>
      </x:c>
      <x:c r="S717" s="14" t="n">
        <x:f>P717*'공식·설정'!$B$12+'공식·설정'!$B$14</x:f>
        <x:v>4089088</x:v>
      </x:c>
      <x:c r="T717" s="68" t="n">
        <x:f>S717-R717</x:f>
        <x:v>0</x:v>
      </x:c>
      <x:c r="U717" s="65" t="n">
        <x:f>R717/'공식·설정'!$B$7</x:f>
        <x:v>15973</x:v>
      </x:c>
      <x:c r="V717" s="65" t="n">
        <x:f>S717/'공식·설정'!$B$7</x:f>
        <x:v>15973</x:v>
      </x:c>
      <x:c r="W717" s="14" t="n">
        <x:v>698</x:v>
      </x:c>
      <x:c r="X717" s="14" t="n">
        <x:f>INT(ABS(K718-K717)*'공식·설정'!$B$8/K717)</x:f>
        <x:v>698</x:v>
      </x:c>
      <x:c r="Y717" s="68" t="n">
        <x:f>X717-W717</x:f>
        <x:v>0</x:v>
      </x:c>
      <x:c r="Z717" s="66" t="n">
        <x:f>W717/'공식·설정'!$B$8</x:f>
        <x:v>0.010650634765625</x:v>
      </x:c>
      <x:c r="AA717" s="66" t="n">
        <x:f>X717/'공식·설정'!$B$8</x:f>
        <x:v>0.010650634765625</x:v>
      </x:c>
      <x:c r="AB717" s="67" t="str">
        <x:f>IF(AND(I717=0,L717=0,Q717=0,T717=0,Y717=0),"PASS","FAIL")</x:f>
        <x:v>PASS</x:v>
      </x:c>
    </x:row>
    <x:row r="718" ht="18" customHeight="1">
      <x:c r="A718" s="14" t="n">
        <x:v>821</x:v>
      </x:c>
      <x:c r="B718" s="14" t="n">
        <x:v>713</x:v>
      </x:c>
      <x:c r="C718" s="14" t="n">
        <x:v>812</x:v>
      </x:c>
      <x:c r="D718" s="14" t="n">
        <x:v>573443</x:v>
      </x:c>
      <x:c r="E718" s="14" t="n">
        <x:v>826</x:v>
      </x:c>
      <x:c r="F718" s="14" t="n">
        <x:v>666998</x:v>
      </x:c>
      <x:c r="G718" s="14" t="n">
        <x:v>633585</x:v>
      </x:c>
      <x:c r="H718" s="14" t="n">
        <x:f>INT((F718-D718)*(A718-C718)/(E718-C718))+D718</x:f>
        <x:v>633585</x:v>
      </x:c>
      <x:c r="I718" s="68" t="n">
        <x:f>H718-G718</x:f>
        <x:v>0</x:v>
      </x:c>
      <x:c r="J718" s="14" t="n">
        <x:v>4124817</x:v>
      </x:c>
      <x:c r="K718" s="14" t="n">
        <x:f>INT(H718*'공식·설정'!$B$10/'공식·설정'!$B$15)</x:f>
        <x:v>4124817</x:v>
      </x:c>
      <x:c r="L718" s="68" t="n">
        <x:f>K718-J718</x:f>
        <x:v>0</x:v>
      </x:c>
      <x:c r="M718" s="65" t="n">
        <x:f>J718/'공식·설정'!$B$7</x:f>
        <x:v>16112.56640625</x:v>
      </x:c>
      <x:c r="N718" s="65" t="n">
        <x:f>K718/'공식·설정'!$B$7</x:f>
        <x:v>16112.56640625</x:v>
      </x:c>
      <x:c r="O718" s="14" t="n">
        <x:v>1611</x:v>
      </x:c>
      <x:c r="P718" s="14" t="n">
        <x:f>MIN(32767,MAX(0,INT((K718+INT('공식·설정'!$B$12/2))/'공식·설정'!$B$12)))</x:f>
        <x:v>1611</x:v>
      </x:c>
      <x:c r="Q718" s="68" t="n">
        <x:f>P718-O718</x:f>
        <x:v>0</x:v>
      </x:c>
      <x:c r="R718" s="14" t="n">
        <x:v>4132608</x:v>
      </x:c>
      <x:c r="S718" s="14" t="n">
        <x:f>P718*'공식·설정'!$B$12+'공식·설정'!$B$14</x:f>
        <x:v>4132608</x:v>
      </x:c>
      <x:c r="T718" s="68" t="n">
        <x:f>S718-R718</x:f>
        <x:v>0</x:v>
      </x:c>
      <x:c r="U718" s="65" t="n">
        <x:f>R718/'공식·설정'!$B$7</x:f>
        <x:v>16143</x:v>
      </x:c>
      <x:c r="V718" s="65" t="n">
        <x:f>S718/'공식·설정'!$B$7</x:f>
        <x:v>16143</x:v>
      </x:c>
      <x:c r="W718" s="14" t="n">
        <x:v>691</x:v>
      </x:c>
      <x:c r="X718" s="14" t="n">
        <x:f>INT(ABS(K719-K718)*'공식·설정'!$B$8/K718)</x:f>
        <x:v>691</x:v>
      </x:c>
      <x:c r="Y718" s="68" t="n">
        <x:f>X718-W718</x:f>
        <x:v>0</x:v>
      </x:c>
      <x:c r="Z718" s="66" t="n">
        <x:f>W718/'공식·설정'!$B$8</x:f>
        <x:v>0.0105438232421875</x:v>
      </x:c>
      <x:c r="AA718" s="66" t="n">
        <x:f>X718/'공식·설정'!$B$8</x:f>
        <x:v>0.0105438232421875</x:v>
      </x:c>
      <x:c r="AB718" s="67" t="str">
        <x:f>IF(AND(I718=0,L718=0,Q718=0,T718=0,Y718=0),"PASS","FAIL")</x:f>
        <x:v>PASS</x:v>
      </x:c>
    </x:row>
    <x:row r="719" ht="18" customHeight="1">
      <x:c r="A719" s="14" t="n">
        <x:v>822</x:v>
      </x:c>
      <x:c r="B719" s="14" t="n">
        <x:v>714</x:v>
      </x:c>
      <x:c r="C719" s="14" t="n">
        <x:v>812</x:v>
      </x:c>
      <x:c r="D719" s="14" t="n">
        <x:v>573443</x:v>
      </x:c>
      <x:c r="E719" s="14" t="n">
        <x:v>826</x:v>
      </x:c>
      <x:c r="F719" s="14" t="n">
        <x:v>666998</x:v>
      </x:c>
      <x:c r="G719" s="14" t="n">
        <x:v>640268</x:v>
      </x:c>
      <x:c r="H719" s="14" t="n">
        <x:f>INT((F719-D719)*(A719-C719)/(E719-C719))+D719</x:f>
        <x:v>640268</x:v>
      </x:c>
      <x:c r="I719" s="68" t="n">
        <x:f>H719-G719</x:f>
        <x:v>0</x:v>
      </x:c>
      <x:c r="J719" s="14" t="n">
        <x:v>4168325</x:v>
      </x:c>
      <x:c r="K719" s="14" t="n">
        <x:f>INT(H719*'공식·설정'!$B$10/'공식·설정'!$B$15)</x:f>
        <x:v>4168325</x:v>
      </x:c>
      <x:c r="L719" s="68" t="n">
        <x:f>K719-J719</x:f>
        <x:v>0</x:v>
      </x:c>
      <x:c r="M719" s="65" t="n">
        <x:f>J719/'공식·설정'!$B$7</x:f>
        <x:v>16282.51953125</x:v>
      </x:c>
      <x:c r="N719" s="65" t="n">
        <x:f>K719/'공식·설정'!$B$7</x:f>
        <x:v>16282.51953125</x:v>
      </x:c>
      <x:c r="O719" s="14" t="n">
        <x:v>1628</x:v>
      </x:c>
      <x:c r="P719" s="14" t="n">
        <x:f>MIN(32767,MAX(0,INT((K719+INT('공식·설정'!$B$12/2))/'공식·설정'!$B$12)))</x:f>
        <x:v>1628</x:v>
      </x:c>
      <x:c r="Q719" s="68" t="n">
        <x:f>P719-O719</x:f>
        <x:v>0</x:v>
      </x:c>
      <x:c r="R719" s="14" t="n">
        <x:v>4176128</x:v>
      </x:c>
      <x:c r="S719" s="14" t="n">
        <x:f>P719*'공식·설정'!$B$12+'공식·설정'!$B$14</x:f>
        <x:v>4176128</x:v>
      </x:c>
      <x:c r="T719" s="68" t="n">
        <x:f>S719-R719</x:f>
        <x:v>0</x:v>
      </x:c>
      <x:c r="U719" s="65" t="n">
        <x:f>R719/'공식·설정'!$B$7</x:f>
        <x:v>16313</x:v>
      </x:c>
      <x:c r="V719" s="65" t="n">
        <x:f>S719/'공식·설정'!$B$7</x:f>
        <x:v>16313</x:v>
      </x:c>
      <x:c r="W719" s="14" t="n">
        <x:v>683</x:v>
      </x:c>
      <x:c r="X719" s="14" t="n">
        <x:f>INT(ABS(K720-K719)*'공식·설정'!$B$8/K719)</x:f>
        <x:v>683</x:v>
      </x:c>
      <x:c r="Y719" s="68" t="n">
        <x:f>X719-W719</x:f>
        <x:v>0</x:v>
      </x:c>
      <x:c r="Z719" s="66" t="n">
        <x:f>W719/'공식·설정'!$B$8</x:f>
        <x:v>0.0104217529296875</x:v>
      </x:c>
      <x:c r="AA719" s="66" t="n">
        <x:f>X719/'공식·설정'!$B$8</x:f>
        <x:v>0.0104217529296875</x:v>
      </x:c>
      <x:c r="AB719" s="67" t="str">
        <x:f>IF(AND(I719=0,L719=0,Q719=0,T719=0,Y719=0),"PASS","FAIL")</x:f>
        <x:v>PASS</x:v>
      </x:c>
    </x:row>
    <x:row r="720" ht="18" customHeight="1">
      <x:c r="A720" s="14" t="n">
        <x:v>823</x:v>
      </x:c>
      <x:c r="B720" s="14" t="n">
        <x:v>715</x:v>
      </x:c>
      <x:c r="C720" s="14" t="n">
        <x:v>812</x:v>
      </x:c>
      <x:c r="D720" s="14" t="n">
        <x:v>573443</x:v>
      </x:c>
      <x:c r="E720" s="14" t="n">
        <x:v>826</x:v>
      </x:c>
      <x:c r="F720" s="14" t="n">
        <x:v>666998</x:v>
      </x:c>
      <x:c r="G720" s="14" t="n">
        <x:v>646950</x:v>
      </x:c>
      <x:c r="H720" s="14" t="n">
        <x:f>INT((F720-D720)*(A720-C720)/(E720-C720))+D720</x:f>
        <x:v>646950</x:v>
      </x:c>
      <x:c r="I720" s="68" t="n">
        <x:f>H720-G720</x:f>
        <x:v>0</x:v>
      </x:c>
      <x:c r="J720" s="14" t="n">
        <x:v>4211826</x:v>
      </x:c>
      <x:c r="K720" s="14" t="n">
        <x:f>INT(H720*'공식·설정'!$B$10/'공식·설정'!$B$15)</x:f>
        <x:v>4211826</x:v>
      </x:c>
      <x:c r="L720" s="68" t="n">
        <x:f>K720-J720</x:f>
        <x:v>0</x:v>
      </x:c>
      <x:c r="M720" s="65" t="n">
        <x:f>J720/'공식·설정'!$B$7</x:f>
        <x:v>16452.4453125</x:v>
      </x:c>
      <x:c r="N720" s="65" t="n">
        <x:f>K720/'공식·설정'!$B$7</x:f>
        <x:v>16452.4453125</x:v>
      </x:c>
      <x:c r="O720" s="14" t="n">
        <x:v>1645</x:v>
      </x:c>
      <x:c r="P720" s="14" t="n">
        <x:f>MIN(32767,MAX(0,INT((K720+INT('공식·설정'!$B$12/2))/'공식·설정'!$B$12)))</x:f>
        <x:v>1645</x:v>
      </x:c>
      <x:c r="Q720" s="68" t="n">
        <x:f>P720-O720</x:f>
        <x:v>0</x:v>
      </x:c>
      <x:c r="R720" s="14" t="n">
        <x:v>4219648</x:v>
      </x:c>
      <x:c r="S720" s="14" t="n">
        <x:f>P720*'공식·설정'!$B$12+'공식·설정'!$B$14</x:f>
        <x:v>4219648</x:v>
      </x:c>
      <x:c r="T720" s="68" t="n">
        <x:f>S720-R720</x:f>
        <x:v>0</x:v>
      </x:c>
      <x:c r="U720" s="65" t="n">
        <x:f>R720/'공식·설정'!$B$7</x:f>
        <x:v>16483</x:v>
      </x:c>
      <x:c r="V720" s="65" t="n">
        <x:f>S720/'공식·설정'!$B$7</x:f>
        <x:v>16483</x:v>
      </x:c>
      <x:c r="W720" s="14" t="n">
        <x:v>676</x:v>
      </x:c>
      <x:c r="X720" s="14" t="n">
        <x:f>INT(ABS(K721-K720)*'공식·설정'!$B$8/K720)</x:f>
        <x:v>676</x:v>
      </x:c>
      <x:c r="Y720" s="68" t="n">
        <x:f>X720-W720</x:f>
        <x:v>0</x:v>
      </x:c>
      <x:c r="Z720" s="66" t="n">
        <x:f>W720/'공식·설정'!$B$8</x:f>
        <x:v>0.01031494140625</x:v>
      </x:c>
      <x:c r="AA720" s="66" t="n">
        <x:f>X720/'공식·설정'!$B$8</x:f>
        <x:v>0.01031494140625</x:v>
      </x:c>
      <x:c r="AB720" s="67" t="str">
        <x:f>IF(AND(I720=0,L720=0,Q720=0,T720=0,Y720=0),"PASS","FAIL")</x:f>
        <x:v>PASS</x:v>
      </x:c>
    </x:row>
    <x:row r="721" ht="18" customHeight="1">
      <x:c r="A721" s="14" t="n">
        <x:v>824</x:v>
      </x:c>
      <x:c r="B721" s="14" t="n">
        <x:v>716</x:v>
      </x:c>
      <x:c r="C721" s="14" t="n">
        <x:v>812</x:v>
      </x:c>
      <x:c r="D721" s="14" t="n">
        <x:v>573443</x:v>
      </x:c>
      <x:c r="E721" s="14" t="n">
        <x:v>826</x:v>
      </x:c>
      <x:c r="F721" s="14" t="n">
        <x:v>666998</x:v>
      </x:c>
      <x:c r="G721" s="14" t="n">
        <x:v>653633</x:v>
      </x:c>
      <x:c r="H721" s="14" t="n">
        <x:f>INT((F721-D721)*(A721-C721)/(E721-C721))+D721</x:f>
        <x:v>653633</x:v>
      </x:c>
      <x:c r="I721" s="68" t="n">
        <x:f>H721-G721</x:f>
        <x:v>0</x:v>
      </x:c>
      <x:c r="J721" s="14" t="n">
        <x:v>4255335</x:v>
      </x:c>
      <x:c r="K721" s="14" t="n">
        <x:f>INT(H721*'공식·설정'!$B$10/'공식·설정'!$B$15)</x:f>
        <x:v>4255335</x:v>
      </x:c>
      <x:c r="L721" s="68" t="n">
        <x:f>K721-J721</x:f>
        <x:v>0</x:v>
      </x:c>
      <x:c r="M721" s="65" t="n">
        <x:f>J721/'공식·설정'!$B$7</x:f>
        <x:v>16622.40234375</x:v>
      </x:c>
      <x:c r="N721" s="65" t="n">
        <x:f>K721/'공식·설정'!$B$7</x:f>
        <x:v>16622.40234375</x:v>
      </x:c>
      <x:c r="O721" s="14" t="n">
        <x:v>1662</x:v>
      </x:c>
      <x:c r="P721" s="14" t="n">
        <x:f>MIN(32767,MAX(0,INT((K721+INT('공식·설정'!$B$12/2))/'공식·설정'!$B$12)))</x:f>
        <x:v>1662</x:v>
      </x:c>
      <x:c r="Q721" s="68" t="n">
        <x:f>P721-O721</x:f>
        <x:v>0</x:v>
      </x:c>
      <x:c r="R721" s="14" t="n">
        <x:v>4263168</x:v>
      </x:c>
      <x:c r="S721" s="14" t="n">
        <x:f>P721*'공식·설정'!$B$12+'공식·설정'!$B$14</x:f>
        <x:v>4263168</x:v>
      </x:c>
      <x:c r="T721" s="68" t="n">
        <x:f>S721-R721</x:f>
        <x:v>0</x:v>
      </x:c>
      <x:c r="U721" s="65" t="n">
        <x:f>R721/'공식·설정'!$B$7</x:f>
        <x:v>16653</x:v>
      </x:c>
      <x:c r="V721" s="65" t="n">
        <x:f>S721/'공식·설정'!$B$7</x:f>
        <x:v>16653</x:v>
      </x:c>
      <x:c r="W721" s="14" t="n">
        <x:v>669</x:v>
      </x:c>
      <x:c r="X721" s="14" t="n">
        <x:f>INT(ABS(K722-K721)*'공식·설정'!$B$8/K721)</x:f>
        <x:v>669</x:v>
      </x:c>
      <x:c r="Y721" s="68" t="n">
        <x:f>X721-W721</x:f>
        <x:v>0</x:v>
      </x:c>
      <x:c r="Z721" s="66" t="n">
        <x:f>W721/'공식·설정'!$B$8</x:f>
        <x:v>0.0102081298828125</x:v>
      </x:c>
      <x:c r="AA721" s="66" t="n">
        <x:f>X721/'공식·설정'!$B$8</x:f>
        <x:v>0.0102081298828125</x:v>
      </x:c>
      <x:c r="AB721" s="67" t="str">
        <x:f>IF(AND(I721=0,L721=0,Q721=0,T721=0,Y721=0),"PASS","FAIL")</x:f>
        <x:v>PASS</x:v>
      </x:c>
    </x:row>
    <x:row r="722" ht="18" customHeight="1">
      <x:c r="A722" s="14" t="n">
        <x:v>825</x:v>
      </x:c>
      <x:c r="B722" s="14" t="n">
        <x:v>717</x:v>
      </x:c>
      <x:c r="C722" s="14" t="n">
        <x:v>812</x:v>
      </x:c>
      <x:c r="D722" s="14" t="n">
        <x:v>573443</x:v>
      </x:c>
      <x:c r="E722" s="14" t="n">
        <x:v>826</x:v>
      </x:c>
      <x:c r="F722" s="14" t="n">
        <x:v>666998</x:v>
      </x:c>
      <x:c r="G722" s="14" t="n">
        <x:v>660315</x:v>
      </x:c>
      <x:c r="H722" s="14" t="n">
        <x:f>INT((F722-D722)*(A722-C722)/(E722-C722))+D722</x:f>
        <x:v>660315</x:v>
      </x:c>
      <x:c r="I722" s="68" t="n">
        <x:f>H722-G722</x:f>
        <x:v>0</x:v>
      </x:c>
      <x:c r="J722" s="14" t="n">
        <x:v>4298836</x:v>
      </x:c>
      <x:c r="K722" s="14" t="n">
        <x:f>INT(H722*'공식·설정'!$B$10/'공식·설정'!$B$15)</x:f>
        <x:v>4298836</x:v>
      </x:c>
      <x:c r="L722" s="68" t="n">
        <x:f>K722-J722</x:f>
        <x:v>0</x:v>
      </x:c>
      <x:c r="M722" s="65" t="n">
        <x:f>J722/'공식·설정'!$B$7</x:f>
        <x:v>16792.328125</x:v>
      </x:c>
      <x:c r="N722" s="65" t="n">
        <x:f>K722/'공식·설정'!$B$7</x:f>
        <x:v>16792.328125</x:v>
      </x:c>
      <x:c r="O722" s="14" t="n">
        <x:v>1679</x:v>
      </x:c>
      <x:c r="P722" s="14" t="n">
        <x:f>MIN(32767,MAX(0,INT((K722+INT('공식·설정'!$B$12/2))/'공식·설정'!$B$12)))</x:f>
        <x:v>1679</x:v>
      </x:c>
      <x:c r="Q722" s="68" t="n">
        <x:f>P722-O722</x:f>
        <x:v>0</x:v>
      </x:c>
      <x:c r="R722" s="14" t="n">
        <x:v>4306688</x:v>
      </x:c>
      <x:c r="S722" s="14" t="n">
        <x:f>P722*'공식·설정'!$B$12+'공식·설정'!$B$14</x:f>
        <x:v>4306688</x:v>
      </x:c>
      <x:c r="T722" s="68" t="n">
        <x:f>S722-R722</x:f>
        <x:v>0</x:v>
      </x:c>
      <x:c r="U722" s="65" t="n">
        <x:f>R722/'공식·설정'!$B$7</x:f>
        <x:v>16823</x:v>
      </x:c>
      <x:c r="V722" s="65" t="n">
        <x:f>S722/'공식·설정'!$B$7</x:f>
        <x:v>16823</x:v>
      </x:c>
      <x:c r="W722" s="14" t="n">
        <x:v>663</x:v>
      </x:c>
      <x:c r="X722" s="14" t="n">
        <x:f>INT(ABS(K723-K722)*'공식·설정'!$B$8/K722)</x:f>
        <x:v>663</x:v>
      </x:c>
      <x:c r="Y722" s="68" t="n">
        <x:f>X722-W722</x:f>
        <x:v>0</x:v>
      </x:c>
      <x:c r="Z722" s="66" t="n">
        <x:f>W722/'공식·설정'!$B$8</x:f>
        <x:v>0.0101165771484375</x:v>
      </x:c>
      <x:c r="AA722" s="66" t="n">
        <x:f>X722/'공식·설정'!$B$8</x:f>
        <x:v>0.0101165771484375</x:v>
      </x:c>
      <x:c r="AB722" s="67" t="str">
        <x:f>IF(AND(I722=0,L722=0,Q722=0,T722=0,Y722=0),"PASS","FAIL")</x:f>
        <x:v>PASS</x:v>
      </x:c>
    </x:row>
    <x:row r="723" ht="18" customHeight="1">
      <x:c r="A723" s="14" t="n">
        <x:v>826</x:v>
      </x:c>
      <x:c r="B723" s="14" t="n">
        <x:v>718</x:v>
      </x:c>
      <x:c r="C723" s="14" t="n">
        <x:v>826</x:v>
      </x:c>
      <x:c r="D723" s="14" t="n">
        <x:v>666998</x:v>
      </x:c>
      <x:c r="E723" s="14" t="n">
        <x:v>840</x:v>
      </x:c>
      <x:c r="F723" s="14" t="n">
        <x:v>775814</x:v>
      </x:c>
      <x:c r="G723" s="14" t="n">
        <x:v>666998</x:v>
      </x:c>
      <x:c r="H723" s="14" t="n">
        <x:f>INT((F723-D723)*(A723-C723)/(E723-C723))+D723</x:f>
        <x:v>666998</x:v>
      </x:c>
      <x:c r="I723" s="68" t="n">
        <x:f>H723-G723</x:f>
        <x:v>0</x:v>
      </x:c>
      <x:c r="J723" s="14" t="n">
        <x:v>4342345</x:v>
      </x:c>
      <x:c r="K723" s="14" t="n">
        <x:f>INT(H723*'공식·설정'!$B$10/'공식·설정'!$B$15)</x:f>
        <x:v>4342345</x:v>
      </x:c>
      <x:c r="L723" s="68" t="n">
        <x:f>K723-J723</x:f>
        <x:v>0</x:v>
      </x:c>
      <x:c r="M723" s="65" t="n">
        <x:f>J723/'공식·설정'!$B$7</x:f>
        <x:v>16962.28515625</x:v>
      </x:c>
      <x:c r="N723" s="65" t="n">
        <x:f>K723/'공식·설정'!$B$7</x:f>
        <x:v>16962.28515625</x:v>
      </x:c>
      <x:c r="O723" s="14" t="n">
        <x:v>1696</x:v>
      </x:c>
      <x:c r="P723" s="14" t="n">
        <x:f>MIN(32767,MAX(0,INT((K723+INT('공식·설정'!$B$12/2))/'공식·설정'!$B$12)))</x:f>
        <x:v>1696</x:v>
      </x:c>
      <x:c r="Q723" s="68" t="n">
        <x:f>P723-O723</x:f>
        <x:v>0</x:v>
      </x:c>
      <x:c r="R723" s="14" t="n">
        <x:v>4350208</x:v>
      </x:c>
      <x:c r="S723" s="14" t="n">
        <x:f>P723*'공식·설정'!$B$12+'공식·설정'!$B$14</x:f>
        <x:v>4350208</x:v>
      </x:c>
      <x:c r="T723" s="68" t="n">
        <x:f>S723-R723</x:f>
        <x:v>0</x:v>
      </x:c>
      <x:c r="U723" s="65" t="n">
        <x:f>R723/'공식·설정'!$B$7</x:f>
        <x:v>16993</x:v>
      </x:c>
      <x:c r="V723" s="65" t="n">
        <x:f>S723/'공식·설정'!$B$7</x:f>
        <x:v>16993</x:v>
      </x:c>
      <x:c r="W723" s="14" t="n">
        <x:v>763</x:v>
      </x:c>
      <x:c r="X723" s="14" t="n">
        <x:f>INT(ABS(K724-K723)*'공식·설정'!$B$8/K723)</x:f>
        <x:v>763</x:v>
      </x:c>
      <x:c r="Y723" s="68" t="n">
        <x:f>X723-W723</x:f>
        <x:v>0</x:v>
      </x:c>
      <x:c r="Z723" s="66" t="n">
        <x:f>W723/'공식·설정'!$B$8</x:f>
        <x:v>0.0116424560546875</x:v>
      </x:c>
      <x:c r="AA723" s="66" t="n">
        <x:f>X723/'공식·설정'!$B$8</x:f>
        <x:v>0.0116424560546875</x:v>
      </x:c>
      <x:c r="AB723" s="67" t="str">
        <x:f>IF(AND(I723=0,L723=0,Q723=0,T723=0,Y723=0),"PASS","FAIL")</x:f>
        <x:v>PASS</x:v>
      </x:c>
    </x:row>
    <x:row r="724" ht="18" customHeight="1">
      <x:c r="A724" s="14" t="n">
        <x:v>827</x:v>
      </x:c>
      <x:c r="B724" s="14" t="n">
        <x:v>719</x:v>
      </x:c>
      <x:c r="C724" s="14" t="n">
        <x:v>826</x:v>
      </x:c>
      <x:c r="D724" s="14" t="n">
        <x:v>666998</x:v>
      </x:c>
      <x:c r="E724" s="14" t="n">
        <x:v>840</x:v>
      </x:c>
      <x:c r="F724" s="14" t="n">
        <x:v>775814</x:v>
      </x:c>
      <x:c r="G724" s="14" t="n">
        <x:v>674770</x:v>
      </x:c>
      <x:c r="H724" s="14" t="n">
        <x:f>INT((F724-D724)*(A724-C724)/(E724-C724))+D724</x:f>
        <x:v>674770</x:v>
      </x:c>
      <x:c r="I724" s="68" t="n">
        <x:f>H724-G724</x:f>
        <x:v>0</x:v>
      </x:c>
      <x:c r="J724" s="14" t="n">
        <x:v>4392942</x:v>
      </x:c>
      <x:c r="K724" s="14" t="n">
        <x:f>INT(H724*'공식·설정'!$B$10/'공식·설정'!$B$15)</x:f>
        <x:v>4392942</x:v>
      </x:c>
      <x:c r="L724" s="68" t="n">
        <x:f>K724-J724</x:f>
        <x:v>0</x:v>
      </x:c>
      <x:c r="M724" s="65" t="n">
        <x:f>J724/'공식·설정'!$B$7</x:f>
        <x:v>17159.9296875</x:v>
      </x:c>
      <x:c r="N724" s="65" t="n">
        <x:f>K724/'공식·설정'!$B$7</x:f>
        <x:v>17159.9296875</x:v>
      </x:c>
      <x:c r="O724" s="14" t="n">
        <x:v>1716</x:v>
      </x:c>
      <x:c r="P724" s="14" t="n">
        <x:f>MIN(32767,MAX(0,INT((K724+INT('공식·설정'!$B$12/2))/'공식·설정'!$B$12)))</x:f>
        <x:v>1716</x:v>
      </x:c>
      <x:c r="Q724" s="68" t="n">
        <x:f>P724-O724</x:f>
        <x:v>0</x:v>
      </x:c>
      <x:c r="R724" s="14" t="n">
        <x:v>4401408</x:v>
      </x:c>
      <x:c r="S724" s="14" t="n">
        <x:f>P724*'공식·설정'!$B$12+'공식·설정'!$B$14</x:f>
        <x:v>4401408</x:v>
      </x:c>
      <x:c r="T724" s="68" t="n">
        <x:f>S724-R724</x:f>
        <x:v>0</x:v>
      </x:c>
      <x:c r="U724" s="65" t="n">
        <x:f>R724/'공식·설정'!$B$7</x:f>
        <x:v>17193</x:v>
      </x:c>
      <x:c r="V724" s="65" t="n">
        <x:f>S724/'공식·설정'!$B$7</x:f>
        <x:v>17193</x:v>
      </x:c>
      <x:c r="W724" s="14" t="n">
        <x:v>754</x:v>
      </x:c>
      <x:c r="X724" s="14" t="n">
        <x:f>INT(ABS(K725-K724)*'공식·설정'!$B$8/K724)</x:f>
        <x:v>754</x:v>
      </x:c>
      <x:c r="Y724" s="68" t="n">
        <x:f>X724-W724</x:f>
        <x:v>0</x:v>
      </x:c>
      <x:c r="Z724" s="66" t="n">
        <x:f>W724/'공식·설정'!$B$8</x:f>
        <x:v>0.011505126953125</x:v>
      </x:c>
      <x:c r="AA724" s="66" t="n">
        <x:f>X724/'공식·설정'!$B$8</x:f>
        <x:v>0.011505126953125</x:v>
      </x:c>
      <x:c r="AB724" s="67" t="str">
        <x:f>IF(AND(I724=0,L724=0,Q724=0,T724=0,Y724=0),"PASS","FAIL")</x:f>
        <x:v>PASS</x:v>
      </x:c>
    </x:row>
    <x:row r="725" ht="18" customHeight="1">
      <x:c r="A725" s="14" t="n">
        <x:v>828</x:v>
      </x:c>
      <x:c r="B725" s="14" t="n">
        <x:v>720</x:v>
      </x:c>
      <x:c r="C725" s="14" t="n">
        <x:v>826</x:v>
      </x:c>
      <x:c r="D725" s="14" t="n">
        <x:v>666998</x:v>
      </x:c>
      <x:c r="E725" s="14" t="n">
        <x:v>840</x:v>
      </x:c>
      <x:c r="F725" s="14" t="n">
        <x:v>775814</x:v>
      </x:c>
      <x:c r="G725" s="14" t="n">
        <x:v>682543</x:v>
      </x:c>
      <x:c r="H725" s="14" t="n">
        <x:f>INT((F725-D725)*(A725-C725)/(E725-C725))+D725</x:f>
        <x:v>682543</x:v>
      </x:c>
      <x:c r="I725" s="68" t="n">
        <x:f>H725-G725</x:f>
        <x:v>0</x:v>
      </x:c>
      <x:c r="J725" s="14" t="n">
        <x:v>4443547</x:v>
      </x:c>
      <x:c r="K725" s="14" t="n">
        <x:f>INT(H725*'공식·설정'!$B$10/'공식·설정'!$B$15)</x:f>
        <x:v>4443547</x:v>
      </x:c>
      <x:c r="L725" s="68" t="n">
        <x:f>K725-J725</x:f>
        <x:v>0</x:v>
      </x:c>
      <x:c r="M725" s="65" t="n">
        <x:f>J725/'공식·설정'!$B$7</x:f>
        <x:v>17357.60546875</x:v>
      </x:c>
      <x:c r="N725" s="65" t="n">
        <x:f>K725/'공식·설정'!$B$7</x:f>
        <x:v>17357.60546875</x:v>
      </x:c>
      <x:c r="O725" s="14" t="n">
        <x:v>1736</x:v>
      </x:c>
      <x:c r="P725" s="14" t="n">
        <x:f>MIN(32767,MAX(0,INT((K725+INT('공식·설정'!$B$12/2))/'공식·설정'!$B$12)))</x:f>
        <x:v>1736</x:v>
      </x:c>
      <x:c r="Q725" s="68" t="n">
        <x:f>P725-O725</x:f>
        <x:v>0</x:v>
      </x:c>
      <x:c r="R725" s="14" t="n">
        <x:v>4452608</x:v>
      </x:c>
      <x:c r="S725" s="14" t="n">
        <x:f>P725*'공식·설정'!$B$12+'공식·설정'!$B$14</x:f>
        <x:v>4452608</x:v>
      </x:c>
      <x:c r="T725" s="68" t="n">
        <x:f>S725-R725</x:f>
        <x:v>0</x:v>
      </x:c>
      <x:c r="U725" s="65" t="n">
        <x:f>R725/'공식·설정'!$B$7</x:f>
        <x:v>17393</x:v>
      </x:c>
      <x:c r="V725" s="65" t="n">
        <x:f>S725/'공식·설정'!$B$7</x:f>
        <x:v>17393</x:v>
      </x:c>
      <x:c r="W725" s="14" t="n">
        <x:v>746</x:v>
      </x:c>
      <x:c r="X725" s="14" t="n">
        <x:f>INT(ABS(K726-K725)*'공식·설정'!$B$8/K725)</x:f>
        <x:v>746</x:v>
      </x:c>
      <x:c r="Y725" s="68" t="n">
        <x:f>X725-W725</x:f>
        <x:v>0</x:v>
      </x:c>
      <x:c r="Z725" s="66" t="n">
        <x:f>W725/'공식·설정'!$B$8</x:f>
        <x:v>0.011383056640625</x:v>
      </x:c>
      <x:c r="AA725" s="66" t="n">
        <x:f>X725/'공식·설정'!$B$8</x:f>
        <x:v>0.011383056640625</x:v>
      </x:c>
      <x:c r="AB725" s="67" t="str">
        <x:f>IF(AND(I725=0,L725=0,Q725=0,T725=0,Y725=0),"PASS","FAIL")</x:f>
        <x:v>PASS</x:v>
      </x:c>
    </x:row>
    <x:row r="726" ht="18" customHeight="1">
      <x:c r="A726" s="14" t="n">
        <x:v>829</x:v>
      </x:c>
      <x:c r="B726" s="14" t="n">
        <x:v>721</x:v>
      </x:c>
      <x:c r="C726" s="14" t="n">
        <x:v>826</x:v>
      </x:c>
      <x:c r="D726" s="14" t="n">
        <x:v>666998</x:v>
      </x:c>
      <x:c r="E726" s="14" t="n">
        <x:v>840</x:v>
      </x:c>
      <x:c r="F726" s="14" t="n">
        <x:v>775814</x:v>
      </x:c>
      <x:c r="G726" s="14" t="n">
        <x:v>690315</x:v>
      </x:c>
      <x:c r="H726" s="14" t="n">
        <x:f>INT((F726-D726)*(A726-C726)/(E726-C726))+D726</x:f>
        <x:v>690315</x:v>
      </x:c>
      <x:c r="I726" s="68" t="n">
        <x:f>H726-G726</x:f>
        <x:v>0</x:v>
      </x:c>
      <x:c r="J726" s="14" t="n">
        <x:v>4494145</x:v>
      </x:c>
      <x:c r="K726" s="14" t="n">
        <x:f>INT(H726*'공식·설정'!$B$10/'공식·설정'!$B$15)</x:f>
        <x:v>4494145</x:v>
      </x:c>
      <x:c r="L726" s="68" t="n">
        <x:f>K726-J726</x:f>
        <x:v>0</x:v>
      </x:c>
      <x:c r="M726" s="65" t="n">
        <x:f>J726/'공식·설정'!$B$7</x:f>
        <x:v>17555.25390625</x:v>
      </x:c>
      <x:c r="N726" s="65" t="n">
        <x:f>K726/'공식·설정'!$B$7</x:f>
        <x:v>17555.25390625</x:v>
      </x:c>
      <x:c r="O726" s="14" t="n">
        <x:v>1756</x:v>
      </x:c>
      <x:c r="P726" s="14" t="n">
        <x:f>MIN(32767,MAX(0,INT((K726+INT('공식·설정'!$B$12/2))/'공식·설정'!$B$12)))</x:f>
        <x:v>1756</x:v>
      </x:c>
      <x:c r="Q726" s="68" t="n">
        <x:f>P726-O726</x:f>
        <x:v>0</x:v>
      </x:c>
      <x:c r="R726" s="14" t="n">
        <x:v>4503808</x:v>
      </x:c>
      <x:c r="S726" s="14" t="n">
        <x:f>P726*'공식·설정'!$B$12+'공식·설정'!$B$14</x:f>
        <x:v>4503808</x:v>
      </x:c>
      <x:c r="T726" s="68" t="n">
        <x:f>S726-R726</x:f>
        <x:v>0</x:v>
      </x:c>
      <x:c r="U726" s="65" t="n">
        <x:f>R726/'공식·설정'!$B$7</x:f>
        <x:v>17593</x:v>
      </x:c>
      <x:c r="V726" s="65" t="n">
        <x:f>S726/'공식·설정'!$B$7</x:f>
        <x:v>17593</x:v>
      </x:c>
      <x:c r="W726" s="14" t="n">
        <x:v>737</x:v>
      </x:c>
      <x:c r="X726" s="14" t="n">
        <x:f>INT(ABS(K727-K726)*'공식·설정'!$B$8/K726)</x:f>
        <x:v>737</x:v>
      </x:c>
      <x:c r="Y726" s="68" t="n">
        <x:f>X726-W726</x:f>
        <x:v>0</x:v>
      </x:c>
      <x:c r="Z726" s="66" t="n">
        <x:f>W726/'공식·설정'!$B$8</x:f>
        <x:v>0.0112457275390625</x:v>
      </x:c>
      <x:c r="AA726" s="66" t="n">
        <x:f>X726/'공식·설정'!$B$8</x:f>
        <x:v>0.0112457275390625</x:v>
      </x:c>
      <x:c r="AB726" s="67" t="str">
        <x:f>IF(AND(I726=0,L726=0,Q726=0,T726=0,Y726=0),"PASS","FAIL")</x:f>
        <x:v>PASS</x:v>
      </x:c>
    </x:row>
    <x:row r="727" ht="18" customHeight="1">
      <x:c r="A727" s="14" t="n">
        <x:v>830</x:v>
      </x:c>
      <x:c r="B727" s="14" t="n">
        <x:v>722</x:v>
      </x:c>
      <x:c r="C727" s="14" t="n">
        <x:v>826</x:v>
      </x:c>
      <x:c r="D727" s="14" t="n">
        <x:v>666998</x:v>
      </x:c>
      <x:c r="E727" s="14" t="n">
        <x:v>840</x:v>
      </x:c>
      <x:c r="F727" s="14" t="n">
        <x:v>775814</x:v>
      </x:c>
      <x:c r="G727" s="14" t="n">
        <x:v>698088</x:v>
      </x:c>
      <x:c r="H727" s="14" t="n">
        <x:f>INT((F727-D727)*(A727-C727)/(E727-C727))+D727</x:f>
        <x:v>698088</x:v>
      </x:c>
      <x:c r="I727" s="68" t="n">
        <x:f>H727-G727</x:f>
        <x:v>0</x:v>
      </x:c>
      <x:c r="J727" s="14" t="n">
        <x:v>4544749</x:v>
      </x:c>
      <x:c r="K727" s="14" t="n">
        <x:f>INT(H727*'공식·설정'!$B$10/'공식·설정'!$B$15)</x:f>
        <x:v>4544749</x:v>
      </x:c>
      <x:c r="L727" s="68" t="n">
        <x:f>K727-J727</x:f>
        <x:v>0</x:v>
      </x:c>
      <x:c r="M727" s="65" t="n">
        <x:f>J727/'공식·설정'!$B$7</x:f>
        <x:v>17752.92578125</x:v>
      </x:c>
      <x:c r="N727" s="65" t="n">
        <x:f>K727/'공식·설정'!$B$7</x:f>
        <x:v>17752.92578125</x:v>
      </x:c>
      <x:c r="O727" s="14" t="n">
        <x:v>1775</x:v>
      </x:c>
      <x:c r="P727" s="14" t="n">
        <x:f>MIN(32767,MAX(0,INT((K727+INT('공식·설정'!$B$12/2))/'공식·설정'!$B$12)))</x:f>
        <x:v>1775</x:v>
      </x:c>
      <x:c r="Q727" s="68" t="n">
        <x:f>P727-O727</x:f>
        <x:v>0</x:v>
      </x:c>
      <x:c r="R727" s="14" t="n">
        <x:v>4552448</x:v>
      </x:c>
      <x:c r="S727" s="14" t="n">
        <x:f>P727*'공식·설정'!$B$12+'공식·설정'!$B$14</x:f>
        <x:v>4552448</x:v>
      </x:c>
      <x:c r="T727" s="68" t="n">
        <x:f>S727-R727</x:f>
        <x:v>0</x:v>
      </x:c>
      <x:c r="U727" s="65" t="n">
        <x:f>R727/'공식·설정'!$B$7</x:f>
        <x:v>17783</x:v>
      </x:c>
      <x:c r="V727" s="65" t="n">
        <x:f>S727/'공식·설정'!$B$7</x:f>
        <x:v>17783</x:v>
      </x:c>
      <x:c r="W727" s="14" t="n">
        <x:v>729</x:v>
      </x:c>
      <x:c r="X727" s="14" t="n">
        <x:f>INT(ABS(K728-K727)*'공식·설정'!$B$8/K727)</x:f>
        <x:v>729</x:v>
      </x:c>
      <x:c r="Y727" s="68" t="n">
        <x:f>X727-W727</x:f>
        <x:v>0</x:v>
      </x:c>
      <x:c r="Z727" s="66" t="n">
        <x:f>W727/'공식·설정'!$B$8</x:f>
        <x:v>0.0111236572265625</x:v>
      </x:c>
      <x:c r="AA727" s="66" t="n">
        <x:f>X727/'공식·설정'!$B$8</x:f>
        <x:v>0.0111236572265625</x:v>
      </x:c>
      <x:c r="AB727" s="67" t="str">
        <x:f>IF(AND(I727=0,L727=0,Q727=0,T727=0,Y727=0),"PASS","FAIL")</x:f>
        <x:v>PASS</x:v>
      </x:c>
    </x:row>
    <x:row r="728" ht="18" customHeight="1">
      <x:c r="A728" s="14" t="n">
        <x:v>831</x:v>
      </x:c>
      <x:c r="B728" s="14" t="n">
        <x:v>723</x:v>
      </x:c>
      <x:c r="C728" s="14" t="n">
        <x:v>826</x:v>
      </x:c>
      <x:c r="D728" s="14" t="n">
        <x:v>666998</x:v>
      </x:c>
      <x:c r="E728" s="14" t="n">
        <x:v>840</x:v>
      </x:c>
      <x:c r="F728" s="14" t="n">
        <x:v>775814</x:v>
      </x:c>
      <x:c r="G728" s="14" t="n">
        <x:v>705860</x:v>
      </x:c>
      <x:c r="H728" s="14" t="n">
        <x:f>INT((F728-D728)*(A728-C728)/(E728-C728))+D728</x:f>
        <x:v>705860</x:v>
      </x:c>
      <x:c r="I728" s="68" t="n">
        <x:f>H728-G728</x:f>
        <x:v>0</x:v>
      </x:c>
      <x:c r="J728" s="14" t="n">
        <x:v>4595347</x:v>
      </x:c>
      <x:c r="K728" s="14" t="n">
        <x:f>INT(H728*'공식·설정'!$B$10/'공식·설정'!$B$15)</x:f>
        <x:v>4595347</x:v>
      </x:c>
      <x:c r="L728" s="68" t="n">
        <x:f>K728-J728</x:f>
        <x:v>0</x:v>
      </x:c>
      <x:c r="M728" s="65" t="n">
        <x:f>J728/'공식·설정'!$B$7</x:f>
        <x:v>17950.57421875</x:v>
      </x:c>
      <x:c r="N728" s="65" t="n">
        <x:f>K728/'공식·설정'!$B$7</x:f>
        <x:v>17950.57421875</x:v>
      </x:c>
      <x:c r="O728" s="14" t="n">
        <x:v>1795</x:v>
      </x:c>
      <x:c r="P728" s="14" t="n">
        <x:f>MIN(32767,MAX(0,INT((K728+INT('공식·설정'!$B$12/2))/'공식·설정'!$B$12)))</x:f>
        <x:v>1795</x:v>
      </x:c>
      <x:c r="Q728" s="68" t="n">
        <x:f>P728-O728</x:f>
        <x:v>0</x:v>
      </x:c>
      <x:c r="R728" s="14" t="n">
        <x:v>4603648</x:v>
      </x:c>
      <x:c r="S728" s="14" t="n">
        <x:f>P728*'공식·설정'!$B$12+'공식·설정'!$B$14</x:f>
        <x:v>4603648</x:v>
      </x:c>
      <x:c r="T728" s="68" t="n">
        <x:f>S728-R728</x:f>
        <x:v>0</x:v>
      </x:c>
      <x:c r="U728" s="65" t="n">
        <x:f>R728/'공식·설정'!$B$7</x:f>
        <x:v>17983</x:v>
      </x:c>
      <x:c r="V728" s="65" t="n">
        <x:f>S728/'공식·설정'!$B$7</x:f>
        <x:v>17983</x:v>
      </x:c>
      <x:c r="W728" s="14" t="n">
        <x:v>721</x:v>
      </x:c>
      <x:c r="X728" s="14" t="n">
        <x:f>INT(ABS(K729-K728)*'공식·설정'!$B$8/K728)</x:f>
        <x:v>721</x:v>
      </x:c>
      <x:c r="Y728" s="68" t="n">
        <x:f>X728-W728</x:f>
        <x:v>0</x:v>
      </x:c>
      <x:c r="Z728" s="66" t="n">
        <x:f>W728/'공식·설정'!$B$8</x:f>
        <x:v>0.0110015869140625</x:v>
      </x:c>
      <x:c r="AA728" s="66" t="n">
        <x:f>X728/'공식·설정'!$B$8</x:f>
        <x:v>0.0110015869140625</x:v>
      </x:c>
      <x:c r="AB728" s="67" t="str">
        <x:f>IF(AND(I728=0,L728=0,Q728=0,T728=0,Y728=0),"PASS","FAIL")</x:f>
        <x:v>PASS</x:v>
      </x:c>
    </x:row>
    <x:row r="729" ht="18" customHeight="1">
      <x:c r="A729" s="14" t="n">
        <x:v>832</x:v>
      </x:c>
      <x:c r="B729" s="14" t="n">
        <x:v>724</x:v>
      </x:c>
      <x:c r="C729" s="14" t="n">
        <x:v>826</x:v>
      </x:c>
      <x:c r="D729" s="14" t="n">
        <x:v>666998</x:v>
      </x:c>
      <x:c r="E729" s="14" t="n">
        <x:v>840</x:v>
      </x:c>
      <x:c r="F729" s="14" t="n">
        <x:v>775814</x:v>
      </x:c>
      <x:c r="G729" s="14" t="n">
        <x:v>713633</x:v>
      </x:c>
      <x:c r="H729" s="14" t="n">
        <x:f>INT((F729-D729)*(A729-C729)/(E729-C729))+D729</x:f>
        <x:v>713633</x:v>
      </x:c>
      <x:c r="I729" s="68" t="n">
        <x:f>H729-G729</x:f>
        <x:v>0</x:v>
      </x:c>
      <x:c r="J729" s="14" t="n">
        <x:v>4645952</x:v>
      </x:c>
      <x:c r="K729" s="14" t="n">
        <x:f>INT(H729*'공식·설정'!$B$10/'공식·설정'!$B$15)</x:f>
        <x:v>4645952</x:v>
      </x:c>
      <x:c r="L729" s="68" t="n">
        <x:f>K729-J729</x:f>
        <x:v>0</x:v>
      </x:c>
      <x:c r="M729" s="65" t="n">
        <x:f>J729/'공식·설정'!$B$7</x:f>
        <x:v>18148.25</x:v>
      </x:c>
      <x:c r="N729" s="65" t="n">
        <x:f>K729/'공식·설정'!$B$7</x:f>
        <x:v>18148.25</x:v>
      </x:c>
      <x:c r="O729" s="14" t="n">
        <x:v>1815</x:v>
      </x:c>
      <x:c r="P729" s="14" t="n">
        <x:f>MIN(32767,MAX(0,INT((K729+INT('공식·설정'!$B$12/2))/'공식·설정'!$B$12)))</x:f>
        <x:v>1815</x:v>
      </x:c>
      <x:c r="Q729" s="68" t="n">
        <x:f>P729-O729</x:f>
        <x:v>0</x:v>
      </x:c>
      <x:c r="R729" s="14" t="n">
        <x:v>4654848</x:v>
      </x:c>
      <x:c r="S729" s="14" t="n">
        <x:f>P729*'공식·설정'!$B$12+'공식·설정'!$B$14</x:f>
        <x:v>4654848</x:v>
      </x:c>
      <x:c r="T729" s="68" t="n">
        <x:f>S729-R729</x:f>
        <x:v>0</x:v>
      </x:c>
      <x:c r="U729" s="65" t="n">
        <x:f>R729/'공식·설정'!$B$7</x:f>
        <x:v>18183</x:v>
      </x:c>
      <x:c r="V729" s="65" t="n">
        <x:f>S729/'공식·설정'!$B$7</x:f>
        <x:v>18183</x:v>
      </x:c>
      <x:c r="W729" s="14" t="n">
        <x:v>713</x:v>
      </x:c>
      <x:c r="X729" s="14" t="n">
        <x:f>INT(ABS(K730-K729)*'공식·설정'!$B$8/K729)</x:f>
        <x:v>713</x:v>
      </x:c>
      <x:c r="Y729" s="68" t="n">
        <x:f>X729-W729</x:f>
        <x:v>0</x:v>
      </x:c>
      <x:c r="Z729" s="66" t="n">
        <x:f>W729/'공식·설정'!$B$8</x:f>
        <x:v>0.0108795166015625</x:v>
      </x:c>
      <x:c r="AA729" s="66" t="n">
        <x:f>X729/'공식·설정'!$B$8</x:f>
        <x:v>0.0108795166015625</x:v>
      </x:c>
      <x:c r="AB729" s="67" t="str">
        <x:f>IF(AND(I729=0,L729=0,Q729=0,T729=0,Y729=0),"PASS","FAIL")</x:f>
        <x:v>PASS</x:v>
      </x:c>
    </x:row>
    <x:row r="730" ht="18" customHeight="1">
      <x:c r="A730" s="14" t="n">
        <x:v>833</x:v>
      </x:c>
      <x:c r="B730" s="14" t="n">
        <x:v>725</x:v>
      </x:c>
      <x:c r="C730" s="14" t="n">
        <x:v>826</x:v>
      </x:c>
      <x:c r="D730" s="14" t="n">
        <x:v>666998</x:v>
      </x:c>
      <x:c r="E730" s="14" t="n">
        <x:v>840</x:v>
      </x:c>
      <x:c r="F730" s="14" t="n">
        <x:v>775814</x:v>
      </x:c>
      <x:c r="G730" s="14" t="n">
        <x:v>721406</x:v>
      </x:c>
      <x:c r="H730" s="14" t="n">
        <x:f>INT((F730-D730)*(A730-C730)/(E730-C730))+D730</x:f>
        <x:v>721406</x:v>
      </x:c>
      <x:c r="I730" s="68" t="n">
        <x:f>H730-G730</x:f>
        <x:v>0</x:v>
      </x:c>
      <x:c r="J730" s="14" t="n">
        <x:v>4696556</x:v>
      </x:c>
      <x:c r="K730" s="14" t="n">
        <x:f>INT(H730*'공식·설정'!$B$10/'공식·설정'!$B$15)</x:f>
        <x:v>4696556</x:v>
      </x:c>
      <x:c r="L730" s="68" t="n">
        <x:f>K730-J730</x:f>
        <x:v>0</x:v>
      </x:c>
      <x:c r="M730" s="65" t="n">
        <x:f>J730/'공식·설정'!$B$7</x:f>
        <x:v>18345.921875</x:v>
      </x:c>
      <x:c r="N730" s="65" t="n">
        <x:f>K730/'공식·설정'!$B$7</x:f>
        <x:v>18345.921875</x:v>
      </x:c>
      <x:c r="O730" s="14" t="n">
        <x:v>1835</x:v>
      </x:c>
      <x:c r="P730" s="14" t="n">
        <x:f>MIN(32767,MAX(0,INT((K730+INT('공식·설정'!$B$12/2))/'공식·설정'!$B$12)))</x:f>
        <x:v>1835</x:v>
      </x:c>
      <x:c r="Q730" s="68" t="n">
        <x:f>P730-O730</x:f>
        <x:v>0</x:v>
      </x:c>
      <x:c r="R730" s="14" t="n">
        <x:v>4706048</x:v>
      </x:c>
      <x:c r="S730" s="14" t="n">
        <x:f>P730*'공식·설정'!$B$12+'공식·설정'!$B$14</x:f>
        <x:v>4706048</x:v>
      </x:c>
      <x:c r="T730" s="68" t="n">
        <x:f>S730-R730</x:f>
        <x:v>0</x:v>
      </x:c>
      <x:c r="U730" s="65" t="n">
        <x:f>R730/'공식·설정'!$B$7</x:f>
        <x:v>18383</x:v>
      </x:c>
      <x:c r="V730" s="65" t="n">
        <x:f>S730/'공식·설정'!$B$7</x:f>
        <x:v>18383</x:v>
      </x:c>
      <x:c r="W730" s="14" t="n">
        <x:v>706</x:v>
      </x:c>
      <x:c r="X730" s="14" t="n">
        <x:f>INT(ABS(K731-K730)*'공식·설정'!$B$8/K730)</x:f>
        <x:v>706</x:v>
      </x:c>
      <x:c r="Y730" s="68" t="n">
        <x:f>X730-W730</x:f>
        <x:v>0</x:v>
      </x:c>
      <x:c r="Z730" s="66" t="n">
        <x:f>W730/'공식·설정'!$B$8</x:f>
        <x:v>0.010772705078125</x:v>
      </x:c>
      <x:c r="AA730" s="66" t="n">
        <x:f>X730/'공식·설정'!$B$8</x:f>
        <x:v>0.010772705078125</x:v>
      </x:c>
      <x:c r="AB730" s="67" t="str">
        <x:f>IF(AND(I730=0,L730=0,Q730=0,T730=0,Y730=0),"PASS","FAIL")</x:f>
        <x:v>PASS</x:v>
      </x:c>
    </x:row>
    <x:row r="731" ht="18" customHeight="1">
      <x:c r="A731" s="14" t="n">
        <x:v>834</x:v>
      </x:c>
      <x:c r="B731" s="14" t="n">
        <x:v>726</x:v>
      </x:c>
      <x:c r="C731" s="14" t="n">
        <x:v>826</x:v>
      </x:c>
      <x:c r="D731" s="14" t="n">
        <x:v>666998</x:v>
      </x:c>
      <x:c r="E731" s="14" t="n">
        <x:v>840</x:v>
      </x:c>
      <x:c r="F731" s="14" t="n">
        <x:v>775814</x:v>
      </x:c>
      <x:c r="G731" s="14" t="n">
        <x:v>729178</x:v>
      </x:c>
      <x:c r="H731" s="14" t="n">
        <x:f>INT((F731-D731)*(A731-C731)/(E731-C731))+D731</x:f>
        <x:v>729178</x:v>
      </x:c>
      <x:c r="I731" s="68" t="n">
        <x:f>H731-G731</x:f>
        <x:v>0</x:v>
      </x:c>
      <x:c r="J731" s="14" t="n">
        <x:v>4747154</x:v>
      </x:c>
      <x:c r="K731" s="14" t="n">
        <x:f>INT(H731*'공식·설정'!$B$10/'공식·설정'!$B$15)</x:f>
        <x:v>4747154</x:v>
      </x:c>
      <x:c r="L731" s="68" t="n">
        <x:f>K731-J731</x:f>
        <x:v>0</x:v>
      </x:c>
      <x:c r="M731" s="65" t="n">
        <x:f>J731/'공식·설정'!$B$7</x:f>
        <x:v>18543.5703125</x:v>
      </x:c>
      <x:c r="N731" s="65" t="n">
        <x:f>K731/'공식·설정'!$B$7</x:f>
        <x:v>18543.5703125</x:v>
      </x:c>
      <x:c r="O731" s="14" t="n">
        <x:v>1854</x:v>
      </x:c>
      <x:c r="P731" s="14" t="n">
        <x:f>MIN(32767,MAX(0,INT((K731+INT('공식·설정'!$B$12/2))/'공식·설정'!$B$12)))</x:f>
        <x:v>1854</x:v>
      </x:c>
      <x:c r="Q731" s="68" t="n">
        <x:f>P731-O731</x:f>
        <x:v>0</x:v>
      </x:c>
      <x:c r="R731" s="14" t="n">
        <x:v>4754688</x:v>
      </x:c>
      <x:c r="S731" s="14" t="n">
        <x:f>P731*'공식·설정'!$B$12+'공식·설정'!$B$14</x:f>
        <x:v>4754688</x:v>
      </x:c>
      <x:c r="T731" s="68" t="n">
        <x:f>S731-R731</x:f>
        <x:v>0</x:v>
      </x:c>
      <x:c r="U731" s="65" t="n">
        <x:f>R731/'공식·설정'!$B$7</x:f>
        <x:v>18573</x:v>
      </x:c>
      <x:c r="V731" s="65" t="n">
        <x:f>S731/'공식·설정'!$B$7</x:f>
        <x:v>18573</x:v>
      </x:c>
      <x:c r="W731" s="14" t="n">
        <x:v>698</x:v>
      </x:c>
      <x:c r="X731" s="14" t="n">
        <x:f>INT(ABS(K732-K731)*'공식·설정'!$B$8/K731)</x:f>
        <x:v>698</x:v>
      </x:c>
      <x:c r="Y731" s="68" t="n">
        <x:f>X731-W731</x:f>
        <x:v>0</x:v>
      </x:c>
      <x:c r="Z731" s="66" t="n">
        <x:f>W731/'공식·설정'!$B$8</x:f>
        <x:v>0.010650634765625</x:v>
      </x:c>
      <x:c r="AA731" s="66" t="n">
        <x:f>X731/'공식·설정'!$B$8</x:f>
        <x:v>0.010650634765625</x:v>
      </x:c>
      <x:c r="AB731" s="67" t="str">
        <x:f>IF(AND(I731=0,L731=0,Q731=0,T731=0,Y731=0),"PASS","FAIL")</x:f>
        <x:v>PASS</x:v>
      </x:c>
    </x:row>
    <x:row r="732" ht="18" customHeight="1">
      <x:c r="A732" s="14" t="n">
        <x:v>835</x:v>
      </x:c>
      <x:c r="B732" s="14" t="n">
        <x:v>727</x:v>
      </x:c>
      <x:c r="C732" s="14" t="n">
        <x:v>826</x:v>
      </x:c>
      <x:c r="D732" s="14" t="n">
        <x:v>666998</x:v>
      </x:c>
      <x:c r="E732" s="14" t="n">
        <x:v>840</x:v>
      </x:c>
      <x:c r="F732" s="14" t="n">
        <x:v>775814</x:v>
      </x:c>
      <x:c r="G732" s="14" t="n">
        <x:v>736951</x:v>
      </x:c>
      <x:c r="H732" s="14" t="n">
        <x:f>INT((F732-D732)*(A732-C732)/(E732-C732))+D732</x:f>
        <x:v>736951</x:v>
      </x:c>
      <x:c r="I732" s="68" t="n">
        <x:f>H732-G732</x:f>
        <x:v>0</x:v>
      </x:c>
      <x:c r="J732" s="14" t="n">
        <x:v>4797758</x:v>
      </x:c>
      <x:c r="K732" s="14" t="n">
        <x:f>INT(H732*'공식·설정'!$B$10/'공식·설정'!$B$15)</x:f>
        <x:v>4797758</x:v>
      </x:c>
      <x:c r="L732" s="68" t="n">
        <x:f>K732-J732</x:f>
        <x:v>0</x:v>
      </x:c>
      <x:c r="M732" s="65" t="n">
        <x:f>J732/'공식·설정'!$B$7</x:f>
        <x:v>18741.2421875</x:v>
      </x:c>
      <x:c r="N732" s="65" t="n">
        <x:f>K732/'공식·설정'!$B$7</x:f>
        <x:v>18741.2421875</x:v>
      </x:c>
      <x:c r="O732" s="14" t="n">
        <x:v>1874</x:v>
      </x:c>
      <x:c r="P732" s="14" t="n">
        <x:f>MIN(32767,MAX(0,INT((K732+INT('공식·설정'!$B$12/2))/'공식·설정'!$B$12)))</x:f>
        <x:v>1874</x:v>
      </x:c>
      <x:c r="Q732" s="68" t="n">
        <x:f>P732-O732</x:f>
        <x:v>0</x:v>
      </x:c>
      <x:c r="R732" s="14" t="n">
        <x:v>4805888</x:v>
      </x:c>
      <x:c r="S732" s="14" t="n">
        <x:f>P732*'공식·설정'!$B$12+'공식·설정'!$B$14</x:f>
        <x:v>4805888</x:v>
      </x:c>
      <x:c r="T732" s="68" t="n">
        <x:f>S732-R732</x:f>
        <x:v>0</x:v>
      </x:c>
      <x:c r="U732" s="65" t="n">
        <x:f>R732/'공식·설정'!$B$7</x:f>
        <x:v>18773</x:v>
      </x:c>
      <x:c r="V732" s="65" t="n">
        <x:f>S732/'공식·설정'!$B$7</x:f>
        <x:v>18773</x:v>
      </x:c>
      <x:c r="W732" s="14" t="n">
        <x:v>691</x:v>
      </x:c>
      <x:c r="X732" s="14" t="n">
        <x:f>INT(ABS(K733-K732)*'공식·설정'!$B$8/K732)</x:f>
        <x:v>691</x:v>
      </x:c>
      <x:c r="Y732" s="68" t="n">
        <x:f>X732-W732</x:f>
        <x:v>0</x:v>
      </x:c>
      <x:c r="Z732" s="66" t="n">
        <x:f>W732/'공식·설정'!$B$8</x:f>
        <x:v>0.0105438232421875</x:v>
      </x:c>
      <x:c r="AA732" s="66" t="n">
        <x:f>X732/'공식·설정'!$B$8</x:f>
        <x:v>0.0105438232421875</x:v>
      </x:c>
      <x:c r="AB732" s="67" t="str">
        <x:f>IF(AND(I732=0,L732=0,Q732=0,T732=0,Y732=0),"PASS","FAIL")</x:f>
        <x:v>PASS</x:v>
      </x:c>
    </x:row>
    <x:row r="733" ht="18" customHeight="1">
      <x:c r="A733" s="14" t="n">
        <x:v>836</x:v>
      </x:c>
      <x:c r="B733" s="14" t="n">
        <x:v>728</x:v>
      </x:c>
      <x:c r="C733" s="14" t="n">
        <x:v>826</x:v>
      </x:c>
      <x:c r="D733" s="14" t="n">
        <x:v>666998</x:v>
      </x:c>
      <x:c r="E733" s="14" t="n">
        <x:v>840</x:v>
      </x:c>
      <x:c r="F733" s="14" t="n">
        <x:v>775814</x:v>
      </x:c>
      <x:c r="G733" s="14" t="n">
        <x:v>744723</x:v>
      </x:c>
      <x:c r="H733" s="14" t="n">
        <x:f>INT((F733-D733)*(A733-C733)/(E733-C733))+D733</x:f>
        <x:v>744723</x:v>
      </x:c>
      <x:c r="I733" s="68" t="n">
        <x:f>H733-G733</x:f>
        <x:v>0</x:v>
      </x:c>
      <x:c r="J733" s="14" t="n">
        <x:v>4848356</x:v>
      </x:c>
      <x:c r="K733" s="14" t="n">
        <x:f>INT(H733*'공식·설정'!$B$10/'공식·설정'!$B$15)</x:f>
        <x:v>4848356</x:v>
      </x:c>
      <x:c r="L733" s="68" t="n">
        <x:f>K733-J733</x:f>
        <x:v>0</x:v>
      </x:c>
      <x:c r="M733" s="65" t="n">
        <x:f>J733/'공식·설정'!$B$7</x:f>
        <x:v>18938.890625</x:v>
      </x:c>
      <x:c r="N733" s="65" t="n">
        <x:f>K733/'공식·설정'!$B$7</x:f>
        <x:v>18938.890625</x:v>
      </x:c>
      <x:c r="O733" s="14" t="n">
        <x:v>1894</x:v>
      </x:c>
      <x:c r="P733" s="14" t="n">
        <x:f>MIN(32767,MAX(0,INT((K733+INT('공식·설정'!$B$12/2))/'공식·설정'!$B$12)))</x:f>
        <x:v>1894</x:v>
      </x:c>
      <x:c r="Q733" s="68" t="n">
        <x:f>P733-O733</x:f>
        <x:v>0</x:v>
      </x:c>
      <x:c r="R733" s="14" t="n">
        <x:v>4857088</x:v>
      </x:c>
      <x:c r="S733" s="14" t="n">
        <x:f>P733*'공식·설정'!$B$12+'공식·설정'!$B$14</x:f>
        <x:v>4857088</x:v>
      </x:c>
      <x:c r="T733" s="68" t="n">
        <x:f>S733-R733</x:f>
        <x:v>0</x:v>
      </x:c>
      <x:c r="U733" s="65" t="n">
        <x:f>R733/'공식·설정'!$B$7</x:f>
        <x:v>18973</x:v>
      </x:c>
      <x:c r="V733" s="65" t="n">
        <x:f>S733/'공식·설정'!$B$7</x:f>
        <x:v>18973</x:v>
      </x:c>
      <x:c r="W733" s="14" t="n">
        <x:v>684</x:v>
      </x:c>
      <x:c r="X733" s="14" t="n">
        <x:f>INT(ABS(K734-K733)*'공식·설정'!$B$8/K733)</x:f>
        <x:v>684</x:v>
      </x:c>
      <x:c r="Y733" s="68" t="n">
        <x:f>X733-W733</x:f>
        <x:v>0</x:v>
      </x:c>
      <x:c r="Z733" s="66" t="n">
        <x:f>W733/'공식·설정'!$B$8</x:f>
        <x:v>0.01043701171875</x:v>
      </x:c>
      <x:c r="AA733" s="66" t="n">
        <x:f>X733/'공식·설정'!$B$8</x:f>
        <x:v>0.01043701171875</x:v>
      </x:c>
      <x:c r="AB733" s="67" t="str">
        <x:f>IF(AND(I733=0,L733=0,Q733=0,T733=0,Y733=0),"PASS","FAIL")</x:f>
        <x:v>PASS</x:v>
      </x:c>
    </x:row>
    <x:row r="734" ht="18" customHeight="1">
      <x:c r="A734" s="14" t="n">
        <x:v>837</x:v>
      </x:c>
      <x:c r="B734" s="14" t="n">
        <x:v>729</x:v>
      </x:c>
      <x:c r="C734" s="14" t="n">
        <x:v>826</x:v>
      </x:c>
      <x:c r="D734" s="14" t="n">
        <x:v>666998</x:v>
      </x:c>
      <x:c r="E734" s="14" t="n">
        <x:v>840</x:v>
      </x:c>
      <x:c r="F734" s="14" t="n">
        <x:v>775814</x:v>
      </x:c>
      <x:c r="G734" s="14" t="n">
        <x:v>752496</x:v>
      </x:c>
      <x:c r="H734" s="14" t="n">
        <x:f>INT((F734-D734)*(A734-C734)/(E734-C734))+D734</x:f>
        <x:v>752496</x:v>
      </x:c>
      <x:c r="I734" s="68" t="n">
        <x:f>H734-G734</x:f>
        <x:v>0</x:v>
      </x:c>
      <x:c r="J734" s="14" t="n">
        <x:v>4898961</x:v>
      </x:c>
      <x:c r="K734" s="14" t="n">
        <x:f>INT(H734*'공식·설정'!$B$10/'공식·설정'!$B$15)</x:f>
        <x:v>4898961</x:v>
      </x:c>
      <x:c r="L734" s="68" t="n">
        <x:f>K734-J734</x:f>
        <x:v>0</x:v>
      </x:c>
      <x:c r="M734" s="65" t="n">
        <x:f>J734/'공식·설정'!$B$7</x:f>
        <x:v>19136.56640625</x:v>
      </x:c>
      <x:c r="N734" s="65" t="n">
        <x:f>K734/'공식·설정'!$B$7</x:f>
        <x:v>19136.56640625</x:v>
      </x:c>
      <x:c r="O734" s="14" t="n">
        <x:v>1914</x:v>
      </x:c>
      <x:c r="P734" s="14" t="n">
        <x:f>MIN(32767,MAX(0,INT((K734+INT('공식·설정'!$B$12/2))/'공식·설정'!$B$12)))</x:f>
        <x:v>1914</x:v>
      </x:c>
      <x:c r="Q734" s="68" t="n">
        <x:f>P734-O734</x:f>
        <x:v>0</x:v>
      </x:c>
      <x:c r="R734" s="14" t="n">
        <x:v>4908288</x:v>
      </x:c>
      <x:c r="S734" s="14" t="n">
        <x:f>P734*'공식·설정'!$B$12+'공식·설정'!$B$14</x:f>
        <x:v>4908288</x:v>
      </x:c>
      <x:c r="T734" s="68" t="n">
        <x:f>S734-R734</x:f>
        <x:v>0</x:v>
      </x:c>
      <x:c r="U734" s="65" t="n">
        <x:f>R734/'공식·설정'!$B$7</x:f>
        <x:v>19173</x:v>
      </x:c>
      <x:c r="V734" s="65" t="n">
        <x:f>S734/'공식·설정'!$B$7</x:f>
        <x:v>19173</x:v>
      </x:c>
      <x:c r="W734" s="14" t="n">
        <x:v>676</x:v>
      </x:c>
      <x:c r="X734" s="14" t="n">
        <x:f>INT(ABS(K735-K734)*'공식·설정'!$B$8/K734)</x:f>
        <x:v>676</x:v>
      </x:c>
      <x:c r="Y734" s="68" t="n">
        <x:f>X734-W734</x:f>
        <x:v>0</x:v>
      </x:c>
      <x:c r="Z734" s="66" t="n">
        <x:f>W734/'공식·설정'!$B$8</x:f>
        <x:v>0.01031494140625</x:v>
      </x:c>
      <x:c r="AA734" s="66" t="n">
        <x:f>X734/'공식·설정'!$B$8</x:f>
        <x:v>0.01031494140625</x:v>
      </x:c>
      <x:c r="AB734" s="67" t="str">
        <x:f>IF(AND(I734=0,L734=0,Q734=0,T734=0,Y734=0),"PASS","FAIL")</x:f>
        <x:v>PASS</x:v>
      </x:c>
    </x:row>
    <x:row r="735" ht="18" customHeight="1">
      <x:c r="A735" s="14" t="n">
        <x:v>838</x:v>
      </x:c>
      <x:c r="B735" s="14" t="n">
        <x:v>730</x:v>
      </x:c>
      <x:c r="C735" s="14" t="n">
        <x:v>826</x:v>
      </x:c>
      <x:c r="D735" s="14" t="n">
        <x:v>666998</x:v>
      </x:c>
      <x:c r="E735" s="14" t="n">
        <x:v>840</x:v>
      </x:c>
      <x:c r="F735" s="14" t="n">
        <x:v>775814</x:v>
      </x:c>
      <x:c r="G735" s="14" t="n">
        <x:v>760268</x:v>
      </x:c>
      <x:c r="H735" s="14" t="n">
        <x:f>INT((F735-D735)*(A735-C735)/(E735-C735))+D735</x:f>
        <x:v>760268</x:v>
      </x:c>
      <x:c r="I735" s="68" t="n">
        <x:f>H735-G735</x:f>
        <x:v>0</x:v>
      </x:c>
      <x:c r="J735" s="14" t="n">
        <x:v>4949559</x:v>
      </x:c>
      <x:c r="K735" s="14" t="n">
        <x:f>INT(H735*'공식·설정'!$B$10/'공식·설정'!$B$15)</x:f>
        <x:v>4949559</x:v>
      </x:c>
      <x:c r="L735" s="68" t="n">
        <x:f>K735-J735</x:f>
        <x:v>0</x:v>
      </x:c>
      <x:c r="M735" s="65" t="n">
        <x:f>J735/'공식·설정'!$B$7</x:f>
        <x:v>19334.21484375</x:v>
      </x:c>
      <x:c r="N735" s="65" t="n">
        <x:f>K735/'공식·설정'!$B$7</x:f>
        <x:v>19334.21484375</x:v>
      </x:c>
      <x:c r="O735" s="14" t="n">
        <x:v>1933</x:v>
      </x:c>
      <x:c r="P735" s="14" t="n">
        <x:f>MIN(32767,MAX(0,INT((K735+INT('공식·설정'!$B$12/2))/'공식·설정'!$B$12)))</x:f>
        <x:v>1933</x:v>
      </x:c>
      <x:c r="Q735" s="68" t="n">
        <x:f>P735-O735</x:f>
        <x:v>0</x:v>
      </x:c>
      <x:c r="R735" s="14" t="n">
        <x:v>4956928</x:v>
      </x:c>
      <x:c r="S735" s="14" t="n">
        <x:f>P735*'공식·설정'!$B$12+'공식·설정'!$B$14</x:f>
        <x:v>4956928</x:v>
      </x:c>
      <x:c r="T735" s="68" t="n">
        <x:f>S735-R735</x:f>
        <x:v>0</x:v>
      </x:c>
      <x:c r="U735" s="65" t="n">
        <x:f>R735/'공식·설정'!$B$7</x:f>
        <x:v>19363</x:v>
      </x:c>
      <x:c r="V735" s="65" t="n">
        <x:f>S735/'공식·설정'!$B$7</x:f>
        <x:v>19363</x:v>
      </x:c>
      <x:c r="W735" s="14" t="n">
        <x:v>670</x:v>
      </x:c>
      <x:c r="X735" s="14" t="n">
        <x:f>INT(ABS(K736-K735)*'공식·설정'!$B$8/K735)</x:f>
        <x:v>670</x:v>
      </x:c>
      <x:c r="Y735" s="68" t="n">
        <x:f>X735-W735</x:f>
        <x:v>0</x:v>
      </x:c>
      <x:c r="Z735" s="66" t="n">
        <x:f>W735/'공식·설정'!$B$8</x:f>
        <x:v>0.010223388671875</x:v>
      </x:c>
      <x:c r="AA735" s="66" t="n">
        <x:f>X735/'공식·설정'!$B$8</x:f>
        <x:v>0.010223388671875</x:v>
      </x:c>
      <x:c r="AB735" s="67" t="str">
        <x:f>IF(AND(I735=0,L735=0,Q735=0,T735=0,Y735=0),"PASS","FAIL")</x:f>
        <x:v>PASS</x:v>
      </x:c>
    </x:row>
    <x:row r="736" ht="18" customHeight="1">
      <x:c r="A736" s="14" t="n">
        <x:v>839</x:v>
      </x:c>
      <x:c r="B736" s="14" t="n">
        <x:v>731</x:v>
      </x:c>
      <x:c r="C736" s="14" t="n">
        <x:v>826</x:v>
      </x:c>
      <x:c r="D736" s="14" t="n">
        <x:v>666998</x:v>
      </x:c>
      <x:c r="E736" s="14" t="n">
        <x:v>840</x:v>
      </x:c>
      <x:c r="F736" s="14" t="n">
        <x:v>775814</x:v>
      </x:c>
      <x:c r="G736" s="14" t="n">
        <x:v>768041</x:v>
      </x:c>
      <x:c r="H736" s="14" t="n">
        <x:f>INT((F736-D736)*(A736-C736)/(E736-C736))+D736</x:f>
        <x:v>768041</x:v>
      </x:c>
      <x:c r="I736" s="68" t="n">
        <x:f>H736-G736</x:f>
        <x:v>0</x:v>
      </x:c>
      <x:c r="J736" s="14" t="n">
        <x:v>5000163</x:v>
      </x:c>
      <x:c r="K736" s="14" t="n">
        <x:f>INT(H736*'공식·설정'!$B$10/'공식·설정'!$B$15)</x:f>
        <x:v>5000163</x:v>
      </x:c>
      <x:c r="L736" s="68" t="n">
        <x:f>K736-J736</x:f>
        <x:v>0</x:v>
      </x:c>
      <x:c r="M736" s="65" t="n">
        <x:f>J736/'공식·설정'!$B$7</x:f>
        <x:v>19531.88671875</x:v>
      </x:c>
      <x:c r="N736" s="65" t="n">
        <x:f>K736/'공식·설정'!$B$7</x:f>
        <x:v>19531.88671875</x:v>
      </x:c>
      <x:c r="O736" s="14" t="n">
        <x:v>1953</x:v>
      </x:c>
      <x:c r="P736" s="14" t="n">
        <x:f>MIN(32767,MAX(0,INT((K736+INT('공식·설정'!$B$12/2))/'공식·설정'!$B$12)))</x:f>
        <x:v>1953</x:v>
      </x:c>
      <x:c r="Q736" s="68" t="n">
        <x:f>P736-O736</x:f>
        <x:v>0</x:v>
      </x:c>
      <x:c r="R736" s="14" t="n">
        <x:v>5008128</x:v>
      </x:c>
      <x:c r="S736" s="14" t="n">
        <x:f>P736*'공식·설정'!$B$12+'공식·설정'!$B$14</x:f>
        <x:v>5008128</x:v>
      </x:c>
      <x:c r="T736" s="68" t="n">
        <x:f>S736-R736</x:f>
        <x:v>0</x:v>
      </x:c>
      <x:c r="U736" s="65" t="n">
        <x:f>R736/'공식·설정'!$B$7</x:f>
        <x:v>19563</x:v>
      </x:c>
      <x:c r="V736" s="65" t="n">
        <x:f>S736/'공식·설정'!$B$7</x:f>
        <x:v>19563</x:v>
      </x:c>
      <x:c r="W736" s="14" t="n">
        <x:v>663</x:v>
      </x:c>
      <x:c r="X736" s="14" t="n">
        <x:f>INT(ABS(K737-K736)*'공식·설정'!$B$8/K736)</x:f>
        <x:v>663</x:v>
      </x:c>
      <x:c r="Y736" s="68" t="n">
        <x:f>X736-W736</x:f>
        <x:v>0</x:v>
      </x:c>
      <x:c r="Z736" s="66" t="n">
        <x:f>W736/'공식·설정'!$B$8</x:f>
        <x:v>0.0101165771484375</x:v>
      </x:c>
      <x:c r="AA736" s="66" t="n">
        <x:f>X736/'공식·설정'!$B$8</x:f>
        <x:v>0.0101165771484375</x:v>
      </x:c>
      <x:c r="AB736" s="67" t="str">
        <x:f>IF(AND(I736=0,L736=0,Q736=0,T736=0,Y736=0),"PASS","FAIL")</x:f>
        <x:v>PASS</x:v>
      </x:c>
    </x:row>
    <x:row r="737" ht="18" customHeight="1">
      <x:c r="A737" s="14" t="n">
        <x:v>840</x:v>
      </x:c>
      <x:c r="B737" s="14" t="n">
        <x:v>732</x:v>
      </x:c>
      <x:c r="C737" s="14" t="n">
        <x:v>840</x:v>
      </x:c>
      <x:c r="D737" s="14" t="n">
        <x:v>775814</x:v>
      </x:c>
      <x:c r="E737" s="14" t="n">
        <x:v>854</x:v>
      </x:c>
      <x:c r="F737" s="14" t="n">
        <x:v>902381</x:v>
      </x:c>
      <x:c r="G737" s="14" t="n">
        <x:v>775814</x:v>
      </x:c>
      <x:c r="H737" s="14" t="n">
        <x:f>INT((F737-D737)*(A737-C737)/(E737-C737))+D737</x:f>
        <x:v>775814</x:v>
      </x:c>
      <x:c r="I737" s="68" t="n">
        <x:f>H737-G737</x:f>
        <x:v>0</x:v>
      </x:c>
      <x:c r="J737" s="14" t="n">
        <x:v>5050767</x:v>
      </x:c>
      <x:c r="K737" s="14" t="n">
        <x:f>INT(H737*'공식·설정'!$B$10/'공식·설정'!$B$15)</x:f>
        <x:v>5050767</x:v>
      </x:c>
      <x:c r="L737" s="68" t="n">
        <x:f>K737-J737</x:f>
        <x:v>0</x:v>
      </x:c>
      <x:c r="M737" s="65" t="n">
        <x:f>J737/'공식·설정'!$B$7</x:f>
        <x:v>19729.55859375</x:v>
      </x:c>
      <x:c r="N737" s="65" t="n">
        <x:f>K737/'공식·설정'!$B$7</x:f>
        <x:v>19729.55859375</x:v>
      </x:c>
      <x:c r="O737" s="14" t="n">
        <x:v>1973</x:v>
      </x:c>
      <x:c r="P737" s="14" t="n">
        <x:f>MIN(32767,MAX(0,INT((K737+INT('공식·설정'!$B$12/2))/'공식·설정'!$B$12)))</x:f>
        <x:v>1973</x:v>
      </x:c>
      <x:c r="Q737" s="68" t="n">
        <x:f>P737-O737</x:f>
        <x:v>0</x:v>
      </x:c>
      <x:c r="R737" s="14" t="n">
        <x:v>5059328</x:v>
      </x:c>
      <x:c r="S737" s="14" t="n">
        <x:f>P737*'공식·설정'!$B$12+'공식·설정'!$B$14</x:f>
        <x:v>5059328</x:v>
      </x:c>
      <x:c r="T737" s="68" t="n">
        <x:f>S737-R737</x:f>
        <x:v>0</x:v>
      </x:c>
      <x:c r="U737" s="65" t="n">
        <x:f>R737/'공식·설정'!$B$7</x:f>
        <x:v>19763</x:v>
      </x:c>
      <x:c r="V737" s="65" t="n">
        <x:f>S737/'공식·설정'!$B$7</x:f>
        <x:v>19763</x:v>
      </x:c>
      <x:c r="W737" s="14" t="n">
        <x:v>763</x:v>
      </x:c>
      <x:c r="X737" s="14" t="n">
        <x:f>INT(ABS(K738-K737)*'공식·설정'!$B$8/K737)</x:f>
        <x:v>763</x:v>
      </x:c>
      <x:c r="Y737" s="68" t="n">
        <x:f>X737-W737</x:f>
        <x:v>0</x:v>
      </x:c>
      <x:c r="Z737" s="66" t="n">
        <x:f>W737/'공식·설정'!$B$8</x:f>
        <x:v>0.0116424560546875</x:v>
      </x:c>
      <x:c r="AA737" s="66" t="n">
        <x:f>X737/'공식·설정'!$B$8</x:f>
        <x:v>0.0116424560546875</x:v>
      </x:c>
      <x:c r="AB737" s="67" t="str">
        <x:f>IF(AND(I737=0,L737=0,Q737=0,T737=0,Y737=0),"PASS","FAIL")</x:f>
        <x:v>PASS</x:v>
      </x:c>
    </x:row>
    <x:row r="738" ht="18" customHeight="1">
      <x:c r="A738" s="14" t="n">
        <x:v>841</x:v>
      </x:c>
      <x:c r="B738" s="14" t="n">
        <x:v>733</x:v>
      </x:c>
      <x:c r="C738" s="14" t="n">
        <x:v>840</x:v>
      </x:c>
      <x:c r="D738" s="14" t="n">
        <x:v>775814</x:v>
      </x:c>
      <x:c r="E738" s="14" t="n">
        <x:v>854</x:v>
      </x:c>
      <x:c r="F738" s="14" t="n">
        <x:v>902381</x:v>
      </x:c>
      <x:c r="G738" s="14" t="n">
        <x:v>784854</x:v>
      </x:c>
      <x:c r="H738" s="14" t="n">
        <x:f>INT((F738-D738)*(A738-C738)/(E738-C738))+D738</x:f>
        <x:v>784854</x:v>
      </x:c>
      <x:c r="I738" s="68" t="n">
        <x:f>H738-G738</x:f>
        <x:v>0</x:v>
      </x:c>
      <x:c r="J738" s="14" t="n">
        <x:v>5109620</x:v>
      </x:c>
      <x:c r="K738" s="14" t="n">
        <x:f>INT(H738*'공식·설정'!$B$10/'공식·설정'!$B$15)</x:f>
        <x:v>5109620</x:v>
      </x:c>
      <x:c r="L738" s="68" t="n">
        <x:f>K738-J738</x:f>
        <x:v>0</x:v>
      </x:c>
      <x:c r="M738" s="65" t="n">
        <x:f>J738/'공식·설정'!$B$7</x:f>
        <x:v>19959.453125</x:v>
      </x:c>
      <x:c r="N738" s="65" t="n">
        <x:f>K738/'공식·설정'!$B$7</x:f>
        <x:v>19959.453125</x:v>
      </x:c>
      <x:c r="O738" s="14" t="n">
        <x:v>1996</x:v>
      </x:c>
      <x:c r="P738" s="14" t="n">
        <x:f>MIN(32767,MAX(0,INT((K738+INT('공식·설정'!$B$12/2))/'공식·설정'!$B$12)))</x:f>
        <x:v>1996</x:v>
      </x:c>
      <x:c r="Q738" s="68" t="n">
        <x:f>P738-O738</x:f>
        <x:v>0</x:v>
      </x:c>
      <x:c r="R738" s="14" t="n">
        <x:v>5118208</x:v>
      </x:c>
      <x:c r="S738" s="14" t="n">
        <x:f>P738*'공식·설정'!$B$12+'공식·설정'!$B$14</x:f>
        <x:v>5118208</x:v>
      </x:c>
      <x:c r="T738" s="68" t="n">
        <x:f>S738-R738</x:f>
        <x:v>0</x:v>
      </x:c>
      <x:c r="U738" s="65" t="n">
        <x:f>R738/'공식·설정'!$B$7</x:f>
        <x:v>19993</x:v>
      </x:c>
      <x:c r="V738" s="65" t="n">
        <x:f>S738/'공식·설정'!$B$7</x:f>
        <x:v>19993</x:v>
      </x:c>
      <x:c r="W738" s="14" t="n">
        <x:v>754</x:v>
      </x:c>
      <x:c r="X738" s="14" t="n">
        <x:f>INT(ABS(K739-K738)*'공식·설정'!$B$8/K738)</x:f>
        <x:v>754</x:v>
      </x:c>
      <x:c r="Y738" s="68" t="n">
        <x:f>X738-W738</x:f>
        <x:v>0</x:v>
      </x:c>
      <x:c r="Z738" s="66" t="n">
        <x:f>W738/'공식·설정'!$B$8</x:f>
        <x:v>0.011505126953125</x:v>
      </x:c>
      <x:c r="AA738" s="66" t="n">
        <x:f>X738/'공식·설정'!$B$8</x:f>
        <x:v>0.011505126953125</x:v>
      </x:c>
      <x:c r="AB738" s="67" t="str">
        <x:f>IF(AND(I738=0,L738=0,Q738=0,T738=0,Y738=0),"PASS","FAIL")</x:f>
        <x:v>PASS</x:v>
      </x:c>
    </x:row>
    <x:row r="739" ht="18" customHeight="1">
      <x:c r="A739" s="14" t="n">
        <x:v>842</x:v>
      </x:c>
      <x:c r="B739" s="14" t="n">
        <x:v>734</x:v>
      </x:c>
      <x:c r="C739" s="14" t="n">
        <x:v>840</x:v>
      </x:c>
      <x:c r="D739" s="14" t="n">
        <x:v>775814</x:v>
      </x:c>
      <x:c r="E739" s="14" t="n">
        <x:v>854</x:v>
      </x:c>
      <x:c r="F739" s="14" t="n">
        <x:v>902381</x:v>
      </x:c>
      <x:c r="G739" s="14" t="n">
        <x:v>793895</x:v>
      </x:c>
      <x:c r="H739" s="14" t="n">
        <x:f>INT((F739-D739)*(A739-C739)/(E739-C739))+D739</x:f>
        <x:v>793895</x:v>
      </x:c>
      <x:c r="I739" s="68" t="n">
        <x:f>H739-G739</x:f>
        <x:v>0</x:v>
      </x:c>
      <x:c r="J739" s="14" t="n">
        <x:v>5168480</x:v>
      </x:c>
      <x:c r="K739" s="14" t="n">
        <x:f>INT(H739*'공식·설정'!$B$10/'공식·설정'!$B$15)</x:f>
        <x:v>5168480</x:v>
      </x:c>
      <x:c r="L739" s="68" t="n">
        <x:f>K739-J739</x:f>
        <x:v>0</x:v>
      </x:c>
      <x:c r="M739" s="65" t="n">
        <x:f>J739/'공식·설정'!$B$7</x:f>
        <x:v>20189.375</x:v>
      </x:c>
      <x:c r="N739" s="65" t="n">
        <x:f>K739/'공식·설정'!$B$7</x:f>
        <x:v>20189.375</x:v>
      </x:c>
      <x:c r="O739" s="14" t="n">
        <x:v>2019</x:v>
      </x:c>
      <x:c r="P739" s="14" t="n">
        <x:f>MIN(32767,MAX(0,INT((K739+INT('공식·설정'!$B$12/2))/'공식·설정'!$B$12)))</x:f>
        <x:v>2019</x:v>
      </x:c>
      <x:c r="Q739" s="68" t="n">
        <x:f>P739-O739</x:f>
        <x:v>0</x:v>
      </x:c>
      <x:c r="R739" s="14" t="n">
        <x:v>5177088</x:v>
      </x:c>
      <x:c r="S739" s="14" t="n">
        <x:f>P739*'공식·설정'!$B$12+'공식·설정'!$B$14</x:f>
        <x:v>5177088</x:v>
      </x:c>
      <x:c r="T739" s="68" t="n">
        <x:f>S739-R739</x:f>
        <x:v>0</x:v>
      </x:c>
      <x:c r="U739" s="65" t="n">
        <x:f>R739/'공식·설정'!$B$7</x:f>
        <x:v>20223</x:v>
      </x:c>
      <x:c r="V739" s="65" t="n">
        <x:f>S739/'공식·설정'!$B$7</x:f>
        <x:v>20223</x:v>
      </x:c>
      <x:c r="W739" s="14" t="n">
        <x:v>746</x:v>
      </x:c>
      <x:c r="X739" s="14" t="n">
        <x:f>INT(ABS(K740-K739)*'공식·설정'!$B$8/K739)</x:f>
        <x:v>746</x:v>
      </x:c>
      <x:c r="Y739" s="68" t="n">
        <x:f>X739-W739</x:f>
        <x:v>0</x:v>
      </x:c>
      <x:c r="Z739" s="66" t="n">
        <x:f>W739/'공식·설정'!$B$8</x:f>
        <x:v>0.011383056640625</x:v>
      </x:c>
      <x:c r="AA739" s="66" t="n">
        <x:f>X739/'공식·설정'!$B$8</x:f>
        <x:v>0.011383056640625</x:v>
      </x:c>
      <x:c r="AB739" s="67" t="str">
        <x:f>IF(AND(I739=0,L739=0,Q739=0,T739=0,Y739=0),"PASS","FAIL")</x:f>
        <x:v>PASS</x:v>
      </x:c>
    </x:row>
    <x:row r="740" ht="18" customHeight="1">
      <x:c r="A740" s="14" t="n">
        <x:v>843</x:v>
      </x:c>
      <x:c r="B740" s="14" t="n">
        <x:v>735</x:v>
      </x:c>
      <x:c r="C740" s="14" t="n">
        <x:v>840</x:v>
      </x:c>
      <x:c r="D740" s="14" t="n">
        <x:v>775814</x:v>
      </x:c>
      <x:c r="E740" s="14" t="n">
        <x:v>854</x:v>
      </x:c>
      <x:c r="F740" s="14" t="n">
        <x:v>902381</x:v>
      </x:c>
      <x:c r="G740" s="14" t="n">
        <x:v>802935</x:v>
      </x:c>
      <x:c r="H740" s="14" t="n">
        <x:f>INT((F740-D740)*(A740-C740)/(E740-C740))+D740</x:f>
        <x:v>802935</x:v>
      </x:c>
      <x:c r="I740" s="68" t="n">
        <x:f>H740-G740</x:f>
        <x:v>0</x:v>
      </x:c>
      <x:c r="J740" s="14" t="n">
        <x:v>5227333</x:v>
      </x:c>
      <x:c r="K740" s="14" t="n">
        <x:f>INT(H740*'공식·설정'!$B$10/'공식·설정'!$B$15)</x:f>
        <x:v>5227333</x:v>
      </x:c>
      <x:c r="L740" s="68" t="n">
        <x:f>K740-J740</x:f>
        <x:v>0</x:v>
      </x:c>
      <x:c r="M740" s="65" t="n">
        <x:f>J740/'공식·설정'!$B$7</x:f>
        <x:v>20419.26953125</x:v>
      </x:c>
      <x:c r="N740" s="65" t="n">
        <x:f>K740/'공식·설정'!$B$7</x:f>
        <x:v>20419.26953125</x:v>
      </x:c>
      <x:c r="O740" s="14" t="n">
        <x:v>2042</x:v>
      </x:c>
      <x:c r="P740" s="14" t="n">
        <x:f>MIN(32767,MAX(0,INT((K740+INT('공식·설정'!$B$12/2))/'공식·설정'!$B$12)))</x:f>
        <x:v>2042</x:v>
      </x:c>
      <x:c r="Q740" s="68" t="n">
        <x:f>P740-O740</x:f>
        <x:v>0</x:v>
      </x:c>
      <x:c r="R740" s="14" t="n">
        <x:v>5235968</x:v>
      </x:c>
      <x:c r="S740" s="14" t="n">
        <x:f>P740*'공식·설정'!$B$12+'공식·설정'!$B$14</x:f>
        <x:v>5235968</x:v>
      </x:c>
      <x:c r="T740" s="68" t="n">
        <x:f>S740-R740</x:f>
        <x:v>0</x:v>
      </x:c>
      <x:c r="U740" s="65" t="n">
        <x:f>R740/'공식·설정'!$B$7</x:f>
        <x:v>20453</x:v>
      </x:c>
      <x:c r="V740" s="65" t="n">
        <x:f>S740/'공식·설정'!$B$7</x:f>
        <x:v>20453</x:v>
      </x:c>
      <x:c r="W740" s="14" t="n">
        <x:v>737</x:v>
      </x:c>
      <x:c r="X740" s="14" t="n">
        <x:f>INT(ABS(K741-K740)*'공식·설정'!$B$8/K740)</x:f>
        <x:v>737</x:v>
      </x:c>
      <x:c r="Y740" s="68" t="n">
        <x:f>X740-W740</x:f>
        <x:v>0</x:v>
      </x:c>
      <x:c r="Z740" s="66" t="n">
        <x:f>W740/'공식·설정'!$B$8</x:f>
        <x:v>0.0112457275390625</x:v>
      </x:c>
      <x:c r="AA740" s="66" t="n">
        <x:f>X740/'공식·설정'!$B$8</x:f>
        <x:v>0.0112457275390625</x:v>
      </x:c>
      <x:c r="AB740" s="67" t="str">
        <x:f>IF(AND(I740=0,L740=0,Q740=0,T740=0,Y740=0),"PASS","FAIL")</x:f>
        <x:v>PASS</x:v>
      </x:c>
    </x:row>
    <x:row r="741" ht="18" customHeight="1">
      <x:c r="A741" s="14" t="n">
        <x:v>844</x:v>
      </x:c>
      <x:c r="B741" s="14" t="n">
        <x:v>736</x:v>
      </x:c>
      <x:c r="C741" s="14" t="n">
        <x:v>840</x:v>
      </x:c>
      <x:c r="D741" s="14" t="n">
        <x:v>775814</x:v>
      </x:c>
      <x:c r="E741" s="14" t="n">
        <x:v>854</x:v>
      </x:c>
      <x:c r="F741" s="14" t="n">
        <x:v>902381</x:v>
      </x:c>
      <x:c r="G741" s="14" t="n">
        <x:v>811976</x:v>
      </x:c>
      <x:c r="H741" s="14" t="n">
        <x:f>INT((F741-D741)*(A741-C741)/(E741-C741))+D741</x:f>
        <x:v>811976</x:v>
      </x:c>
      <x:c r="I741" s="68" t="n">
        <x:f>H741-G741</x:f>
        <x:v>0</x:v>
      </x:c>
      <x:c r="J741" s="14" t="n">
        <x:v>5286192</x:v>
      </x:c>
      <x:c r="K741" s="14" t="n">
        <x:f>INT(H741*'공식·설정'!$B$10/'공식·설정'!$B$15)</x:f>
        <x:v>5286192</x:v>
      </x:c>
      <x:c r="L741" s="68" t="n">
        <x:f>K741-J741</x:f>
        <x:v>0</x:v>
      </x:c>
      <x:c r="M741" s="65" t="n">
        <x:f>J741/'공식·설정'!$B$7</x:f>
        <x:v>20649.1875</x:v>
      </x:c>
      <x:c r="N741" s="65" t="n">
        <x:f>K741/'공식·설정'!$B$7</x:f>
        <x:v>20649.1875</x:v>
      </x:c>
      <x:c r="O741" s="14" t="n">
        <x:v>2065</x:v>
      </x:c>
      <x:c r="P741" s="14" t="n">
        <x:f>MIN(32767,MAX(0,INT((K741+INT('공식·설정'!$B$12/2))/'공식·설정'!$B$12)))</x:f>
        <x:v>2065</x:v>
      </x:c>
      <x:c r="Q741" s="68" t="n">
        <x:f>P741-O741</x:f>
        <x:v>0</x:v>
      </x:c>
      <x:c r="R741" s="14" t="n">
        <x:v>5294848</x:v>
      </x:c>
      <x:c r="S741" s="14" t="n">
        <x:f>P741*'공식·설정'!$B$12+'공식·설정'!$B$14</x:f>
        <x:v>5294848</x:v>
      </x:c>
      <x:c r="T741" s="68" t="n">
        <x:f>S741-R741</x:f>
        <x:v>0</x:v>
      </x:c>
      <x:c r="U741" s="65" t="n">
        <x:f>R741/'공식·설정'!$B$7</x:f>
        <x:v>20683</x:v>
      </x:c>
      <x:c r="V741" s="65" t="n">
        <x:f>S741/'공식·설정'!$B$7</x:f>
        <x:v>20683</x:v>
      </x:c>
      <x:c r="W741" s="14" t="n">
        <x:v>729</x:v>
      </x:c>
      <x:c r="X741" s="14" t="n">
        <x:f>INT(ABS(K742-K741)*'공식·설정'!$B$8/K741)</x:f>
        <x:v>729</x:v>
      </x:c>
      <x:c r="Y741" s="68" t="n">
        <x:f>X741-W741</x:f>
        <x:v>0</x:v>
      </x:c>
      <x:c r="Z741" s="66" t="n">
        <x:f>W741/'공식·설정'!$B$8</x:f>
        <x:v>0.0111236572265625</x:v>
      </x:c>
      <x:c r="AA741" s="66" t="n">
        <x:f>X741/'공식·설정'!$B$8</x:f>
        <x:v>0.0111236572265625</x:v>
      </x:c>
      <x:c r="AB741" s="67" t="str">
        <x:f>IF(AND(I741=0,L741=0,Q741=0,T741=0,Y741=0),"PASS","FAIL")</x:f>
        <x:v>PASS</x:v>
      </x:c>
    </x:row>
    <x:row r="742" ht="18" customHeight="1">
      <x:c r="A742" s="14" t="n">
        <x:v>845</x:v>
      </x:c>
      <x:c r="B742" s="14" t="n">
        <x:v>737</x:v>
      </x:c>
      <x:c r="C742" s="14" t="n">
        <x:v>840</x:v>
      </x:c>
      <x:c r="D742" s="14" t="n">
        <x:v>775814</x:v>
      </x:c>
      <x:c r="E742" s="14" t="n">
        <x:v>854</x:v>
      </x:c>
      <x:c r="F742" s="14" t="n">
        <x:v>902381</x:v>
      </x:c>
      <x:c r="G742" s="14" t="n">
        <x:v>821016</x:v>
      </x:c>
      <x:c r="H742" s="14" t="n">
        <x:f>INT((F742-D742)*(A742-C742)/(E742-C742))+D742</x:f>
        <x:v>821016</x:v>
      </x:c>
      <x:c r="I742" s="68" t="n">
        <x:f>H742-G742</x:f>
        <x:v>0</x:v>
      </x:c>
      <x:c r="J742" s="14" t="n">
        <x:v>5345045</x:v>
      </x:c>
      <x:c r="K742" s="14" t="n">
        <x:f>INT(H742*'공식·설정'!$B$10/'공식·설정'!$B$15)</x:f>
        <x:v>5345045</x:v>
      </x:c>
      <x:c r="L742" s="68" t="n">
        <x:f>K742-J742</x:f>
        <x:v>0</x:v>
      </x:c>
      <x:c r="M742" s="65" t="n">
        <x:f>J742/'공식·설정'!$B$7</x:f>
        <x:v>20879.08203125</x:v>
      </x:c>
      <x:c r="N742" s="65" t="n">
        <x:f>K742/'공식·설정'!$B$7</x:f>
        <x:v>20879.08203125</x:v>
      </x:c>
      <x:c r="O742" s="14" t="n">
        <x:v>2088</x:v>
      </x:c>
      <x:c r="P742" s="14" t="n">
        <x:f>MIN(32767,MAX(0,INT((K742+INT('공식·설정'!$B$12/2))/'공식·설정'!$B$12)))</x:f>
        <x:v>2088</x:v>
      </x:c>
      <x:c r="Q742" s="68" t="n">
        <x:f>P742-O742</x:f>
        <x:v>0</x:v>
      </x:c>
      <x:c r="R742" s="14" t="n">
        <x:v>5353728</x:v>
      </x:c>
      <x:c r="S742" s="14" t="n">
        <x:f>P742*'공식·설정'!$B$12+'공식·설정'!$B$14</x:f>
        <x:v>5353728</x:v>
      </x:c>
      <x:c r="T742" s="68" t="n">
        <x:f>S742-R742</x:f>
        <x:v>0</x:v>
      </x:c>
      <x:c r="U742" s="65" t="n">
        <x:f>R742/'공식·설정'!$B$7</x:f>
        <x:v>20913</x:v>
      </x:c>
      <x:c r="V742" s="65" t="n">
        <x:f>S742/'공식·설정'!$B$7</x:f>
        <x:v>20913</x:v>
      </x:c>
      <x:c r="W742" s="14" t="n">
        <x:v>721</x:v>
      </x:c>
      <x:c r="X742" s="14" t="n">
        <x:f>INT(ABS(K743-K742)*'공식·설정'!$B$8/K742)</x:f>
        <x:v>721</x:v>
      </x:c>
      <x:c r="Y742" s="68" t="n">
        <x:f>X742-W742</x:f>
        <x:v>0</x:v>
      </x:c>
      <x:c r="Z742" s="66" t="n">
        <x:f>W742/'공식·설정'!$B$8</x:f>
        <x:v>0.0110015869140625</x:v>
      </x:c>
      <x:c r="AA742" s="66" t="n">
        <x:f>X742/'공식·설정'!$B$8</x:f>
        <x:v>0.0110015869140625</x:v>
      </x:c>
      <x:c r="AB742" s="67" t="str">
        <x:f>IF(AND(I742=0,L742=0,Q742=0,T742=0,Y742=0),"PASS","FAIL")</x:f>
        <x:v>PASS</x:v>
      </x:c>
    </x:row>
    <x:row r="743" ht="18" customHeight="1">
      <x:c r="A743" s="14" t="n">
        <x:v>846</x:v>
      </x:c>
      <x:c r="B743" s="14" t="n">
        <x:v>738</x:v>
      </x:c>
      <x:c r="C743" s="14" t="n">
        <x:v>840</x:v>
      </x:c>
      <x:c r="D743" s="14" t="n">
        <x:v>775814</x:v>
      </x:c>
      <x:c r="E743" s="14" t="n">
        <x:v>854</x:v>
      </x:c>
      <x:c r="F743" s="14" t="n">
        <x:v>902381</x:v>
      </x:c>
      <x:c r="G743" s="14" t="n">
        <x:v>830057</x:v>
      </x:c>
      <x:c r="H743" s="14" t="n">
        <x:f>INT((F743-D743)*(A743-C743)/(E743-C743))+D743</x:f>
        <x:v>830057</x:v>
      </x:c>
      <x:c r="I743" s="68" t="n">
        <x:f>H743-G743</x:f>
        <x:v>0</x:v>
      </x:c>
      <x:c r="J743" s="14" t="n">
        <x:v>5403905</x:v>
      </x:c>
      <x:c r="K743" s="14" t="n">
        <x:f>INT(H743*'공식·설정'!$B$10/'공식·설정'!$B$15)</x:f>
        <x:v>5403905</x:v>
      </x:c>
      <x:c r="L743" s="68" t="n">
        <x:f>K743-J743</x:f>
        <x:v>0</x:v>
      </x:c>
      <x:c r="M743" s="65" t="n">
        <x:f>J743/'공식·설정'!$B$7</x:f>
        <x:v>21109.00390625</x:v>
      </x:c>
      <x:c r="N743" s="65" t="n">
        <x:f>K743/'공식·설정'!$B$7</x:f>
        <x:v>21109.00390625</x:v>
      </x:c>
      <x:c r="O743" s="14" t="n">
        <x:v>2111</x:v>
      </x:c>
      <x:c r="P743" s="14" t="n">
        <x:f>MIN(32767,MAX(0,INT((K743+INT('공식·설정'!$B$12/2))/'공식·설정'!$B$12)))</x:f>
        <x:v>2111</x:v>
      </x:c>
      <x:c r="Q743" s="68" t="n">
        <x:f>P743-O743</x:f>
        <x:v>0</x:v>
      </x:c>
      <x:c r="R743" s="14" t="n">
        <x:v>5412608</x:v>
      </x:c>
      <x:c r="S743" s="14" t="n">
        <x:f>P743*'공식·설정'!$B$12+'공식·설정'!$B$14</x:f>
        <x:v>5412608</x:v>
      </x:c>
      <x:c r="T743" s="68" t="n">
        <x:f>S743-R743</x:f>
        <x:v>0</x:v>
      </x:c>
      <x:c r="U743" s="65" t="n">
        <x:f>R743/'공식·설정'!$B$7</x:f>
        <x:v>21143</x:v>
      </x:c>
      <x:c r="V743" s="65" t="n">
        <x:f>S743/'공식·설정'!$B$7</x:f>
        <x:v>21143</x:v>
      </x:c>
      <x:c r="W743" s="14" t="n">
        <x:v>713</x:v>
      </x:c>
      <x:c r="X743" s="14" t="n">
        <x:f>INT(ABS(K744-K743)*'공식·설정'!$B$8/K743)</x:f>
        <x:v>713</x:v>
      </x:c>
      <x:c r="Y743" s="68" t="n">
        <x:f>X743-W743</x:f>
        <x:v>0</x:v>
      </x:c>
      <x:c r="Z743" s="66" t="n">
        <x:f>W743/'공식·설정'!$B$8</x:f>
        <x:v>0.0108795166015625</x:v>
      </x:c>
      <x:c r="AA743" s="66" t="n">
        <x:f>X743/'공식·설정'!$B$8</x:f>
        <x:v>0.0108795166015625</x:v>
      </x:c>
      <x:c r="AB743" s="67" t="str">
        <x:f>IF(AND(I743=0,L743=0,Q743=0,T743=0,Y743=0),"PASS","FAIL")</x:f>
        <x:v>PASS</x:v>
      </x:c>
    </x:row>
    <x:row r="744" ht="18" customHeight="1">
      <x:c r="A744" s="14" t="n">
        <x:v>847</x:v>
      </x:c>
      <x:c r="B744" s="14" t="n">
        <x:v>739</x:v>
      </x:c>
      <x:c r="C744" s="14" t="n">
        <x:v>840</x:v>
      </x:c>
      <x:c r="D744" s="14" t="n">
        <x:v>775814</x:v>
      </x:c>
      <x:c r="E744" s="14" t="n">
        <x:v>854</x:v>
      </x:c>
      <x:c r="F744" s="14" t="n">
        <x:v>902381</x:v>
      </x:c>
      <x:c r="G744" s="14" t="n">
        <x:v>839097</x:v>
      </x:c>
      <x:c r="H744" s="14" t="n">
        <x:f>INT((F744-D744)*(A744-C744)/(E744-C744))+D744</x:f>
        <x:v>839097</x:v>
      </x:c>
      <x:c r="I744" s="68" t="n">
        <x:f>H744-G744</x:f>
        <x:v>0</x:v>
      </x:c>
      <x:c r="J744" s="14" t="n">
        <x:v>5462758</x:v>
      </x:c>
      <x:c r="K744" s="14" t="n">
        <x:f>INT(H744*'공식·설정'!$B$10/'공식·설정'!$B$15)</x:f>
        <x:v>5462758</x:v>
      </x:c>
      <x:c r="L744" s="68" t="n">
        <x:f>K744-J744</x:f>
        <x:v>0</x:v>
      </x:c>
      <x:c r="M744" s="65" t="n">
        <x:f>J744/'공식·설정'!$B$7</x:f>
        <x:v>21338.8984375</x:v>
      </x:c>
      <x:c r="N744" s="65" t="n">
        <x:f>K744/'공식·설정'!$B$7</x:f>
        <x:v>21338.8984375</x:v>
      </x:c>
      <x:c r="O744" s="14" t="n">
        <x:v>2134</x:v>
      </x:c>
      <x:c r="P744" s="14" t="n">
        <x:f>MIN(32767,MAX(0,INT((K744+INT('공식·설정'!$B$12/2))/'공식·설정'!$B$12)))</x:f>
        <x:v>2134</x:v>
      </x:c>
      <x:c r="Q744" s="68" t="n">
        <x:f>P744-O744</x:f>
        <x:v>0</x:v>
      </x:c>
      <x:c r="R744" s="14" t="n">
        <x:v>5471488</x:v>
      </x:c>
      <x:c r="S744" s="14" t="n">
        <x:f>P744*'공식·설정'!$B$12+'공식·설정'!$B$14</x:f>
        <x:v>5471488</x:v>
      </x:c>
      <x:c r="T744" s="68" t="n">
        <x:f>S744-R744</x:f>
        <x:v>0</x:v>
      </x:c>
      <x:c r="U744" s="65" t="n">
        <x:f>R744/'공식·설정'!$B$7</x:f>
        <x:v>21373</x:v>
      </x:c>
      <x:c r="V744" s="65" t="n">
        <x:f>S744/'공식·설정'!$B$7</x:f>
        <x:v>21373</x:v>
      </x:c>
      <x:c r="W744" s="14" t="n">
        <x:v>706</x:v>
      </x:c>
      <x:c r="X744" s="14" t="n">
        <x:f>INT(ABS(K745-K744)*'공식·설정'!$B$8/K744)</x:f>
        <x:v>706</x:v>
      </x:c>
      <x:c r="Y744" s="68" t="n">
        <x:f>X744-W744</x:f>
        <x:v>0</x:v>
      </x:c>
      <x:c r="Z744" s="66" t="n">
        <x:f>W744/'공식·설정'!$B$8</x:f>
        <x:v>0.010772705078125</x:v>
      </x:c>
      <x:c r="AA744" s="66" t="n">
        <x:f>X744/'공식·설정'!$B$8</x:f>
        <x:v>0.010772705078125</x:v>
      </x:c>
      <x:c r="AB744" s="67" t="str">
        <x:f>IF(AND(I744=0,L744=0,Q744=0,T744=0,Y744=0),"PASS","FAIL")</x:f>
        <x:v>PASS</x:v>
      </x:c>
    </x:row>
    <x:row r="745" ht="18" customHeight="1">
      <x:c r="A745" s="14" t="n">
        <x:v>848</x:v>
      </x:c>
      <x:c r="B745" s="14" t="n">
        <x:v>740</x:v>
      </x:c>
      <x:c r="C745" s="14" t="n">
        <x:v>840</x:v>
      </x:c>
      <x:c r="D745" s="14" t="n">
        <x:v>775814</x:v>
      </x:c>
      <x:c r="E745" s="14" t="n">
        <x:v>854</x:v>
      </x:c>
      <x:c r="F745" s="14" t="n">
        <x:v>902381</x:v>
      </x:c>
      <x:c r="G745" s="14" t="n">
        <x:v>848138</x:v>
      </x:c>
      <x:c r="H745" s="14" t="n">
        <x:f>INT((F745-D745)*(A745-C745)/(E745-C745))+D745</x:f>
        <x:v>848138</x:v>
      </x:c>
      <x:c r="I745" s="68" t="n">
        <x:f>H745-G745</x:f>
        <x:v>0</x:v>
      </x:c>
      <x:c r="J745" s="14" t="n">
        <x:v>5521617</x:v>
      </x:c>
      <x:c r="K745" s="14" t="n">
        <x:f>INT(H745*'공식·설정'!$B$10/'공식·설정'!$B$15)</x:f>
        <x:v>5521617</x:v>
      </x:c>
      <x:c r="L745" s="68" t="n">
        <x:f>K745-J745</x:f>
        <x:v>0</x:v>
      </x:c>
      <x:c r="M745" s="65" t="n">
        <x:f>J745/'공식·설정'!$B$7</x:f>
        <x:v>21568.81640625</x:v>
      </x:c>
      <x:c r="N745" s="65" t="n">
        <x:f>K745/'공식·설정'!$B$7</x:f>
        <x:v>21568.81640625</x:v>
      </x:c>
      <x:c r="O745" s="14" t="n">
        <x:v>2157</x:v>
      </x:c>
      <x:c r="P745" s="14" t="n">
        <x:f>MIN(32767,MAX(0,INT((K745+INT('공식·설정'!$B$12/2))/'공식·설정'!$B$12)))</x:f>
        <x:v>2157</x:v>
      </x:c>
      <x:c r="Q745" s="68" t="n">
        <x:f>P745-O745</x:f>
        <x:v>0</x:v>
      </x:c>
      <x:c r="R745" s="14" t="n">
        <x:v>5530368</x:v>
      </x:c>
      <x:c r="S745" s="14" t="n">
        <x:f>P745*'공식·설정'!$B$12+'공식·설정'!$B$14</x:f>
        <x:v>5530368</x:v>
      </x:c>
      <x:c r="T745" s="68" t="n">
        <x:f>S745-R745</x:f>
        <x:v>0</x:v>
      </x:c>
      <x:c r="U745" s="65" t="n">
        <x:f>R745/'공식·설정'!$B$7</x:f>
        <x:v>21603</x:v>
      </x:c>
      <x:c r="V745" s="65" t="n">
        <x:f>S745/'공식·설정'!$B$7</x:f>
        <x:v>21603</x:v>
      </x:c>
      <x:c r="W745" s="14" t="n">
        <x:v>698</x:v>
      </x:c>
      <x:c r="X745" s="14" t="n">
        <x:f>INT(ABS(K746-K745)*'공식·설정'!$B$8/K745)</x:f>
        <x:v>698</x:v>
      </x:c>
      <x:c r="Y745" s="68" t="n">
        <x:f>X745-W745</x:f>
        <x:v>0</x:v>
      </x:c>
      <x:c r="Z745" s="66" t="n">
        <x:f>W745/'공식·설정'!$B$8</x:f>
        <x:v>0.010650634765625</x:v>
      </x:c>
      <x:c r="AA745" s="66" t="n">
        <x:f>X745/'공식·설정'!$B$8</x:f>
        <x:v>0.010650634765625</x:v>
      </x:c>
      <x:c r="AB745" s="67" t="str">
        <x:f>IF(AND(I745=0,L745=0,Q745=0,T745=0,Y745=0),"PASS","FAIL")</x:f>
        <x:v>PASS</x:v>
      </x:c>
    </x:row>
    <x:row r="746" ht="18" customHeight="1">
      <x:c r="A746" s="14" t="n">
        <x:v>849</x:v>
      </x:c>
      <x:c r="B746" s="14" t="n">
        <x:v>741</x:v>
      </x:c>
      <x:c r="C746" s="14" t="n">
        <x:v>840</x:v>
      </x:c>
      <x:c r="D746" s="14" t="n">
        <x:v>775814</x:v>
      </x:c>
      <x:c r="E746" s="14" t="n">
        <x:v>854</x:v>
      </x:c>
      <x:c r="F746" s="14" t="n">
        <x:v>902381</x:v>
      </x:c>
      <x:c r="G746" s="14" t="n">
        <x:v>857178</x:v>
      </x:c>
      <x:c r="H746" s="14" t="n">
        <x:f>INT((F746-D746)*(A746-C746)/(E746-C746))+D746</x:f>
        <x:v>857178</x:v>
      </x:c>
      <x:c r="I746" s="68" t="n">
        <x:f>H746-G746</x:f>
        <x:v>0</x:v>
      </x:c>
      <x:c r="J746" s="14" t="n">
        <x:v>5580470</x:v>
      </x:c>
      <x:c r="K746" s="14" t="n">
        <x:f>INT(H746*'공식·설정'!$B$10/'공식·설정'!$B$15)</x:f>
        <x:v>5580470</x:v>
      </x:c>
      <x:c r="L746" s="68" t="n">
        <x:f>K746-J746</x:f>
        <x:v>0</x:v>
      </x:c>
      <x:c r="M746" s="65" t="n">
        <x:f>J746/'공식·설정'!$B$7</x:f>
        <x:v>21798.7109375</x:v>
      </x:c>
      <x:c r="N746" s="65" t="n">
        <x:f>K746/'공식·설정'!$B$7</x:f>
        <x:v>21798.7109375</x:v>
      </x:c>
      <x:c r="O746" s="14" t="n">
        <x:v>2180</x:v>
      </x:c>
      <x:c r="P746" s="14" t="n">
        <x:f>MIN(32767,MAX(0,INT((K746+INT('공식·설정'!$B$12/2))/'공식·설정'!$B$12)))</x:f>
        <x:v>2180</x:v>
      </x:c>
      <x:c r="Q746" s="68" t="n">
        <x:f>P746-O746</x:f>
        <x:v>0</x:v>
      </x:c>
      <x:c r="R746" s="14" t="n">
        <x:v>5589248</x:v>
      </x:c>
      <x:c r="S746" s="14" t="n">
        <x:f>P746*'공식·설정'!$B$12+'공식·설정'!$B$14</x:f>
        <x:v>5589248</x:v>
      </x:c>
      <x:c r="T746" s="68" t="n">
        <x:f>S746-R746</x:f>
        <x:v>0</x:v>
      </x:c>
      <x:c r="U746" s="65" t="n">
        <x:f>R746/'공식·설정'!$B$7</x:f>
        <x:v>21833</x:v>
      </x:c>
      <x:c r="V746" s="65" t="n">
        <x:f>S746/'공식·설정'!$B$7</x:f>
        <x:v>21833</x:v>
      </x:c>
      <x:c r="W746" s="14" t="n">
        <x:v>691</x:v>
      </x:c>
      <x:c r="X746" s="14" t="n">
        <x:f>INT(ABS(K747-K746)*'공식·설정'!$B$8/K746)</x:f>
        <x:v>691</x:v>
      </x:c>
      <x:c r="Y746" s="68" t="n">
        <x:f>X746-W746</x:f>
        <x:v>0</x:v>
      </x:c>
      <x:c r="Z746" s="66" t="n">
        <x:f>W746/'공식·설정'!$B$8</x:f>
        <x:v>0.0105438232421875</x:v>
      </x:c>
      <x:c r="AA746" s="66" t="n">
        <x:f>X746/'공식·설정'!$B$8</x:f>
        <x:v>0.0105438232421875</x:v>
      </x:c>
      <x:c r="AB746" s="67" t="str">
        <x:f>IF(AND(I746=0,L746=0,Q746=0,T746=0,Y746=0),"PASS","FAIL")</x:f>
        <x:v>PASS</x:v>
      </x:c>
    </x:row>
    <x:row r="747" ht="18" customHeight="1">
      <x:c r="A747" s="14" t="n">
        <x:v>850</x:v>
      </x:c>
      <x:c r="B747" s="14" t="n">
        <x:v>742</x:v>
      </x:c>
      <x:c r="C747" s="14" t="n">
        <x:v>840</x:v>
      </x:c>
      <x:c r="D747" s="14" t="n">
        <x:v>775814</x:v>
      </x:c>
      <x:c r="E747" s="14" t="n">
        <x:v>854</x:v>
      </x:c>
      <x:c r="F747" s="14" t="n">
        <x:v>902381</x:v>
      </x:c>
      <x:c r="G747" s="14" t="n">
        <x:v>866219</x:v>
      </x:c>
      <x:c r="H747" s="14" t="n">
        <x:f>INT((F747-D747)*(A747-C747)/(E747-C747))+D747</x:f>
        <x:v>866219</x:v>
      </x:c>
      <x:c r="I747" s="68" t="n">
        <x:f>H747-G747</x:f>
        <x:v>0</x:v>
      </x:c>
      <x:c r="J747" s="14" t="n">
        <x:v>5639329</x:v>
      </x:c>
      <x:c r="K747" s="14" t="n">
        <x:f>INT(H747*'공식·설정'!$B$10/'공식·설정'!$B$15)</x:f>
        <x:v>5639329</x:v>
      </x:c>
      <x:c r="L747" s="68" t="n">
        <x:f>K747-J747</x:f>
        <x:v>0</x:v>
      </x:c>
      <x:c r="M747" s="65" t="n">
        <x:f>J747/'공식·설정'!$B$7</x:f>
        <x:v>22028.62890625</x:v>
      </x:c>
      <x:c r="N747" s="65" t="n">
        <x:f>K747/'공식·설정'!$B$7</x:f>
        <x:v>22028.62890625</x:v>
      </x:c>
      <x:c r="O747" s="14" t="n">
        <x:v>2203</x:v>
      </x:c>
      <x:c r="P747" s="14" t="n">
        <x:f>MIN(32767,MAX(0,INT((K747+INT('공식·설정'!$B$12/2))/'공식·설정'!$B$12)))</x:f>
        <x:v>2203</x:v>
      </x:c>
      <x:c r="Q747" s="68" t="n">
        <x:f>P747-O747</x:f>
        <x:v>0</x:v>
      </x:c>
      <x:c r="R747" s="14" t="n">
        <x:v>5648128</x:v>
      </x:c>
      <x:c r="S747" s="14" t="n">
        <x:f>P747*'공식·설정'!$B$12+'공식·설정'!$B$14</x:f>
        <x:v>5648128</x:v>
      </x:c>
      <x:c r="T747" s="68" t="n">
        <x:f>S747-R747</x:f>
        <x:v>0</x:v>
      </x:c>
      <x:c r="U747" s="65" t="n">
        <x:f>R747/'공식·설정'!$B$7</x:f>
        <x:v>22063</x:v>
      </x:c>
      <x:c r="V747" s="65" t="n">
        <x:f>S747/'공식·설정'!$B$7</x:f>
        <x:v>22063</x:v>
      </x:c>
      <x:c r="W747" s="14" t="n">
        <x:v>683</x:v>
      </x:c>
      <x:c r="X747" s="14" t="n">
        <x:f>INT(ABS(K748-K747)*'공식·설정'!$B$8/K747)</x:f>
        <x:v>683</x:v>
      </x:c>
      <x:c r="Y747" s="68" t="n">
        <x:f>X747-W747</x:f>
        <x:v>0</x:v>
      </x:c>
      <x:c r="Z747" s="66" t="n">
        <x:f>W747/'공식·설정'!$B$8</x:f>
        <x:v>0.0104217529296875</x:v>
      </x:c>
      <x:c r="AA747" s="66" t="n">
        <x:f>X747/'공식·설정'!$B$8</x:f>
        <x:v>0.0104217529296875</x:v>
      </x:c>
      <x:c r="AB747" s="67" t="str">
        <x:f>IF(AND(I747=0,L747=0,Q747=0,T747=0,Y747=0),"PASS","FAIL")</x:f>
        <x:v>PASS</x:v>
      </x:c>
    </x:row>
    <x:row r="748" ht="18" customHeight="1">
      <x:c r="A748" s="14" t="n">
        <x:v>851</x:v>
      </x:c>
      <x:c r="B748" s="14" t="n">
        <x:v>743</x:v>
      </x:c>
      <x:c r="C748" s="14" t="n">
        <x:v>840</x:v>
      </x:c>
      <x:c r="D748" s="14" t="n">
        <x:v>775814</x:v>
      </x:c>
      <x:c r="E748" s="14" t="n">
        <x:v>854</x:v>
      </x:c>
      <x:c r="F748" s="14" t="n">
        <x:v>902381</x:v>
      </x:c>
      <x:c r="G748" s="14" t="n">
        <x:v>875259</x:v>
      </x:c>
      <x:c r="H748" s="14" t="n">
        <x:f>INT((F748-D748)*(A748-C748)/(E748-C748))+D748</x:f>
        <x:v>875259</x:v>
      </x:c>
      <x:c r="I748" s="68" t="n">
        <x:f>H748-G748</x:f>
        <x:v>0</x:v>
      </x:c>
      <x:c r="J748" s="14" t="n">
        <x:v>5698182</x:v>
      </x:c>
      <x:c r="K748" s="14" t="n">
        <x:f>INT(H748*'공식·설정'!$B$10/'공식·설정'!$B$15)</x:f>
        <x:v>5698182</x:v>
      </x:c>
      <x:c r="L748" s="68" t="n">
        <x:f>K748-J748</x:f>
        <x:v>0</x:v>
      </x:c>
      <x:c r="M748" s="65" t="n">
        <x:f>J748/'공식·설정'!$B$7</x:f>
        <x:v>22258.5234375</x:v>
      </x:c>
      <x:c r="N748" s="65" t="n">
        <x:f>K748/'공식·설정'!$B$7</x:f>
        <x:v>22258.5234375</x:v>
      </x:c>
      <x:c r="O748" s="14" t="n">
        <x:v>2226</x:v>
      </x:c>
      <x:c r="P748" s="14" t="n">
        <x:f>MIN(32767,MAX(0,INT((K748+INT('공식·설정'!$B$12/2))/'공식·설정'!$B$12)))</x:f>
        <x:v>2226</x:v>
      </x:c>
      <x:c r="Q748" s="68" t="n">
        <x:f>P748-O748</x:f>
        <x:v>0</x:v>
      </x:c>
      <x:c r="R748" s="14" t="n">
        <x:v>5707008</x:v>
      </x:c>
      <x:c r="S748" s="14" t="n">
        <x:f>P748*'공식·설정'!$B$12+'공식·설정'!$B$14</x:f>
        <x:v>5707008</x:v>
      </x:c>
      <x:c r="T748" s="68" t="n">
        <x:f>S748-R748</x:f>
        <x:v>0</x:v>
      </x:c>
      <x:c r="U748" s="65" t="n">
        <x:f>R748/'공식·설정'!$B$7</x:f>
        <x:v>22293</x:v>
      </x:c>
      <x:c r="V748" s="65" t="n">
        <x:f>S748/'공식·설정'!$B$7</x:f>
        <x:v>22293</x:v>
      </x:c>
      <x:c r="W748" s="14" t="n">
        <x:v>676</x:v>
      </x:c>
      <x:c r="X748" s="14" t="n">
        <x:f>INT(ABS(K749-K748)*'공식·설정'!$B$8/K748)</x:f>
        <x:v>676</x:v>
      </x:c>
      <x:c r="Y748" s="68" t="n">
        <x:f>X748-W748</x:f>
        <x:v>0</x:v>
      </x:c>
      <x:c r="Z748" s="66" t="n">
        <x:f>W748/'공식·설정'!$B$8</x:f>
        <x:v>0.01031494140625</x:v>
      </x:c>
      <x:c r="AA748" s="66" t="n">
        <x:f>X748/'공식·설정'!$B$8</x:f>
        <x:v>0.01031494140625</x:v>
      </x:c>
      <x:c r="AB748" s="67" t="str">
        <x:f>IF(AND(I748=0,L748=0,Q748=0,T748=0,Y748=0),"PASS","FAIL")</x:f>
        <x:v>PASS</x:v>
      </x:c>
    </x:row>
    <x:row r="749" ht="18" customHeight="1">
      <x:c r="A749" s="14" t="n">
        <x:v>852</x:v>
      </x:c>
      <x:c r="B749" s="14" t="n">
        <x:v>744</x:v>
      </x:c>
      <x:c r="C749" s="14" t="n">
        <x:v>840</x:v>
      </x:c>
      <x:c r="D749" s="14" t="n">
        <x:v>775814</x:v>
      </x:c>
      <x:c r="E749" s="14" t="n">
        <x:v>854</x:v>
      </x:c>
      <x:c r="F749" s="14" t="n">
        <x:v>902381</x:v>
      </x:c>
      <x:c r="G749" s="14" t="n">
        <x:v>884300</x:v>
      </x:c>
      <x:c r="H749" s="14" t="n">
        <x:f>INT((F749-D749)*(A749-C749)/(E749-C749))+D749</x:f>
        <x:v>884300</x:v>
      </x:c>
      <x:c r="I749" s="68" t="n">
        <x:f>H749-G749</x:f>
        <x:v>0</x:v>
      </x:c>
      <x:c r="J749" s="14" t="n">
        <x:v>5757042</x:v>
      </x:c>
      <x:c r="K749" s="14" t="n">
        <x:f>INT(H749*'공식·설정'!$B$10/'공식·설정'!$B$15)</x:f>
        <x:v>5757042</x:v>
      </x:c>
      <x:c r="L749" s="68" t="n">
        <x:f>K749-J749</x:f>
        <x:v>0</x:v>
      </x:c>
      <x:c r="M749" s="65" t="n">
        <x:f>J749/'공식·설정'!$B$7</x:f>
        <x:v>22488.4453125</x:v>
      </x:c>
      <x:c r="N749" s="65" t="n">
        <x:f>K749/'공식·설정'!$B$7</x:f>
        <x:v>22488.4453125</x:v>
      </x:c>
      <x:c r="O749" s="14" t="n">
        <x:v>2249</x:v>
      </x:c>
      <x:c r="P749" s="14" t="n">
        <x:f>MIN(32767,MAX(0,INT((K749+INT('공식·설정'!$B$12/2))/'공식·설정'!$B$12)))</x:f>
        <x:v>2249</x:v>
      </x:c>
      <x:c r="Q749" s="68" t="n">
        <x:f>P749-O749</x:f>
        <x:v>0</x:v>
      </x:c>
      <x:c r="R749" s="14" t="n">
        <x:v>5765888</x:v>
      </x:c>
      <x:c r="S749" s="14" t="n">
        <x:f>P749*'공식·설정'!$B$12+'공식·설정'!$B$14</x:f>
        <x:v>5765888</x:v>
      </x:c>
      <x:c r="T749" s="68" t="n">
        <x:f>S749-R749</x:f>
        <x:v>0</x:v>
      </x:c>
      <x:c r="U749" s="65" t="n">
        <x:f>R749/'공식·설정'!$B$7</x:f>
        <x:v>22523</x:v>
      </x:c>
      <x:c r="V749" s="65" t="n">
        <x:f>S749/'공식·설정'!$B$7</x:f>
        <x:v>22523</x:v>
      </x:c>
      <x:c r="W749" s="14" t="n">
        <x:v>669</x:v>
      </x:c>
      <x:c r="X749" s="14" t="n">
        <x:f>INT(ABS(K750-K749)*'공식·설정'!$B$8/K749)</x:f>
        <x:v>669</x:v>
      </x:c>
      <x:c r="Y749" s="68" t="n">
        <x:f>X749-W749</x:f>
        <x:v>0</x:v>
      </x:c>
      <x:c r="Z749" s="66" t="n">
        <x:f>W749/'공식·설정'!$B$8</x:f>
        <x:v>0.0102081298828125</x:v>
      </x:c>
      <x:c r="AA749" s="66" t="n">
        <x:f>X749/'공식·설정'!$B$8</x:f>
        <x:v>0.0102081298828125</x:v>
      </x:c>
      <x:c r="AB749" s="67" t="str">
        <x:f>IF(AND(I749=0,L749=0,Q749=0,T749=0,Y749=0),"PASS","FAIL")</x:f>
        <x:v>PASS</x:v>
      </x:c>
    </x:row>
    <x:row r="750" ht="18" customHeight="1">
      <x:c r="A750" s="14" t="n">
        <x:v>853</x:v>
      </x:c>
      <x:c r="B750" s="14" t="n">
        <x:v>745</x:v>
      </x:c>
      <x:c r="C750" s="14" t="n">
        <x:v>840</x:v>
      </x:c>
      <x:c r="D750" s="14" t="n">
        <x:v>775814</x:v>
      </x:c>
      <x:c r="E750" s="14" t="n">
        <x:v>854</x:v>
      </x:c>
      <x:c r="F750" s="14" t="n">
        <x:v>902381</x:v>
      </x:c>
      <x:c r="G750" s="14" t="n">
        <x:v>893340</x:v>
      </x:c>
      <x:c r="H750" s="14" t="n">
        <x:f>INT((F750-D750)*(A750-C750)/(E750-C750))+D750</x:f>
        <x:v>893340</x:v>
      </x:c>
      <x:c r="I750" s="68" t="n">
        <x:f>H750-G750</x:f>
        <x:v>0</x:v>
      </x:c>
      <x:c r="J750" s="14" t="n">
        <x:v>5815895</x:v>
      </x:c>
      <x:c r="K750" s="14" t="n">
        <x:f>INT(H750*'공식·설정'!$B$10/'공식·설정'!$B$15)</x:f>
        <x:v>5815895</x:v>
      </x:c>
      <x:c r="L750" s="68" t="n">
        <x:f>K750-J750</x:f>
        <x:v>0</x:v>
      </x:c>
      <x:c r="M750" s="65" t="n">
        <x:f>J750/'공식·설정'!$B$7</x:f>
        <x:v>22718.33984375</x:v>
      </x:c>
      <x:c r="N750" s="65" t="n">
        <x:f>K750/'공식·설정'!$B$7</x:f>
        <x:v>22718.33984375</x:v>
      </x:c>
      <x:c r="O750" s="14" t="n">
        <x:v>2272</x:v>
      </x:c>
      <x:c r="P750" s="14" t="n">
        <x:f>MIN(32767,MAX(0,INT((K750+INT('공식·설정'!$B$12/2))/'공식·설정'!$B$12)))</x:f>
        <x:v>2272</x:v>
      </x:c>
      <x:c r="Q750" s="68" t="n">
        <x:f>P750-O750</x:f>
        <x:v>0</x:v>
      </x:c>
      <x:c r="R750" s="14" t="n">
        <x:v>5824768</x:v>
      </x:c>
      <x:c r="S750" s="14" t="n">
        <x:f>P750*'공식·설정'!$B$12+'공식·설정'!$B$14</x:f>
        <x:v>5824768</x:v>
      </x:c>
      <x:c r="T750" s="68" t="n">
        <x:f>S750-R750</x:f>
        <x:v>0</x:v>
      </x:c>
      <x:c r="U750" s="65" t="n">
        <x:f>R750/'공식·설정'!$B$7</x:f>
        <x:v>22753</x:v>
      </x:c>
      <x:c r="V750" s="65" t="n">
        <x:f>S750/'공식·설정'!$B$7</x:f>
        <x:v>22753</x:v>
      </x:c>
      <x:c r="W750" s="14" t="n">
        <x:v>663</x:v>
      </x:c>
      <x:c r="X750" s="14" t="n">
        <x:f>INT(ABS(K751-K750)*'공식·설정'!$B$8/K750)</x:f>
        <x:v>663</x:v>
      </x:c>
      <x:c r="Y750" s="68" t="n">
        <x:f>X750-W750</x:f>
        <x:v>0</x:v>
      </x:c>
      <x:c r="Z750" s="66" t="n">
        <x:f>W750/'공식·설정'!$B$8</x:f>
        <x:v>0.0101165771484375</x:v>
      </x:c>
      <x:c r="AA750" s="66" t="n">
        <x:f>X750/'공식·설정'!$B$8</x:f>
        <x:v>0.0101165771484375</x:v>
      </x:c>
      <x:c r="AB750" s="67" t="str">
        <x:f>IF(AND(I750=0,L750=0,Q750=0,T750=0,Y750=0),"PASS","FAIL")</x:f>
        <x:v>PASS</x:v>
      </x:c>
    </x:row>
    <x:row r="751" ht="18" customHeight="1">
      <x:c r="A751" s="14" t="n">
        <x:v>854</x:v>
      </x:c>
      <x:c r="B751" s="14" t="n">
        <x:v>746</x:v>
      </x:c>
      <x:c r="C751" s="14" t="n">
        <x:v>854</x:v>
      </x:c>
      <x:c r="D751" s="14" t="n">
        <x:v>902381</x:v>
      </x:c>
      <x:c r="E751" s="14" t="n">
        <x:v>868</x:v>
      </x:c>
      <x:c r="F751" s="14" t="n">
        <x:v>1049593</x:v>
      </x:c>
      <x:c r="G751" s="14" t="n">
        <x:v>902381</x:v>
      </x:c>
      <x:c r="H751" s="14" t="n">
        <x:f>INT((F751-D751)*(A751-C751)/(E751-C751))+D751</x:f>
        <x:v>902381</x:v>
      </x:c>
      <x:c r="I751" s="68" t="n">
        <x:f>H751-G751</x:f>
        <x:v>0</x:v>
      </x:c>
      <x:c r="J751" s="14" t="n">
        <x:v>5874754</x:v>
      </x:c>
      <x:c r="K751" s="14" t="n">
        <x:f>INT(H751*'공식·설정'!$B$10/'공식·설정'!$B$15)</x:f>
        <x:v>5874754</x:v>
      </x:c>
      <x:c r="L751" s="68" t="n">
        <x:f>K751-J751</x:f>
        <x:v>0</x:v>
      </x:c>
      <x:c r="M751" s="65" t="n">
        <x:f>J751/'공식·설정'!$B$7</x:f>
        <x:v>22948.2578125</x:v>
      </x:c>
      <x:c r="N751" s="65" t="n">
        <x:f>K751/'공식·설정'!$B$7</x:f>
        <x:v>22948.2578125</x:v>
      </x:c>
      <x:c r="O751" s="14" t="n">
        <x:v>2295</x:v>
      </x:c>
      <x:c r="P751" s="14" t="n">
        <x:f>MIN(32767,MAX(0,INT((K751+INT('공식·설정'!$B$12/2))/'공식·설정'!$B$12)))</x:f>
        <x:v>2295</x:v>
      </x:c>
      <x:c r="Q751" s="68" t="n">
        <x:f>P751-O751</x:f>
        <x:v>0</x:v>
      </x:c>
      <x:c r="R751" s="14" t="n">
        <x:v>5883648</x:v>
      </x:c>
      <x:c r="S751" s="14" t="n">
        <x:f>P751*'공식·설정'!$B$12+'공식·설정'!$B$14</x:f>
        <x:v>5883648</x:v>
      </x:c>
      <x:c r="T751" s="68" t="n">
        <x:f>S751-R751</x:f>
        <x:v>0</x:v>
      </x:c>
      <x:c r="U751" s="65" t="n">
        <x:f>R751/'공식·설정'!$B$7</x:f>
        <x:v>22983</x:v>
      </x:c>
      <x:c r="V751" s="65" t="n">
        <x:f>S751/'공식·설정'!$B$7</x:f>
        <x:v>22983</x:v>
      </x:c>
      <x:c r="W751" s="14" t="n">
        <x:v>763</x:v>
      </x:c>
      <x:c r="X751" s="14" t="n">
        <x:f>INT(ABS(K752-K751)*'공식·설정'!$B$8/K751)</x:f>
        <x:v>763</x:v>
      </x:c>
      <x:c r="Y751" s="68" t="n">
        <x:f>X751-W751</x:f>
        <x:v>0</x:v>
      </x:c>
      <x:c r="Z751" s="66" t="n">
        <x:f>W751/'공식·설정'!$B$8</x:f>
        <x:v>0.0116424560546875</x:v>
      </x:c>
      <x:c r="AA751" s="66" t="n">
        <x:f>X751/'공식·설정'!$B$8</x:f>
        <x:v>0.0116424560546875</x:v>
      </x:c>
      <x:c r="AB751" s="67" t="str">
        <x:f>IF(AND(I751=0,L751=0,Q751=0,T751=0,Y751=0),"PASS","FAIL")</x:f>
        <x:v>PASS</x:v>
      </x:c>
    </x:row>
    <x:row r="752" ht="18" customHeight="1">
      <x:c r="A752" s="14" t="n">
        <x:v>855</x:v>
      </x:c>
      <x:c r="B752" s="14" t="n">
        <x:v>747</x:v>
      </x:c>
      <x:c r="C752" s="14" t="n">
        <x:v>854</x:v>
      </x:c>
      <x:c r="D752" s="14" t="n">
        <x:v>902381</x:v>
      </x:c>
      <x:c r="E752" s="14" t="n">
        <x:v>868</x:v>
      </x:c>
      <x:c r="F752" s="14" t="n">
        <x:v>1049593</x:v>
      </x:c>
      <x:c r="G752" s="14" t="n">
        <x:v>912896</x:v>
      </x:c>
      <x:c r="H752" s="14" t="n">
        <x:f>INT((F752-D752)*(A752-C752)/(E752-C752))+D752</x:f>
        <x:v>912896</x:v>
      </x:c>
      <x:c r="I752" s="68" t="n">
        <x:f>H752-G752</x:f>
        <x:v>0</x:v>
      </x:c>
      <x:c r="J752" s="14" t="n">
        <x:v>5943210</x:v>
      </x:c>
      <x:c r="K752" s="14" t="n">
        <x:f>INT(H752*'공식·설정'!$B$10/'공식·설정'!$B$15)</x:f>
        <x:v>5943210</x:v>
      </x:c>
      <x:c r="L752" s="68" t="n">
        <x:f>K752-J752</x:f>
        <x:v>0</x:v>
      </x:c>
      <x:c r="M752" s="65" t="n">
        <x:f>J752/'공식·설정'!$B$7</x:f>
        <x:v>23215.6640625</x:v>
      </x:c>
      <x:c r="N752" s="65" t="n">
        <x:f>K752/'공식·설정'!$B$7</x:f>
        <x:v>23215.6640625</x:v>
      </x:c>
      <x:c r="O752" s="14" t="n">
        <x:v>2322</x:v>
      </x:c>
      <x:c r="P752" s="14" t="n">
        <x:f>MIN(32767,MAX(0,INT((K752+INT('공식·설정'!$B$12/2))/'공식·설정'!$B$12)))</x:f>
        <x:v>2322</x:v>
      </x:c>
      <x:c r="Q752" s="68" t="n">
        <x:f>P752-O752</x:f>
        <x:v>0</x:v>
      </x:c>
      <x:c r="R752" s="14" t="n">
        <x:v>5952768</x:v>
      </x:c>
      <x:c r="S752" s="14" t="n">
        <x:f>P752*'공식·설정'!$B$12+'공식·설정'!$B$14</x:f>
        <x:v>5952768</x:v>
      </x:c>
      <x:c r="T752" s="68" t="n">
        <x:f>S752-R752</x:f>
        <x:v>0</x:v>
      </x:c>
      <x:c r="U752" s="65" t="n">
        <x:f>R752/'공식·설정'!$B$7</x:f>
        <x:v>23253</x:v>
      </x:c>
      <x:c r="V752" s="65" t="n">
        <x:f>S752/'공식·설정'!$B$7</x:f>
        <x:v>23253</x:v>
      </x:c>
      <x:c r="W752" s="14" t="n">
        <x:v>754</x:v>
      </x:c>
      <x:c r="X752" s="14" t="n">
        <x:f>INT(ABS(K753-K752)*'공식·설정'!$B$8/K752)</x:f>
        <x:v>754</x:v>
      </x:c>
      <x:c r="Y752" s="68" t="n">
        <x:f>X752-W752</x:f>
        <x:v>0</x:v>
      </x:c>
      <x:c r="Z752" s="66" t="n">
        <x:f>W752/'공식·설정'!$B$8</x:f>
        <x:v>0.011505126953125</x:v>
      </x:c>
      <x:c r="AA752" s="66" t="n">
        <x:f>X752/'공식·설정'!$B$8</x:f>
        <x:v>0.011505126953125</x:v>
      </x:c>
      <x:c r="AB752" s="67" t="str">
        <x:f>IF(AND(I752=0,L752=0,Q752=0,T752=0,Y752=0),"PASS","FAIL")</x:f>
        <x:v>PASS</x:v>
      </x:c>
    </x:row>
    <x:row r="753" ht="18" customHeight="1">
      <x:c r="A753" s="14" t="n">
        <x:v>856</x:v>
      </x:c>
      <x:c r="B753" s="14" t="n">
        <x:v>748</x:v>
      </x:c>
      <x:c r="C753" s="14" t="n">
        <x:v>854</x:v>
      </x:c>
      <x:c r="D753" s="14" t="n">
        <x:v>902381</x:v>
      </x:c>
      <x:c r="E753" s="14" t="n">
        <x:v>868</x:v>
      </x:c>
      <x:c r="F753" s="14" t="n">
        <x:v>1049593</x:v>
      </x:c>
      <x:c r="G753" s="14" t="n">
        <x:v>923411</x:v>
      </x:c>
      <x:c r="H753" s="14" t="n">
        <x:f>INT((F753-D753)*(A753-C753)/(E753-C753))+D753</x:f>
        <x:v>923411</x:v>
      </x:c>
      <x:c r="I753" s="68" t="n">
        <x:f>H753-G753</x:f>
        <x:v>0</x:v>
      </x:c>
      <x:c r="J753" s="14" t="n">
        <x:v>6011665</x:v>
      </x:c>
      <x:c r="K753" s="14" t="n">
        <x:f>INT(H753*'공식·설정'!$B$10/'공식·설정'!$B$15)</x:f>
        <x:v>6011665</x:v>
      </x:c>
      <x:c r="L753" s="68" t="n">
        <x:f>K753-J753</x:f>
        <x:v>0</x:v>
      </x:c>
      <x:c r="M753" s="65" t="n">
        <x:f>J753/'공식·설정'!$B$7</x:f>
        <x:v>23483.06640625</x:v>
      </x:c>
      <x:c r="N753" s="65" t="n">
        <x:f>K753/'공식·설정'!$B$7</x:f>
        <x:v>23483.06640625</x:v>
      </x:c>
      <x:c r="O753" s="14" t="n">
        <x:v>2348</x:v>
      </x:c>
      <x:c r="P753" s="14" t="n">
        <x:f>MIN(32767,MAX(0,INT((K753+INT('공식·설정'!$B$12/2))/'공식·설정'!$B$12)))</x:f>
        <x:v>2348</x:v>
      </x:c>
      <x:c r="Q753" s="68" t="n">
        <x:f>P753-O753</x:f>
        <x:v>0</x:v>
      </x:c>
      <x:c r="R753" s="14" t="n">
        <x:v>6019328</x:v>
      </x:c>
      <x:c r="S753" s="14" t="n">
        <x:f>P753*'공식·설정'!$B$12+'공식·설정'!$B$14</x:f>
        <x:v>6019328</x:v>
      </x:c>
      <x:c r="T753" s="68" t="n">
        <x:f>S753-R753</x:f>
        <x:v>0</x:v>
      </x:c>
      <x:c r="U753" s="65" t="n">
        <x:f>R753/'공식·설정'!$B$7</x:f>
        <x:v>23513</x:v>
      </x:c>
      <x:c r="V753" s="65" t="n">
        <x:f>S753/'공식·설정'!$B$7</x:f>
        <x:v>23513</x:v>
      </x:c>
      <x:c r="W753" s="14" t="n">
        <x:v>746</x:v>
      </x:c>
      <x:c r="X753" s="14" t="n">
        <x:f>INT(ABS(K754-K753)*'공식·설정'!$B$8/K753)</x:f>
        <x:v>746</x:v>
      </x:c>
      <x:c r="Y753" s="68" t="n">
        <x:f>X753-W753</x:f>
        <x:v>0</x:v>
      </x:c>
      <x:c r="Z753" s="66" t="n">
        <x:f>W753/'공식·설정'!$B$8</x:f>
        <x:v>0.011383056640625</x:v>
      </x:c>
      <x:c r="AA753" s="66" t="n">
        <x:f>X753/'공식·설정'!$B$8</x:f>
        <x:v>0.011383056640625</x:v>
      </x:c>
      <x:c r="AB753" s="67" t="str">
        <x:f>IF(AND(I753=0,L753=0,Q753=0,T753=0,Y753=0),"PASS","FAIL")</x:f>
        <x:v>PASS</x:v>
      </x:c>
    </x:row>
    <x:row r="754" ht="18" customHeight="1">
      <x:c r="A754" s="14" t="n">
        <x:v>857</x:v>
      </x:c>
      <x:c r="B754" s="14" t="n">
        <x:v>749</x:v>
      </x:c>
      <x:c r="C754" s="14" t="n">
        <x:v>854</x:v>
      </x:c>
      <x:c r="D754" s="14" t="n">
        <x:v>902381</x:v>
      </x:c>
      <x:c r="E754" s="14" t="n">
        <x:v>868</x:v>
      </x:c>
      <x:c r="F754" s="14" t="n">
        <x:v>1049593</x:v>
      </x:c>
      <x:c r="G754" s="14" t="n">
        <x:v>933926</x:v>
      </x:c>
      <x:c r="H754" s="14" t="n">
        <x:f>INT((F754-D754)*(A754-C754)/(E754-C754))+D754</x:f>
        <x:v>933926</x:v>
      </x:c>
      <x:c r="I754" s="68" t="n">
        <x:f>H754-G754</x:f>
        <x:v>0</x:v>
      </x:c>
      <x:c r="J754" s="14" t="n">
        <x:v>6080121</x:v>
      </x:c>
      <x:c r="K754" s="14" t="n">
        <x:f>INT(H754*'공식·설정'!$B$10/'공식·설정'!$B$15)</x:f>
        <x:v>6080121</x:v>
      </x:c>
      <x:c r="L754" s="68" t="n">
        <x:f>K754-J754</x:f>
        <x:v>0</x:v>
      </x:c>
      <x:c r="M754" s="65" t="n">
        <x:f>J754/'공식·설정'!$B$7</x:f>
        <x:v>23750.47265625</x:v>
      </x:c>
      <x:c r="N754" s="65" t="n">
        <x:f>K754/'공식·설정'!$B$7</x:f>
        <x:v>23750.47265625</x:v>
      </x:c>
      <x:c r="O754" s="14" t="n">
        <x:v>2375</x:v>
      </x:c>
      <x:c r="P754" s="14" t="n">
        <x:f>MIN(32767,MAX(0,INT((K754+INT('공식·설정'!$B$12/2))/'공식·설정'!$B$12)))</x:f>
        <x:v>2375</x:v>
      </x:c>
      <x:c r="Q754" s="68" t="n">
        <x:f>P754-O754</x:f>
        <x:v>0</x:v>
      </x:c>
      <x:c r="R754" s="14" t="n">
        <x:v>6088448</x:v>
      </x:c>
      <x:c r="S754" s="14" t="n">
        <x:f>P754*'공식·설정'!$B$12+'공식·설정'!$B$14</x:f>
        <x:v>6088448</x:v>
      </x:c>
      <x:c r="T754" s="68" t="n">
        <x:f>S754-R754</x:f>
        <x:v>0</x:v>
      </x:c>
      <x:c r="U754" s="65" t="n">
        <x:f>R754/'공식·설정'!$B$7</x:f>
        <x:v>23783</x:v>
      </x:c>
      <x:c r="V754" s="65" t="n">
        <x:f>S754/'공식·설정'!$B$7</x:f>
        <x:v>23783</x:v>
      </x:c>
      <x:c r="W754" s="14" t="n">
        <x:v>737</x:v>
      </x:c>
      <x:c r="X754" s="14" t="n">
        <x:f>INT(ABS(K755-K754)*'공식·설정'!$B$8/K754)</x:f>
        <x:v>737</x:v>
      </x:c>
      <x:c r="Y754" s="68" t="n">
        <x:f>X754-W754</x:f>
        <x:v>0</x:v>
      </x:c>
      <x:c r="Z754" s="66" t="n">
        <x:f>W754/'공식·설정'!$B$8</x:f>
        <x:v>0.0112457275390625</x:v>
      </x:c>
      <x:c r="AA754" s="66" t="n">
        <x:f>X754/'공식·설정'!$B$8</x:f>
        <x:v>0.0112457275390625</x:v>
      </x:c>
      <x:c r="AB754" s="67" t="str">
        <x:f>IF(AND(I754=0,L754=0,Q754=0,T754=0,Y754=0),"PASS","FAIL")</x:f>
        <x:v>PASS</x:v>
      </x:c>
    </x:row>
    <x:row r="755" ht="18" customHeight="1">
      <x:c r="A755" s="14" t="n">
        <x:v>858</x:v>
      </x:c>
      <x:c r="B755" s="14" t="n">
        <x:v>750</x:v>
      </x:c>
      <x:c r="C755" s="14" t="n">
        <x:v>854</x:v>
      </x:c>
      <x:c r="D755" s="14" t="n">
        <x:v>902381</x:v>
      </x:c>
      <x:c r="E755" s="14" t="n">
        <x:v>868</x:v>
      </x:c>
      <x:c r="F755" s="14" t="n">
        <x:v>1049593</x:v>
      </x:c>
      <x:c r="G755" s="14" t="n">
        <x:v>944441</x:v>
      </x:c>
      <x:c r="H755" s="14" t="n">
        <x:f>INT((F755-D755)*(A755-C755)/(E755-C755))+D755</x:f>
        <x:v>944441</x:v>
      </x:c>
      <x:c r="I755" s="68" t="n">
        <x:f>H755-G755</x:f>
        <x:v>0</x:v>
      </x:c>
      <x:c r="J755" s="14" t="n">
        <x:v>6148577</x:v>
      </x:c>
      <x:c r="K755" s="14" t="n">
        <x:f>INT(H755*'공식·설정'!$B$10/'공식·설정'!$B$15)</x:f>
        <x:v>6148577</x:v>
      </x:c>
      <x:c r="L755" s="68" t="n">
        <x:f>K755-J755</x:f>
        <x:v>0</x:v>
      </x:c>
      <x:c r="M755" s="65" t="n">
        <x:f>J755/'공식·설정'!$B$7</x:f>
        <x:v>24017.87890625</x:v>
      </x:c>
      <x:c r="N755" s="65" t="n">
        <x:f>K755/'공식·설정'!$B$7</x:f>
        <x:v>24017.87890625</x:v>
      </x:c>
      <x:c r="O755" s="14" t="n">
        <x:v>2402</x:v>
      </x:c>
      <x:c r="P755" s="14" t="n">
        <x:f>MIN(32767,MAX(0,INT((K755+INT('공식·설정'!$B$12/2))/'공식·설정'!$B$12)))</x:f>
        <x:v>2402</x:v>
      </x:c>
      <x:c r="Q755" s="68" t="n">
        <x:f>P755-O755</x:f>
        <x:v>0</x:v>
      </x:c>
      <x:c r="R755" s="14" t="n">
        <x:v>6157568</x:v>
      </x:c>
      <x:c r="S755" s="14" t="n">
        <x:f>P755*'공식·설정'!$B$12+'공식·설정'!$B$14</x:f>
        <x:v>6157568</x:v>
      </x:c>
      <x:c r="T755" s="68" t="n">
        <x:f>S755-R755</x:f>
        <x:v>0</x:v>
      </x:c>
      <x:c r="U755" s="65" t="n">
        <x:f>R755/'공식·설정'!$B$7</x:f>
        <x:v>24053</x:v>
      </x:c>
      <x:c r="V755" s="65" t="n">
        <x:f>S755/'공식·설정'!$B$7</x:f>
        <x:v>24053</x:v>
      </x:c>
      <x:c r="W755" s="14" t="n">
        <x:v>729</x:v>
      </x:c>
      <x:c r="X755" s="14" t="n">
        <x:f>INT(ABS(K756-K755)*'공식·설정'!$B$8/K755)</x:f>
        <x:v>729</x:v>
      </x:c>
      <x:c r="Y755" s="68" t="n">
        <x:f>X755-W755</x:f>
        <x:v>0</x:v>
      </x:c>
      <x:c r="Z755" s="66" t="n">
        <x:f>W755/'공식·설정'!$B$8</x:f>
        <x:v>0.0111236572265625</x:v>
      </x:c>
      <x:c r="AA755" s="66" t="n">
        <x:f>X755/'공식·설정'!$B$8</x:f>
        <x:v>0.0111236572265625</x:v>
      </x:c>
      <x:c r="AB755" s="67" t="str">
        <x:f>IF(AND(I755=0,L755=0,Q755=0,T755=0,Y755=0),"PASS","FAIL")</x:f>
        <x:v>PASS</x:v>
      </x:c>
    </x:row>
    <x:row r="756" ht="18" customHeight="1">
      <x:c r="A756" s="14" t="n">
        <x:v>859</x:v>
      </x:c>
      <x:c r="B756" s="14" t="n">
        <x:v>751</x:v>
      </x:c>
      <x:c r="C756" s="14" t="n">
        <x:v>854</x:v>
      </x:c>
      <x:c r="D756" s="14" t="n">
        <x:v>902381</x:v>
      </x:c>
      <x:c r="E756" s="14" t="n">
        <x:v>868</x:v>
      </x:c>
      <x:c r="F756" s="14" t="n">
        <x:v>1049593</x:v>
      </x:c>
      <x:c r="G756" s="14" t="n">
        <x:v>954956</x:v>
      </x:c>
      <x:c r="H756" s="14" t="n">
        <x:f>INT((F756-D756)*(A756-C756)/(E756-C756))+D756</x:f>
        <x:v>954956</x:v>
      </x:c>
      <x:c r="I756" s="68" t="n">
        <x:f>H756-G756</x:f>
        <x:v>0</x:v>
      </x:c>
      <x:c r="J756" s="14" t="n">
        <x:v>6217032</x:v>
      </x:c>
      <x:c r="K756" s="14" t="n">
        <x:f>INT(H756*'공식·설정'!$B$10/'공식·설정'!$B$15)</x:f>
        <x:v>6217032</x:v>
      </x:c>
      <x:c r="L756" s="68" t="n">
        <x:f>K756-J756</x:f>
        <x:v>0</x:v>
      </x:c>
      <x:c r="M756" s="65" t="n">
        <x:f>J756/'공식·설정'!$B$7</x:f>
        <x:v>24285.28125</x:v>
      </x:c>
      <x:c r="N756" s="65" t="n">
        <x:f>K756/'공식·설정'!$B$7</x:f>
        <x:v>24285.28125</x:v>
      </x:c>
      <x:c r="O756" s="14" t="n">
        <x:v>2429</x:v>
      </x:c>
      <x:c r="P756" s="14" t="n">
        <x:f>MIN(32767,MAX(0,INT((K756+INT('공식·설정'!$B$12/2))/'공식·설정'!$B$12)))</x:f>
        <x:v>2429</x:v>
      </x:c>
      <x:c r="Q756" s="68" t="n">
        <x:f>P756-O756</x:f>
        <x:v>0</x:v>
      </x:c>
      <x:c r="R756" s="14" t="n">
        <x:v>6226688</x:v>
      </x:c>
      <x:c r="S756" s="14" t="n">
        <x:f>P756*'공식·설정'!$B$12+'공식·설정'!$B$14</x:f>
        <x:v>6226688</x:v>
      </x:c>
      <x:c r="T756" s="68" t="n">
        <x:f>S756-R756</x:f>
        <x:v>0</x:v>
      </x:c>
      <x:c r="U756" s="65" t="n">
        <x:f>R756/'공식·설정'!$B$7</x:f>
        <x:v>24323</x:v>
      </x:c>
      <x:c r="V756" s="65" t="n">
        <x:f>S756/'공식·설정'!$B$7</x:f>
        <x:v>24323</x:v>
      </x:c>
      <x:c r="W756" s="14" t="n">
        <x:v>721</x:v>
      </x:c>
      <x:c r="X756" s="14" t="n">
        <x:f>INT(ABS(K757-K756)*'공식·설정'!$B$8/K756)</x:f>
        <x:v>721</x:v>
      </x:c>
      <x:c r="Y756" s="68" t="n">
        <x:f>X756-W756</x:f>
        <x:v>0</x:v>
      </x:c>
      <x:c r="Z756" s="66" t="n">
        <x:f>W756/'공식·설정'!$B$8</x:f>
        <x:v>0.0110015869140625</x:v>
      </x:c>
      <x:c r="AA756" s="66" t="n">
        <x:f>X756/'공식·설정'!$B$8</x:f>
        <x:v>0.0110015869140625</x:v>
      </x:c>
      <x:c r="AB756" s="67" t="str">
        <x:f>IF(AND(I756=0,L756=0,Q756=0,T756=0,Y756=0),"PASS","FAIL")</x:f>
        <x:v>PASS</x:v>
      </x:c>
    </x:row>
    <x:row r="757" ht="18" customHeight="1">
      <x:c r="A757" s="14" t="n">
        <x:v>860</x:v>
      </x:c>
      <x:c r="B757" s="14" t="n">
        <x:v>752</x:v>
      </x:c>
      <x:c r="C757" s="14" t="n">
        <x:v>854</x:v>
      </x:c>
      <x:c r="D757" s="14" t="n">
        <x:v>902381</x:v>
      </x:c>
      <x:c r="E757" s="14" t="n">
        <x:v>868</x:v>
      </x:c>
      <x:c r="F757" s="14" t="n">
        <x:v>1049593</x:v>
      </x:c>
      <x:c r="G757" s="14" t="n">
        <x:v>965471</x:v>
      </x:c>
      <x:c r="H757" s="14" t="n">
        <x:f>INT((F757-D757)*(A757-C757)/(E757-C757))+D757</x:f>
        <x:v>965471</x:v>
      </x:c>
      <x:c r="I757" s="68" t="n">
        <x:f>H757-G757</x:f>
        <x:v>0</x:v>
      </x:c>
      <x:c r="J757" s="14" t="n">
        <x:v>6285488</x:v>
      </x:c>
      <x:c r="K757" s="14" t="n">
        <x:f>INT(H757*'공식·설정'!$B$10/'공식·설정'!$B$15)</x:f>
        <x:v>6285488</x:v>
      </x:c>
      <x:c r="L757" s="68" t="n">
        <x:f>K757-J757</x:f>
        <x:v>0</x:v>
      </x:c>
      <x:c r="M757" s="65" t="n">
        <x:f>J757/'공식·설정'!$B$7</x:f>
        <x:v>24552.6875</x:v>
      </x:c>
      <x:c r="N757" s="65" t="n">
        <x:f>K757/'공식·설정'!$B$7</x:f>
        <x:v>24552.6875</x:v>
      </x:c>
      <x:c r="O757" s="14" t="n">
        <x:v>2455</x:v>
      </x:c>
      <x:c r="P757" s="14" t="n">
        <x:f>MIN(32767,MAX(0,INT((K757+INT('공식·설정'!$B$12/2))/'공식·설정'!$B$12)))</x:f>
        <x:v>2455</x:v>
      </x:c>
      <x:c r="Q757" s="68" t="n">
        <x:f>P757-O757</x:f>
        <x:v>0</x:v>
      </x:c>
      <x:c r="R757" s="14" t="n">
        <x:v>6293248</x:v>
      </x:c>
      <x:c r="S757" s="14" t="n">
        <x:f>P757*'공식·설정'!$B$12+'공식·설정'!$B$14</x:f>
        <x:v>6293248</x:v>
      </x:c>
      <x:c r="T757" s="68" t="n">
        <x:f>S757-R757</x:f>
        <x:v>0</x:v>
      </x:c>
      <x:c r="U757" s="65" t="n">
        <x:f>R757/'공식·설정'!$B$7</x:f>
        <x:v>24583</x:v>
      </x:c>
      <x:c r="V757" s="65" t="n">
        <x:f>S757/'공식·설정'!$B$7</x:f>
        <x:v>24583</x:v>
      </x:c>
      <x:c r="W757" s="14" t="n">
        <x:v>713</x:v>
      </x:c>
      <x:c r="X757" s="14" t="n">
        <x:f>INT(ABS(K758-K757)*'공식·설정'!$B$8/K757)</x:f>
        <x:v>713</x:v>
      </x:c>
      <x:c r="Y757" s="68" t="n">
        <x:f>X757-W757</x:f>
        <x:v>0</x:v>
      </x:c>
      <x:c r="Z757" s="66" t="n">
        <x:f>W757/'공식·설정'!$B$8</x:f>
        <x:v>0.0108795166015625</x:v>
      </x:c>
      <x:c r="AA757" s="66" t="n">
        <x:f>X757/'공식·설정'!$B$8</x:f>
        <x:v>0.0108795166015625</x:v>
      </x:c>
      <x:c r="AB757" s="67" t="str">
        <x:f>IF(AND(I757=0,L757=0,Q757=0,T757=0,Y757=0),"PASS","FAIL")</x:f>
        <x:v>PASS</x:v>
      </x:c>
    </x:row>
    <x:row r="758" ht="18" customHeight="1">
      <x:c r="A758" s="14" t="n">
        <x:v>861</x:v>
      </x:c>
      <x:c r="B758" s="14" t="n">
        <x:v>753</x:v>
      </x:c>
      <x:c r="C758" s="14" t="n">
        <x:v>854</x:v>
      </x:c>
      <x:c r="D758" s="14" t="n">
        <x:v>902381</x:v>
      </x:c>
      <x:c r="E758" s="14" t="n">
        <x:v>868</x:v>
      </x:c>
      <x:c r="F758" s="14" t="n">
        <x:v>1049593</x:v>
      </x:c>
      <x:c r="G758" s="14" t="n">
        <x:v>975987</x:v>
      </x:c>
      <x:c r="H758" s="14" t="n">
        <x:f>INT((F758-D758)*(A758-C758)/(E758-C758))+D758</x:f>
        <x:v>975987</x:v>
      </x:c>
      <x:c r="I758" s="68" t="n">
        <x:f>H758-G758</x:f>
        <x:v>0</x:v>
      </x:c>
      <x:c r="J758" s="14" t="n">
        <x:v>6353950</x:v>
      </x:c>
      <x:c r="K758" s="14" t="n">
        <x:f>INT(H758*'공식·설정'!$B$10/'공식·설정'!$B$15)</x:f>
        <x:v>6353950</x:v>
      </x:c>
      <x:c r="L758" s="68" t="n">
        <x:f>K758-J758</x:f>
        <x:v>0</x:v>
      </x:c>
      <x:c r="M758" s="65" t="n">
        <x:f>J758/'공식·설정'!$B$7</x:f>
        <x:v>24820.1171875</x:v>
      </x:c>
      <x:c r="N758" s="65" t="n">
        <x:f>K758/'공식·설정'!$B$7</x:f>
        <x:v>24820.1171875</x:v>
      </x:c>
      <x:c r="O758" s="14" t="n">
        <x:v>2482</x:v>
      </x:c>
      <x:c r="P758" s="14" t="n">
        <x:f>MIN(32767,MAX(0,INT((K758+INT('공식·설정'!$B$12/2))/'공식·설정'!$B$12)))</x:f>
        <x:v>2482</x:v>
      </x:c>
      <x:c r="Q758" s="68" t="n">
        <x:f>P758-O758</x:f>
        <x:v>0</x:v>
      </x:c>
      <x:c r="R758" s="14" t="n">
        <x:v>6362368</x:v>
      </x:c>
      <x:c r="S758" s="14" t="n">
        <x:f>P758*'공식·설정'!$B$12+'공식·설정'!$B$14</x:f>
        <x:v>6362368</x:v>
      </x:c>
      <x:c r="T758" s="68" t="n">
        <x:f>S758-R758</x:f>
        <x:v>0</x:v>
      </x:c>
      <x:c r="U758" s="65" t="n">
        <x:f>R758/'공식·설정'!$B$7</x:f>
        <x:v>24853</x:v>
      </x:c>
      <x:c r="V758" s="65" t="n">
        <x:f>S758/'공식·설정'!$B$7</x:f>
        <x:v>24853</x:v>
      </x:c>
      <x:c r="W758" s="14" t="n">
        <x:v>706</x:v>
      </x:c>
      <x:c r="X758" s="14" t="n">
        <x:f>INT(ABS(K759-K758)*'공식·설정'!$B$8/K758)</x:f>
        <x:v>706</x:v>
      </x:c>
      <x:c r="Y758" s="68" t="n">
        <x:f>X758-W758</x:f>
        <x:v>0</x:v>
      </x:c>
      <x:c r="Z758" s="66" t="n">
        <x:f>W758/'공식·설정'!$B$8</x:f>
        <x:v>0.010772705078125</x:v>
      </x:c>
      <x:c r="AA758" s="66" t="n">
        <x:f>X758/'공식·설정'!$B$8</x:f>
        <x:v>0.010772705078125</x:v>
      </x:c>
      <x:c r="AB758" s="67" t="str">
        <x:f>IF(AND(I758=0,L758=0,Q758=0,T758=0,Y758=0),"PASS","FAIL")</x:f>
        <x:v>PASS</x:v>
      </x:c>
    </x:row>
    <x:row r="759" ht="18" customHeight="1">
      <x:c r="A759" s="14" t="n">
        <x:v>862</x:v>
      </x:c>
      <x:c r="B759" s="14" t="n">
        <x:v>754</x:v>
      </x:c>
      <x:c r="C759" s="14" t="n">
        <x:v>854</x:v>
      </x:c>
      <x:c r="D759" s="14" t="n">
        <x:v>902381</x:v>
      </x:c>
      <x:c r="E759" s="14" t="n">
        <x:v>868</x:v>
      </x:c>
      <x:c r="F759" s="14" t="n">
        <x:v>1049593</x:v>
      </x:c>
      <x:c r="G759" s="14" t="n">
        <x:v>986502</x:v>
      </x:c>
      <x:c r="H759" s="14" t="n">
        <x:f>INT((F759-D759)*(A759-C759)/(E759-C759))+D759</x:f>
        <x:v>986502</x:v>
      </x:c>
      <x:c r="I759" s="68" t="n">
        <x:f>H759-G759</x:f>
        <x:v>0</x:v>
      </x:c>
      <x:c r="J759" s="14" t="n">
        <x:v>6422406</x:v>
      </x:c>
      <x:c r="K759" s="14" t="n">
        <x:f>INT(H759*'공식·설정'!$B$10/'공식·설정'!$B$15)</x:f>
        <x:v>6422406</x:v>
      </x:c>
      <x:c r="L759" s="68" t="n">
        <x:f>K759-J759</x:f>
        <x:v>0</x:v>
      </x:c>
      <x:c r="M759" s="65" t="n">
        <x:f>J759/'공식·설정'!$B$7</x:f>
        <x:v>25087.5234375</x:v>
      </x:c>
      <x:c r="N759" s="65" t="n">
        <x:f>K759/'공식·설정'!$B$7</x:f>
        <x:v>25087.5234375</x:v>
      </x:c>
      <x:c r="O759" s="14" t="n">
        <x:v>2509</x:v>
      </x:c>
      <x:c r="P759" s="14" t="n">
        <x:f>MIN(32767,MAX(0,INT((K759+INT('공식·설정'!$B$12/2))/'공식·설정'!$B$12)))</x:f>
        <x:v>2509</x:v>
      </x:c>
      <x:c r="Q759" s="68" t="n">
        <x:f>P759-O759</x:f>
        <x:v>0</x:v>
      </x:c>
      <x:c r="R759" s="14" t="n">
        <x:v>6431488</x:v>
      </x:c>
      <x:c r="S759" s="14" t="n">
        <x:f>P759*'공식·설정'!$B$12+'공식·설정'!$B$14</x:f>
        <x:v>6431488</x:v>
      </x:c>
      <x:c r="T759" s="68" t="n">
        <x:f>S759-R759</x:f>
        <x:v>0</x:v>
      </x:c>
      <x:c r="U759" s="65" t="n">
        <x:f>R759/'공식·설정'!$B$7</x:f>
        <x:v>25123</x:v>
      </x:c>
      <x:c r="V759" s="65" t="n">
        <x:f>S759/'공식·설정'!$B$7</x:f>
        <x:v>25123</x:v>
      </x:c>
      <x:c r="W759" s="14" t="n">
        <x:v>698</x:v>
      </x:c>
      <x:c r="X759" s="14" t="n">
        <x:f>INT(ABS(K760-K759)*'공식·설정'!$B$8/K759)</x:f>
        <x:v>698</x:v>
      </x:c>
      <x:c r="Y759" s="68" t="n">
        <x:f>X759-W759</x:f>
        <x:v>0</x:v>
      </x:c>
      <x:c r="Z759" s="66" t="n">
        <x:f>W759/'공식·설정'!$B$8</x:f>
        <x:v>0.010650634765625</x:v>
      </x:c>
      <x:c r="AA759" s="66" t="n">
        <x:f>X759/'공식·설정'!$B$8</x:f>
        <x:v>0.010650634765625</x:v>
      </x:c>
      <x:c r="AB759" s="67" t="str">
        <x:f>IF(AND(I759=0,L759=0,Q759=0,T759=0,Y759=0),"PASS","FAIL")</x:f>
        <x:v>PASS</x:v>
      </x:c>
    </x:row>
    <x:row r="760" ht="18" customHeight="1">
      <x:c r="A760" s="14" t="n">
        <x:v>863</x:v>
      </x:c>
      <x:c r="B760" s="14" t="n">
        <x:v>755</x:v>
      </x:c>
      <x:c r="C760" s="14" t="n">
        <x:v>854</x:v>
      </x:c>
      <x:c r="D760" s="14" t="n">
        <x:v>902381</x:v>
      </x:c>
      <x:c r="E760" s="14" t="n">
        <x:v>868</x:v>
      </x:c>
      <x:c r="F760" s="14" t="n">
        <x:v>1049593</x:v>
      </x:c>
      <x:c r="G760" s="14" t="n">
        <x:v>997017</x:v>
      </x:c>
      <x:c r="H760" s="14" t="n">
        <x:f>INT((F760-D760)*(A760-C760)/(E760-C760))+D760</x:f>
        <x:v>997017</x:v>
      </x:c>
      <x:c r="I760" s="68" t="n">
        <x:f>H760-G760</x:f>
        <x:v>0</x:v>
      </x:c>
      <x:c r="J760" s="14" t="n">
        <x:v>6490861</x:v>
      </x:c>
      <x:c r="K760" s="14" t="n">
        <x:f>INT(H760*'공식·설정'!$B$10/'공식·설정'!$B$15)</x:f>
        <x:v>6490861</x:v>
      </x:c>
      <x:c r="L760" s="68" t="n">
        <x:f>K760-J760</x:f>
        <x:v>0</x:v>
      </x:c>
      <x:c r="M760" s="65" t="n">
        <x:f>J760/'공식·설정'!$B$7</x:f>
        <x:v>25354.92578125</x:v>
      </x:c>
      <x:c r="N760" s="65" t="n">
        <x:f>K760/'공식·설정'!$B$7</x:f>
        <x:v>25354.92578125</x:v>
      </x:c>
      <x:c r="O760" s="14" t="n">
        <x:v>2535</x:v>
      </x:c>
      <x:c r="P760" s="14" t="n">
        <x:f>MIN(32767,MAX(0,INT((K760+INT('공식·설정'!$B$12/2))/'공식·설정'!$B$12)))</x:f>
        <x:v>2535</x:v>
      </x:c>
      <x:c r="Q760" s="68" t="n">
        <x:f>P760-O760</x:f>
        <x:v>0</x:v>
      </x:c>
      <x:c r="R760" s="14" t="n">
        <x:v>6498048</x:v>
      </x:c>
      <x:c r="S760" s="14" t="n">
        <x:f>P760*'공식·설정'!$B$12+'공식·설정'!$B$14</x:f>
        <x:v>6498048</x:v>
      </x:c>
      <x:c r="T760" s="68" t="n">
        <x:f>S760-R760</x:f>
        <x:v>0</x:v>
      </x:c>
      <x:c r="U760" s="65" t="n">
        <x:f>R760/'공식·설정'!$B$7</x:f>
        <x:v>25383</x:v>
      </x:c>
      <x:c r="V760" s="65" t="n">
        <x:f>S760/'공식·설정'!$B$7</x:f>
        <x:v>25383</x:v>
      </x:c>
      <x:c r="W760" s="14" t="n">
        <x:v>691</x:v>
      </x:c>
      <x:c r="X760" s="14" t="n">
        <x:f>INT(ABS(K761-K760)*'공식·설정'!$B$8/K760)</x:f>
        <x:v>691</x:v>
      </x:c>
      <x:c r="Y760" s="68" t="n">
        <x:f>X760-W760</x:f>
        <x:v>0</x:v>
      </x:c>
      <x:c r="Z760" s="66" t="n">
        <x:f>W760/'공식·설정'!$B$8</x:f>
        <x:v>0.0105438232421875</x:v>
      </x:c>
      <x:c r="AA760" s="66" t="n">
        <x:f>X760/'공식·설정'!$B$8</x:f>
        <x:v>0.0105438232421875</x:v>
      </x:c>
      <x:c r="AB760" s="67" t="str">
        <x:f>IF(AND(I760=0,L760=0,Q760=0,T760=0,Y760=0),"PASS","FAIL")</x:f>
        <x:v>PASS</x:v>
      </x:c>
    </x:row>
    <x:row r="761" ht="18" customHeight="1">
      <x:c r="A761" s="14" t="n">
        <x:v>864</x:v>
      </x:c>
      <x:c r="B761" s="14" t="n">
        <x:v>756</x:v>
      </x:c>
      <x:c r="C761" s="14" t="n">
        <x:v>854</x:v>
      </x:c>
      <x:c r="D761" s="14" t="n">
        <x:v>902381</x:v>
      </x:c>
      <x:c r="E761" s="14" t="n">
        <x:v>868</x:v>
      </x:c>
      <x:c r="F761" s="14" t="n">
        <x:v>1049593</x:v>
      </x:c>
      <x:c r="G761" s="14" t="n">
        <x:v>1007532</x:v>
      </x:c>
      <x:c r="H761" s="14" t="n">
        <x:f>INT((F761-D761)*(A761-C761)/(E761-C761))+D761</x:f>
        <x:v>1007532</x:v>
      </x:c>
      <x:c r="I761" s="68" t="n">
        <x:f>H761-G761</x:f>
        <x:v>0</x:v>
      </x:c>
      <x:c r="J761" s="14" t="n">
        <x:v>6559317</x:v>
      </x:c>
      <x:c r="K761" s="14" t="n">
        <x:f>INT(H761*'공식·설정'!$B$10/'공식·설정'!$B$15)</x:f>
        <x:v>6559317</x:v>
      </x:c>
      <x:c r="L761" s="68" t="n">
        <x:f>K761-J761</x:f>
        <x:v>0</x:v>
      </x:c>
      <x:c r="M761" s="65" t="n">
        <x:f>J761/'공식·설정'!$B$7</x:f>
        <x:v>25622.33203125</x:v>
      </x:c>
      <x:c r="N761" s="65" t="n">
        <x:f>K761/'공식·설정'!$B$7</x:f>
        <x:v>25622.33203125</x:v>
      </x:c>
      <x:c r="O761" s="14" t="n">
        <x:v>2562</x:v>
      </x:c>
      <x:c r="P761" s="14" t="n">
        <x:f>MIN(32767,MAX(0,INT((K761+INT('공식·설정'!$B$12/2))/'공식·설정'!$B$12)))</x:f>
        <x:v>2562</x:v>
      </x:c>
      <x:c r="Q761" s="68" t="n">
        <x:f>P761-O761</x:f>
        <x:v>0</x:v>
      </x:c>
      <x:c r="R761" s="14" t="n">
        <x:v>6567168</x:v>
      </x:c>
      <x:c r="S761" s="14" t="n">
        <x:f>P761*'공식·설정'!$B$12+'공식·설정'!$B$14</x:f>
        <x:v>6567168</x:v>
      </x:c>
      <x:c r="T761" s="68" t="n">
        <x:f>S761-R761</x:f>
        <x:v>0</x:v>
      </x:c>
      <x:c r="U761" s="65" t="n">
        <x:f>R761/'공식·설정'!$B$7</x:f>
        <x:v>25653</x:v>
      </x:c>
      <x:c r="V761" s="65" t="n">
        <x:f>S761/'공식·설정'!$B$7</x:f>
        <x:v>25653</x:v>
      </x:c>
      <x:c r="W761" s="14" t="n">
        <x:v>683</x:v>
      </x:c>
      <x:c r="X761" s="14" t="n">
        <x:f>INT(ABS(K762-K761)*'공식·설정'!$B$8/K761)</x:f>
        <x:v>683</x:v>
      </x:c>
      <x:c r="Y761" s="68" t="n">
        <x:f>X761-W761</x:f>
        <x:v>0</x:v>
      </x:c>
      <x:c r="Z761" s="66" t="n">
        <x:f>W761/'공식·설정'!$B$8</x:f>
        <x:v>0.0104217529296875</x:v>
      </x:c>
      <x:c r="AA761" s="66" t="n">
        <x:f>X761/'공식·설정'!$B$8</x:f>
        <x:v>0.0104217529296875</x:v>
      </x:c>
      <x:c r="AB761" s="67" t="str">
        <x:f>IF(AND(I761=0,L761=0,Q761=0,T761=0,Y761=0),"PASS","FAIL")</x:f>
        <x:v>PASS</x:v>
      </x:c>
    </x:row>
    <x:row r="762" ht="18" customHeight="1">
      <x:c r="A762" s="14" t="n">
        <x:v>865</x:v>
      </x:c>
      <x:c r="B762" s="14" t="n">
        <x:v>757</x:v>
      </x:c>
      <x:c r="C762" s="14" t="n">
        <x:v>854</x:v>
      </x:c>
      <x:c r="D762" s="14" t="n">
        <x:v>902381</x:v>
      </x:c>
      <x:c r="E762" s="14" t="n">
        <x:v>868</x:v>
      </x:c>
      <x:c r="F762" s="14" t="n">
        <x:v>1049593</x:v>
      </x:c>
      <x:c r="G762" s="14" t="n">
        <x:v>1018047</x:v>
      </x:c>
      <x:c r="H762" s="14" t="n">
        <x:f>INT((F762-D762)*(A762-C762)/(E762-C762))+D762</x:f>
        <x:v>1018047</x:v>
      </x:c>
      <x:c r="I762" s="68" t="n">
        <x:f>H762-G762</x:f>
        <x:v>0</x:v>
      </x:c>
      <x:c r="J762" s="14" t="n">
        <x:v>6627773</x:v>
      </x:c>
      <x:c r="K762" s="14" t="n">
        <x:f>INT(H762*'공식·설정'!$B$10/'공식·설정'!$B$15)</x:f>
        <x:v>6627773</x:v>
      </x:c>
      <x:c r="L762" s="68" t="n">
        <x:f>K762-J762</x:f>
        <x:v>0</x:v>
      </x:c>
      <x:c r="M762" s="65" t="n">
        <x:f>J762/'공식·설정'!$B$7</x:f>
        <x:v>25889.73828125</x:v>
      </x:c>
      <x:c r="N762" s="65" t="n">
        <x:f>K762/'공식·설정'!$B$7</x:f>
        <x:v>25889.73828125</x:v>
      </x:c>
      <x:c r="O762" s="14" t="n">
        <x:v>2589</x:v>
      </x:c>
      <x:c r="P762" s="14" t="n">
        <x:f>MIN(32767,MAX(0,INT((K762+INT('공식·설정'!$B$12/2))/'공식·설정'!$B$12)))</x:f>
        <x:v>2589</x:v>
      </x:c>
      <x:c r="Q762" s="68" t="n">
        <x:f>P762-O762</x:f>
        <x:v>0</x:v>
      </x:c>
      <x:c r="R762" s="14" t="n">
        <x:v>6636288</x:v>
      </x:c>
      <x:c r="S762" s="14" t="n">
        <x:f>P762*'공식·설정'!$B$12+'공식·설정'!$B$14</x:f>
        <x:v>6636288</x:v>
      </x:c>
      <x:c r="T762" s="68" t="n">
        <x:f>S762-R762</x:f>
        <x:v>0</x:v>
      </x:c>
      <x:c r="U762" s="65" t="n">
        <x:f>R762/'공식·설정'!$B$7</x:f>
        <x:v>25923</x:v>
      </x:c>
      <x:c r="V762" s="65" t="n">
        <x:f>S762/'공식·설정'!$B$7</x:f>
        <x:v>25923</x:v>
      </x:c>
      <x:c r="W762" s="14" t="n">
        <x:v>676</x:v>
      </x:c>
      <x:c r="X762" s="14" t="n">
        <x:f>INT(ABS(K763-K762)*'공식·설정'!$B$8/K762)</x:f>
        <x:v>676</x:v>
      </x:c>
      <x:c r="Y762" s="68" t="n">
        <x:f>X762-W762</x:f>
        <x:v>0</x:v>
      </x:c>
      <x:c r="Z762" s="66" t="n">
        <x:f>W762/'공식·설정'!$B$8</x:f>
        <x:v>0.01031494140625</x:v>
      </x:c>
      <x:c r="AA762" s="66" t="n">
        <x:f>X762/'공식·설정'!$B$8</x:f>
        <x:v>0.01031494140625</x:v>
      </x:c>
      <x:c r="AB762" s="67" t="str">
        <x:f>IF(AND(I762=0,L762=0,Q762=0,T762=0,Y762=0),"PASS","FAIL")</x:f>
        <x:v>PASS</x:v>
      </x:c>
    </x:row>
    <x:row r="763" ht="18" customHeight="1">
      <x:c r="A763" s="14" t="n">
        <x:v>866</x:v>
      </x:c>
      <x:c r="B763" s="14" t="n">
        <x:v>758</x:v>
      </x:c>
      <x:c r="C763" s="14" t="n">
        <x:v>854</x:v>
      </x:c>
      <x:c r="D763" s="14" t="n">
        <x:v>902381</x:v>
      </x:c>
      <x:c r="E763" s="14" t="n">
        <x:v>868</x:v>
      </x:c>
      <x:c r="F763" s="14" t="n">
        <x:v>1049593</x:v>
      </x:c>
      <x:c r="G763" s="14" t="n">
        <x:v>1028562</x:v>
      </x:c>
      <x:c r="H763" s="14" t="n">
        <x:f>INT((F763-D763)*(A763-C763)/(E763-C763))+D763</x:f>
        <x:v>1028562</x:v>
      </x:c>
      <x:c r="I763" s="68" t="n">
        <x:f>H763-G763</x:f>
        <x:v>0</x:v>
      </x:c>
      <x:c r="J763" s="14" t="n">
        <x:v>6696228</x:v>
      </x:c>
      <x:c r="K763" s="14" t="n">
        <x:f>INT(H763*'공식·설정'!$B$10/'공식·설정'!$B$15)</x:f>
        <x:v>6696228</x:v>
      </x:c>
      <x:c r="L763" s="68" t="n">
        <x:f>K763-J763</x:f>
        <x:v>0</x:v>
      </x:c>
      <x:c r="M763" s="65" t="n">
        <x:f>J763/'공식·설정'!$B$7</x:f>
        <x:v>26157.140625</x:v>
      </x:c>
      <x:c r="N763" s="65" t="n">
        <x:f>K763/'공식·설정'!$B$7</x:f>
        <x:v>26157.140625</x:v>
      </x:c>
      <x:c r="O763" s="14" t="n">
        <x:v>2616</x:v>
      </x:c>
      <x:c r="P763" s="14" t="n">
        <x:f>MIN(32767,MAX(0,INT((K763+INT('공식·설정'!$B$12/2))/'공식·설정'!$B$12)))</x:f>
        <x:v>2616</x:v>
      </x:c>
      <x:c r="Q763" s="68" t="n">
        <x:f>P763-O763</x:f>
        <x:v>0</x:v>
      </x:c>
      <x:c r="R763" s="14" t="n">
        <x:v>6705408</x:v>
      </x:c>
      <x:c r="S763" s="14" t="n">
        <x:f>P763*'공식·설정'!$B$12+'공식·설정'!$B$14</x:f>
        <x:v>6705408</x:v>
      </x:c>
      <x:c r="T763" s="68" t="n">
        <x:f>S763-R763</x:f>
        <x:v>0</x:v>
      </x:c>
      <x:c r="U763" s="65" t="n">
        <x:f>R763/'공식·설정'!$B$7</x:f>
        <x:v>26193</x:v>
      </x:c>
      <x:c r="V763" s="65" t="n">
        <x:f>S763/'공식·설정'!$B$7</x:f>
        <x:v>26193</x:v>
      </x:c>
      <x:c r="W763" s="14" t="n">
        <x:v>669</x:v>
      </x:c>
      <x:c r="X763" s="14" t="n">
        <x:f>INT(ABS(K764-K763)*'공식·설정'!$B$8/K763)</x:f>
        <x:v>669</x:v>
      </x:c>
      <x:c r="Y763" s="68" t="n">
        <x:f>X763-W763</x:f>
        <x:v>0</x:v>
      </x:c>
      <x:c r="Z763" s="66" t="n">
        <x:f>W763/'공식·설정'!$B$8</x:f>
        <x:v>0.0102081298828125</x:v>
      </x:c>
      <x:c r="AA763" s="66" t="n">
        <x:f>X763/'공식·설정'!$B$8</x:f>
        <x:v>0.0102081298828125</x:v>
      </x:c>
      <x:c r="AB763" s="67" t="str">
        <x:f>IF(AND(I763=0,L763=0,Q763=0,T763=0,Y763=0),"PASS","FAIL")</x:f>
        <x:v>PASS</x:v>
      </x:c>
    </x:row>
    <x:row r="764" ht="18" customHeight="1">
      <x:c r="A764" s="14" t="n">
        <x:v>867</x:v>
      </x:c>
      <x:c r="B764" s="14" t="n">
        <x:v>759</x:v>
      </x:c>
      <x:c r="C764" s="14" t="n">
        <x:v>854</x:v>
      </x:c>
      <x:c r="D764" s="14" t="n">
        <x:v>902381</x:v>
      </x:c>
      <x:c r="E764" s="14" t="n">
        <x:v>868</x:v>
      </x:c>
      <x:c r="F764" s="14" t="n">
        <x:v>1049593</x:v>
      </x:c>
      <x:c r="G764" s="14" t="n">
        <x:v>1039077</x:v>
      </x:c>
      <x:c r="H764" s="14" t="n">
        <x:f>INT((F764-D764)*(A764-C764)/(E764-C764))+D764</x:f>
        <x:v>1039077</x:v>
      </x:c>
      <x:c r="I764" s="68" t="n">
        <x:f>H764-G764</x:f>
        <x:v>0</x:v>
      </x:c>
      <x:c r="J764" s="14" t="n">
        <x:v>6764684</x:v>
      </x:c>
      <x:c r="K764" s="14" t="n">
        <x:f>INT(H764*'공식·설정'!$B$10/'공식·설정'!$B$15)</x:f>
        <x:v>6764684</x:v>
      </x:c>
      <x:c r="L764" s="68" t="n">
        <x:f>K764-J764</x:f>
        <x:v>0</x:v>
      </x:c>
      <x:c r="M764" s="65" t="n">
        <x:f>J764/'공식·설정'!$B$7</x:f>
        <x:v>26424.546875</x:v>
      </x:c>
      <x:c r="N764" s="65" t="n">
        <x:f>K764/'공식·설정'!$B$7</x:f>
        <x:v>26424.546875</x:v>
      </x:c>
      <x:c r="O764" s="14" t="n">
        <x:v>2642</x:v>
      </x:c>
      <x:c r="P764" s="14" t="n">
        <x:f>MIN(32767,MAX(0,INT((K764+INT('공식·설정'!$B$12/2))/'공식·설정'!$B$12)))</x:f>
        <x:v>2642</x:v>
      </x:c>
      <x:c r="Q764" s="68" t="n">
        <x:f>P764-O764</x:f>
        <x:v>0</x:v>
      </x:c>
      <x:c r="R764" s="14" t="n">
        <x:v>6771968</x:v>
      </x:c>
      <x:c r="S764" s="14" t="n">
        <x:f>P764*'공식·설정'!$B$12+'공식·설정'!$B$14</x:f>
        <x:v>6771968</x:v>
      </x:c>
      <x:c r="T764" s="68" t="n">
        <x:f>S764-R764</x:f>
        <x:v>0</x:v>
      </x:c>
      <x:c r="U764" s="65" t="n">
        <x:f>R764/'공식·설정'!$B$7</x:f>
        <x:v>26453</x:v>
      </x:c>
      <x:c r="V764" s="65" t="n">
        <x:f>S764/'공식·설정'!$B$7</x:f>
        <x:v>26453</x:v>
      </x:c>
      <x:c r="W764" s="14" t="n">
        <x:v>663</x:v>
      </x:c>
      <x:c r="X764" s="14" t="n">
        <x:f>INT(ABS(K765-K764)*'공식·설정'!$B$8/K764)</x:f>
        <x:v>663</x:v>
      </x:c>
      <x:c r="Y764" s="68" t="n">
        <x:f>X764-W764</x:f>
        <x:v>0</x:v>
      </x:c>
      <x:c r="Z764" s="66" t="n">
        <x:f>W764/'공식·설정'!$B$8</x:f>
        <x:v>0.0101165771484375</x:v>
      </x:c>
      <x:c r="AA764" s="66" t="n">
        <x:f>X764/'공식·설정'!$B$8</x:f>
        <x:v>0.0101165771484375</x:v>
      </x:c>
      <x:c r="AB764" s="67" t="str">
        <x:f>IF(AND(I764=0,L764=0,Q764=0,T764=0,Y764=0),"PASS","FAIL")</x:f>
        <x:v>PASS</x:v>
      </x:c>
    </x:row>
    <x:row r="765" ht="18" customHeight="1">
      <x:c r="A765" s="14" t="n">
        <x:v>868</x:v>
      </x:c>
      <x:c r="B765" s="14" t="n">
        <x:v>760</x:v>
      </x:c>
      <x:c r="C765" s="14" t="n">
        <x:v>868</x:v>
      </x:c>
      <x:c r="D765" s="14" t="n">
        <x:v>1049593</x:v>
      </x:c>
      <x:c r="E765" s="14" t="n">
        <x:v>882</x:v>
      </x:c>
      <x:c r="F765" s="14" t="n">
        <x:v>1220819</x:v>
      </x:c>
      <x:c r="G765" s="14" t="n">
        <x:v>1049593</x:v>
      </x:c>
      <x:c r="H765" s="14" t="n">
        <x:f>INT((F765-D765)*(A765-C765)/(E765-C765))+D765</x:f>
        <x:v>1049593</x:v>
      </x:c>
      <x:c r="I765" s="68" t="n">
        <x:f>H765-G765</x:f>
        <x:v>0</x:v>
      </x:c>
      <x:c r="J765" s="14" t="n">
        <x:v>6833146</x:v>
      </x:c>
      <x:c r="K765" s="14" t="n">
        <x:f>INT(H765*'공식·설정'!$B$10/'공식·설정'!$B$15)</x:f>
        <x:v>6833146</x:v>
      </x:c>
      <x:c r="L765" s="68" t="n">
        <x:f>K765-J765</x:f>
        <x:v>0</x:v>
      </x:c>
      <x:c r="M765" s="65" t="n">
        <x:f>J765/'공식·설정'!$B$7</x:f>
        <x:v>26691.9765625</x:v>
      </x:c>
      <x:c r="N765" s="65" t="n">
        <x:f>K765/'공식·설정'!$B$7</x:f>
        <x:v>26691.9765625</x:v>
      </x:c>
      <x:c r="O765" s="14" t="n">
        <x:v>2669</x:v>
      </x:c>
      <x:c r="P765" s="14" t="n">
        <x:f>MIN(32767,MAX(0,INT((K765+INT('공식·설정'!$B$12/2))/'공식·설정'!$B$12)))</x:f>
        <x:v>2669</x:v>
      </x:c>
      <x:c r="Q765" s="68" t="n">
        <x:f>P765-O765</x:f>
        <x:v>0</x:v>
      </x:c>
      <x:c r="R765" s="14" t="n">
        <x:v>6841088</x:v>
      </x:c>
      <x:c r="S765" s="14" t="n">
        <x:f>P765*'공식·설정'!$B$12+'공식·설정'!$B$14</x:f>
        <x:v>6841088</x:v>
      </x:c>
      <x:c r="T765" s="68" t="n">
        <x:f>S765-R765</x:f>
        <x:v>0</x:v>
      </x:c>
      <x:c r="U765" s="65" t="n">
        <x:f>R765/'공식·설정'!$B$7</x:f>
        <x:v>26723</x:v>
      </x:c>
      <x:c r="V765" s="65" t="n">
        <x:f>S765/'공식·설정'!$B$7</x:f>
        <x:v>26723</x:v>
      </x:c>
      <x:c r="W765" s="14" t="n">
        <x:v>763</x:v>
      </x:c>
      <x:c r="X765" s="14" t="n">
        <x:f>INT(ABS(K766-K765)*'공식·설정'!$B$8/K765)</x:f>
        <x:v>763</x:v>
      </x:c>
      <x:c r="Y765" s="68" t="n">
        <x:f>X765-W765</x:f>
        <x:v>0</x:v>
      </x:c>
      <x:c r="Z765" s="66" t="n">
        <x:f>W765/'공식·설정'!$B$8</x:f>
        <x:v>0.0116424560546875</x:v>
      </x:c>
      <x:c r="AA765" s="66" t="n">
        <x:f>X765/'공식·설정'!$B$8</x:f>
        <x:v>0.0116424560546875</x:v>
      </x:c>
      <x:c r="AB765" s="67" t="str">
        <x:f>IF(AND(I765=0,L765=0,Q765=0,T765=0,Y765=0),"PASS","FAIL")</x:f>
        <x:v>PASS</x:v>
      </x:c>
    </x:row>
    <x:row r="766" ht="18" customHeight="1">
      <x:c r="A766" s="14" t="n">
        <x:v>869</x:v>
      </x:c>
      <x:c r="B766" s="14" t="n">
        <x:v>761</x:v>
      </x:c>
      <x:c r="C766" s="14" t="n">
        <x:v>868</x:v>
      </x:c>
      <x:c r="D766" s="14" t="n">
        <x:v>1049593</x:v>
      </x:c>
      <x:c r="E766" s="14" t="n">
        <x:v>882</x:v>
      </x:c>
      <x:c r="F766" s="14" t="n">
        <x:v>1220819</x:v>
      </x:c>
      <x:c r="G766" s="14" t="n">
        <x:v>1061823</x:v>
      </x:c>
      <x:c r="H766" s="14" t="n">
        <x:f>INT((F766-D766)*(A766-C766)/(E766-C766))+D766</x:f>
        <x:v>1061823</x:v>
      </x:c>
      <x:c r="I766" s="68" t="n">
        <x:f>H766-G766</x:f>
        <x:v>0</x:v>
      </x:c>
      <x:c r="J766" s="14" t="n">
        <x:v>6912767</x:v>
      </x:c>
      <x:c r="K766" s="14" t="n">
        <x:f>INT(H766*'공식·설정'!$B$10/'공식·설정'!$B$15)</x:f>
        <x:v>6912767</x:v>
      </x:c>
      <x:c r="L766" s="68" t="n">
        <x:f>K766-J766</x:f>
        <x:v>0</x:v>
      </x:c>
      <x:c r="M766" s="65" t="n">
        <x:f>J766/'공식·설정'!$B$7</x:f>
        <x:v>27002.99609375</x:v>
      </x:c>
      <x:c r="N766" s="65" t="n">
        <x:f>K766/'공식·설정'!$B$7</x:f>
        <x:v>27002.99609375</x:v>
      </x:c>
      <x:c r="O766" s="14" t="n">
        <x:v>2700</x:v>
      </x:c>
      <x:c r="P766" s="14" t="n">
        <x:f>MIN(32767,MAX(0,INT((K766+INT('공식·설정'!$B$12/2))/'공식·설정'!$B$12)))</x:f>
        <x:v>2700</x:v>
      </x:c>
      <x:c r="Q766" s="68" t="n">
        <x:f>P766-O766</x:f>
        <x:v>0</x:v>
      </x:c>
      <x:c r="R766" s="14" t="n">
        <x:v>6920448</x:v>
      </x:c>
      <x:c r="S766" s="14" t="n">
        <x:f>P766*'공식·설정'!$B$12+'공식·설정'!$B$14</x:f>
        <x:v>6920448</x:v>
      </x:c>
      <x:c r="T766" s="68" t="n">
        <x:f>S766-R766</x:f>
        <x:v>0</x:v>
      </x:c>
      <x:c r="U766" s="65" t="n">
        <x:f>R766/'공식·설정'!$B$7</x:f>
        <x:v>27033</x:v>
      </x:c>
      <x:c r="V766" s="65" t="n">
        <x:f>S766/'공식·설정'!$B$7</x:f>
        <x:v>27033</x:v>
      </x:c>
      <x:c r="W766" s="14" t="n">
        <x:v>754</x:v>
      </x:c>
      <x:c r="X766" s="14" t="n">
        <x:f>INT(ABS(K767-K766)*'공식·설정'!$B$8/K766)</x:f>
        <x:v>754</x:v>
      </x:c>
      <x:c r="Y766" s="68" t="n">
        <x:f>X766-W766</x:f>
        <x:v>0</x:v>
      </x:c>
      <x:c r="Z766" s="66" t="n">
        <x:f>W766/'공식·설정'!$B$8</x:f>
        <x:v>0.011505126953125</x:v>
      </x:c>
      <x:c r="AA766" s="66" t="n">
        <x:f>X766/'공식·설정'!$B$8</x:f>
        <x:v>0.011505126953125</x:v>
      </x:c>
      <x:c r="AB766" s="67" t="str">
        <x:f>IF(AND(I766=0,L766=0,Q766=0,T766=0,Y766=0),"PASS","FAIL")</x:f>
        <x:v>PASS</x:v>
      </x:c>
    </x:row>
    <x:row r="767" ht="18" customHeight="1">
      <x:c r="A767" s="14" t="n">
        <x:v>870</x:v>
      </x:c>
      <x:c r="B767" s="14" t="n">
        <x:v>762</x:v>
      </x:c>
      <x:c r="C767" s="14" t="n">
        <x:v>868</x:v>
      </x:c>
      <x:c r="D767" s="14" t="n">
        <x:v>1049593</x:v>
      </x:c>
      <x:c r="E767" s="14" t="n">
        <x:v>882</x:v>
      </x:c>
      <x:c r="F767" s="14" t="n">
        <x:v>1220819</x:v>
      </x:c>
      <x:c r="G767" s="14" t="n">
        <x:v>1074053</x:v>
      </x:c>
      <x:c r="H767" s="14" t="n">
        <x:f>INT((F767-D767)*(A767-C767)/(E767-C767))+D767</x:f>
        <x:v>1074053</x:v>
      </x:c>
      <x:c r="I767" s="68" t="n">
        <x:f>H767-G767</x:f>
        <x:v>0</x:v>
      </x:c>
      <x:c r="J767" s="14" t="n">
        <x:v>6992387</x:v>
      </x:c>
      <x:c r="K767" s="14" t="n">
        <x:f>INT(H767*'공식·설정'!$B$10/'공식·설정'!$B$15)</x:f>
        <x:v>6992387</x:v>
      </x:c>
      <x:c r="L767" s="68" t="n">
        <x:f>K767-J767</x:f>
        <x:v>0</x:v>
      </x:c>
      <x:c r="M767" s="65" t="n">
        <x:f>J767/'공식·설정'!$B$7</x:f>
        <x:v>27314.01171875</x:v>
      </x:c>
      <x:c r="N767" s="65" t="n">
        <x:f>K767/'공식·설정'!$B$7</x:f>
        <x:v>27314.01171875</x:v>
      </x:c>
      <x:c r="O767" s="14" t="n">
        <x:v>2731</x:v>
      </x:c>
      <x:c r="P767" s="14" t="n">
        <x:f>MIN(32767,MAX(0,INT((K767+INT('공식·설정'!$B$12/2))/'공식·설정'!$B$12)))</x:f>
        <x:v>2731</x:v>
      </x:c>
      <x:c r="Q767" s="68" t="n">
        <x:f>P767-O767</x:f>
        <x:v>0</x:v>
      </x:c>
      <x:c r="R767" s="14" t="n">
        <x:v>6999808</x:v>
      </x:c>
      <x:c r="S767" s="14" t="n">
        <x:f>P767*'공식·설정'!$B$12+'공식·설정'!$B$14</x:f>
        <x:v>6999808</x:v>
      </x:c>
      <x:c r="T767" s="68" t="n">
        <x:f>S767-R767</x:f>
        <x:v>0</x:v>
      </x:c>
      <x:c r="U767" s="65" t="n">
        <x:f>R767/'공식·설정'!$B$7</x:f>
        <x:v>27343</x:v>
      </x:c>
      <x:c r="V767" s="65" t="n">
        <x:f>S767/'공식·설정'!$B$7</x:f>
        <x:v>27343</x:v>
      </x:c>
      <x:c r="W767" s="14" t="n">
        <x:v>746</x:v>
      </x:c>
      <x:c r="X767" s="14" t="n">
        <x:f>INT(ABS(K768-K767)*'공식·설정'!$B$8/K767)</x:f>
        <x:v>746</x:v>
      </x:c>
      <x:c r="Y767" s="68" t="n">
        <x:f>X767-W767</x:f>
        <x:v>0</x:v>
      </x:c>
      <x:c r="Z767" s="66" t="n">
        <x:f>W767/'공식·설정'!$B$8</x:f>
        <x:v>0.011383056640625</x:v>
      </x:c>
      <x:c r="AA767" s="66" t="n">
        <x:f>X767/'공식·설정'!$B$8</x:f>
        <x:v>0.011383056640625</x:v>
      </x:c>
      <x:c r="AB767" s="67" t="str">
        <x:f>IF(AND(I767=0,L767=0,Q767=0,T767=0,Y767=0),"PASS","FAIL")</x:f>
        <x:v>PASS</x:v>
      </x:c>
    </x:row>
    <x:row r="768" ht="18" customHeight="1">
      <x:c r="A768" s="14" t="n">
        <x:v>871</x:v>
      </x:c>
      <x:c r="B768" s="14" t="n">
        <x:v>763</x:v>
      </x:c>
      <x:c r="C768" s="14" t="n">
        <x:v>868</x:v>
      </x:c>
      <x:c r="D768" s="14" t="n">
        <x:v>1049593</x:v>
      </x:c>
      <x:c r="E768" s="14" t="n">
        <x:v>882</x:v>
      </x:c>
      <x:c r="F768" s="14" t="n">
        <x:v>1220819</x:v>
      </x:c>
      <x:c r="G768" s="14" t="n">
        <x:v>1086284</x:v>
      </x:c>
      <x:c r="H768" s="14" t="n">
        <x:f>INT((F768-D768)*(A768-C768)/(E768-C768))+D768</x:f>
        <x:v>1086284</x:v>
      </x:c>
      <x:c r="I768" s="68" t="n">
        <x:f>H768-G768</x:f>
        <x:v>0</x:v>
      </x:c>
      <x:c r="J768" s="14" t="n">
        <x:v>7072015</x:v>
      </x:c>
      <x:c r="K768" s="14" t="n">
        <x:f>INT(H768*'공식·설정'!$B$10/'공식·설정'!$B$15)</x:f>
        <x:v>7072015</x:v>
      </x:c>
      <x:c r="L768" s="68" t="n">
        <x:f>K768-J768</x:f>
        <x:v>0</x:v>
      </x:c>
      <x:c r="M768" s="65" t="n">
        <x:f>J768/'공식·설정'!$B$7</x:f>
        <x:v>27625.05859375</x:v>
      </x:c>
      <x:c r="N768" s="65" t="n">
        <x:f>K768/'공식·설정'!$B$7</x:f>
        <x:v>27625.05859375</x:v>
      </x:c>
      <x:c r="O768" s="14" t="n">
        <x:v>2763</x:v>
      </x:c>
      <x:c r="P768" s="14" t="n">
        <x:f>MIN(32767,MAX(0,INT((K768+INT('공식·설정'!$B$12/2))/'공식·설정'!$B$12)))</x:f>
        <x:v>2763</x:v>
      </x:c>
      <x:c r="Q768" s="68" t="n">
        <x:f>P768-O768</x:f>
        <x:v>0</x:v>
      </x:c>
      <x:c r="R768" s="14" t="n">
        <x:v>7081728</x:v>
      </x:c>
      <x:c r="S768" s="14" t="n">
        <x:f>P768*'공식·설정'!$B$12+'공식·설정'!$B$14</x:f>
        <x:v>7081728</x:v>
      </x:c>
      <x:c r="T768" s="68" t="n">
        <x:f>S768-R768</x:f>
        <x:v>0</x:v>
      </x:c>
      <x:c r="U768" s="65" t="n">
        <x:f>R768/'공식·설정'!$B$7</x:f>
        <x:v>27663</x:v>
      </x:c>
      <x:c r="V768" s="65" t="n">
        <x:f>S768/'공식·설정'!$B$7</x:f>
        <x:v>27663</x:v>
      </x:c>
      <x:c r="W768" s="14" t="n">
        <x:v>737</x:v>
      </x:c>
      <x:c r="X768" s="14" t="n">
        <x:f>INT(ABS(K769-K768)*'공식·설정'!$B$8/K768)</x:f>
        <x:v>737</x:v>
      </x:c>
      <x:c r="Y768" s="68" t="n">
        <x:f>X768-W768</x:f>
        <x:v>0</x:v>
      </x:c>
      <x:c r="Z768" s="66" t="n">
        <x:f>W768/'공식·설정'!$B$8</x:f>
        <x:v>0.0112457275390625</x:v>
      </x:c>
      <x:c r="AA768" s="66" t="n">
        <x:f>X768/'공식·설정'!$B$8</x:f>
        <x:v>0.0112457275390625</x:v>
      </x:c>
      <x:c r="AB768" s="67" t="str">
        <x:f>IF(AND(I768=0,L768=0,Q768=0,T768=0,Y768=0),"PASS","FAIL")</x:f>
        <x:v>PASS</x:v>
      </x:c>
    </x:row>
    <x:row r="769" ht="18" customHeight="1">
      <x:c r="A769" s="14" t="n">
        <x:v>872</x:v>
      </x:c>
      <x:c r="B769" s="14" t="n">
        <x:v>764</x:v>
      </x:c>
      <x:c r="C769" s="14" t="n">
        <x:v>868</x:v>
      </x:c>
      <x:c r="D769" s="14" t="n">
        <x:v>1049593</x:v>
      </x:c>
      <x:c r="E769" s="14" t="n">
        <x:v>882</x:v>
      </x:c>
      <x:c r="F769" s="14" t="n">
        <x:v>1220819</x:v>
      </x:c>
      <x:c r="G769" s="14" t="n">
        <x:v>1098514</x:v>
      </x:c>
      <x:c r="H769" s="14" t="n">
        <x:f>INT((F769-D769)*(A769-C769)/(E769-C769))+D769</x:f>
        <x:v>1098514</x:v>
      </x:c>
      <x:c r="I769" s="68" t="n">
        <x:f>H769-G769</x:f>
        <x:v>0</x:v>
      </x:c>
      <x:c r="J769" s="14" t="n">
        <x:v>7151635</x:v>
      </x:c>
      <x:c r="K769" s="14" t="n">
        <x:f>INT(H769*'공식·설정'!$B$10/'공식·설정'!$B$15)</x:f>
        <x:v>7151635</x:v>
      </x:c>
      <x:c r="L769" s="68" t="n">
        <x:f>K769-J769</x:f>
        <x:v>0</x:v>
      </x:c>
      <x:c r="M769" s="65" t="n">
        <x:f>J769/'공식·설정'!$B$7</x:f>
        <x:v>27936.07421875</x:v>
      </x:c>
      <x:c r="N769" s="65" t="n">
        <x:f>K769/'공식·설정'!$B$7</x:f>
        <x:v>27936.07421875</x:v>
      </x:c>
      <x:c r="O769" s="14" t="n">
        <x:v>2794</x:v>
      </x:c>
      <x:c r="P769" s="14" t="n">
        <x:f>MIN(32767,MAX(0,INT((K769+INT('공식·설정'!$B$12/2))/'공식·설정'!$B$12)))</x:f>
        <x:v>2794</x:v>
      </x:c>
      <x:c r="Q769" s="68" t="n">
        <x:f>P769-O769</x:f>
        <x:v>0</x:v>
      </x:c>
      <x:c r="R769" s="14" t="n">
        <x:v>7161088</x:v>
      </x:c>
      <x:c r="S769" s="14" t="n">
        <x:f>P769*'공식·설정'!$B$12+'공식·설정'!$B$14</x:f>
        <x:v>7161088</x:v>
      </x:c>
      <x:c r="T769" s="68" t="n">
        <x:f>S769-R769</x:f>
        <x:v>0</x:v>
      </x:c>
      <x:c r="U769" s="65" t="n">
        <x:f>R769/'공식·설정'!$B$7</x:f>
        <x:v>27973</x:v>
      </x:c>
      <x:c r="V769" s="65" t="n">
        <x:f>S769/'공식·설정'!$B$7</x:f>
        <x:v>27973</x:v>
      </x:c>
      <x:c r="W769" s="14" t="n">
        <x:v>729</x:v>
      </x:c>
      <x:c r="X769" s="14" t="n">
        <x:f>INT(ABS(K770-K769)*'공식·설정'!$B$8/K769)</x:f>
        <x:v>729</x:v>
      </x:c>
      <x:c r="Y769" s="68" t="n">
        <x:f>X769-W769</x:f>
        <x:v>0</x:v>
      </x:c>
      <x:c r="Z769" s="66" t="n">
        <x:f>W769/'공식·설정'!$B$8</x:f>
        <x:v>0.0111236572265625</x:v>
      </x:c>
      <x:c r="AA769" s="66" t="n">
        <x:f>X769/'공식·설정'!$B$8</x:f>
        <x:v>0.0111236572265625</x:v>
      </x:c>
      <x:c r="AB769" s="67" t="str">
        <x:f>IF(AND(I769=0,L769=0,Q769=0,T769=0,Y769=0),"PASS","FAIL")</x:f>
        <x:v>PASS</x:v>
      </x:c>
    </x:row>
    <x:row r="770" ht="18" customHeight="1">
      <x:c r="A770" s="14" t="n">
        <x:v>873</x:v>
      </x:c>
      <x:c r="B770" s="14" t="n">
        <x:v>765</x:v>
      </x:c>
      <x:c r="C770" s="14" t="n">
        <x:v>868</x:v>
      </x:c>
      <x:c r="D770" s="14" t="n">
        <x:v>1049593</x:v>
      </x:c>
      <x:c r="E770" s="14" t="n">
        <x:v>882</x:v>
      </x:c>
      <x:c r="F770" s="14" t="n">
        <x:v>1220819</x:v>
      </x:c>
      <x:c r="G770" s="14" t="n">
        <x:v>1110745</x:v>
      </x:c>
      <x:c r="H770" s="14" t="n">
        <x:f>INT((F770-D770)*(A770-C770)/(E770-C770))+D770</x:f>
        <x:v>1110745</x:v>
      </x:c>
      <x:c r="I770" s="68" t="n">
        <x:f>H770-G770</x:f>
        <x:v>0</x:v>
      </x:c>
      <x:c r="J770" s="14" t="n">
        <x:v>7231263</x:v>
      </x:c>
      <x:c r="K770" s="14" t="n">
        <x:f>INT(H770*'공식·설정'!$B$10/'공식·설정'!$B$15)</x:f>
        <x:v>7231263</x:v>
      </x:c>
      <x:c r="L770" s="68" t="n">
        <x:f>K770-J770</x:f>
        <x:v>0</x:v>
      </x:c>
      <x:c r="M770" s="65" t="n">
        <x:f>J770/'공식·설정'!$B$7</x:f>
        <x:v>28247.12109375</x:v>
      </x:c>
      <x:c r="N770" s="65" t="n">
        <x:f>K770/'공식·설정'!$B$7</x:f>
        <x:v>28247.12109375</x:v>
      </x:c>
      <x:c r="O770" s="14" t="n">
        <x:v>2825</x:v>
      </x:c>
      <x:c r="P770" s="14" t="n">
        <x:f>MIN(32767,MAX(0,INT((K770+INT('공식·설정'!$B$12/2))/'공식·설정'!$B$12)))</x:f>
        <x:v>2825</x:v>
      </x:c>
      <x:c r="Q770" s="68" t="n">
        <x:f>P770-O770</x:f>
        <x:v>0</x:v>
      </x:c>
      <x:c r="R770" s="14" t="n">
        <x:v>7240448</x:v>
      </x:c>
      <x:c r="S770" s="14" t="n">
        <x:f>P770*'공식·설정'!$B$12+'공식·설정'!$B$14</x:f>
        <x:v>7240448</x:v>
      </x:c>
      <x:c r="T770" s="68" t="n">
        <x:f>S770-R770</x:f>
        <x:v>0</x:v>
      </x:c>
      <x:c r="U770" s="65" t="n">
        <x:f>R770/'공식·설정'!$B$7</x:f>
        <x:v>28283</x:v>
      </x:c>
      <x:c r="V770" s="65" t="n">
        <x:f>S770/'공식·설정'!$B$7</x:f>
        <x:v>28283</x:v>
      </x:c>
      <x:c r="W770" s="14" t="n">
        <x:v>721</x:v>
      </x:c>
      <x:c r="X770" s="14" t="n">
        <x:f>INT(ABS(K771-K770)*'공식·설정'!$B$8/K770)</x:f>
        <x:v>721</x:v>
      </x:c>
      <x:c r="Y770" s="68" t="n">
        <x:f>X770-W770</x:f>
        <x:v>0</x:v>
      </x:c>
      <x:c r="Z770" s="66" t="n">
        <x:f>W770/'공식·설정'!$B$8</x:f>
        <x:v>0.0110015869140625</x:v>
      </x:c>
      <x:c r="AA770" s="66" t="n">
        <x:f>X770/'공식·설정'!$B$8</x:f>
        <x:v>0.0110015869140625</x:v>
      </x:c>
      <x:c r="AB770" s="67" t="str">
        <x:f>IF(AND(I770=0,L770=0,Q770=0,T770=0,Y770=0),"PASS","FAIL")</x:f>
        <x:v>PASS</x:v>
      </x:c>
    </x:row>
    <x:row r="771" ht="18" customHeight="1">
      <x:c r="A771" s="14" t="n">
        <x:v>874</x:v>
      </x:c>
      <x:c r="B771" s="14" t="n">
        <x:v>766</x:v>
      </x:c>
      <x:c r="C771" s="14" t="n">
        <x:v>868</x:v>
      </x:c>
      <x:c r="D771" s="14" t="n">
        <x:v>1049593</x:v>
      </x:c>
      <x:c r="E771" s="14" t="n">
        <x:v>882</x:v>
      </x:c>
      <x:c r="F771" s="14" t="n">
        <x:v>1220819</x:v>
      </x:c>
      <x:c r="G771" s="14" t="n">
        <x:v>1122975</x:v>
      </x:c>
      <x:c r="H771" s="14" t="n">
        <x:f>INT((F771-D771)*(A771-C771)/(E771-C771))+D771</x:f>
        <x:v>1122975</x:v>
      </x:c>
      <x:c r="I771" s="68" t="n">
        <x:f>H771-G771</x:f>
        <x:v>0</x:v>
      </x:c>
      <x:c r="J771" s="14" t="n">
        <x:v>7310883</x:v>
      </x:c>
      <x:c r="K771" s="14" t="n">
        <x:f>INT(H771*'공식·설정'!$B$10/'공식·설정'!$B$15)</x:f>
        <x:v>7310883</x:v>
      </x:c>
      <x:c r="L771" s="68" t="n">
        <x:f>K771-J771</x:f>
        <x:v>0</x:v>
      </x:c>
      <x:c r="M771" s="65" t="n">
        <x:f>J771/'공식·설정'!$B$7</x:f>
        <x:v>28558.13671875</x:v>
      </x:c>
      <x:c r="N771" s="65" t="n">
        <x:f>K771/'공식·설정'!$B$7</x:f>
        <x:v>28558.13671875</x:v>
      </x:c>
      <x:c r="O771" s="14" t="n">
        <x:v>2856</x:v>
      </x:c>
      <x:c r="P771" s="14" t="n">
        <x:f>MIN(32767,MAX(0,INT((K771+INT('공식·설정'!$B$12/2))/'공식·설정'!$B$12)))</x:f>
        <x:v>2856</x:v>
      </x:c>
      <x:c r="Q771" s="68" t="n">
        <x:f>P771-O771</x:f>
        <x:v>0</x:v>
      </x:c>
      <x:c r="R771" s="14" t="n">
        <x:v>7319808</x:v>
      </x:c>
      <x:c r="S771" s="14" t="n">
        <x:f>P771*'공식·설정'!$B$12+'공식·설정'!$B$14</x:f>
        <x:v>7319808</x:v>
      </x:c>
      <x:c r="T771" s="68" t="n">
        <x:f>S771-R771</x:f>
        <x:v>0</x:v>
      </x:c>
      <x:c r="U771" s="65" t="n">
        <x:f>R771/'공식·설정'!$B$7</x:f>
        <x:v>28593</x:v>
      </x:c>
      <x:c r="V771" s="65" t="n">
        <x:f>S771/'공식·설정'!$B$7</x:f>
        <x:v>28593</x:v>
      </x:c>
      <x:c r="W771" s="14" t="n">
        <x:v>713</x:v>
      </x:c>
      <x:c r="X771" s="14" t="n">
        <x:f>INT(ABS(K772-K771)*'공식·설정'!$B$8/K771)</x:f>
        <x:v>713</x:v>
      </x:c>
      <x:c r="Y771" s="68" t="n">
        <x:f>X771-W771</x:f>
        <x:v>0</x:v>
      </x:c>
      <x:c r="Z771" s="66" t="n">
        <x:f>W771/'공식·설정'!$B$8</x:f>
        <x:v>0.0108795166015625</x:v>
      </x:c>
      <x:c r="AA771" s="66" t="n">
        <x:f>X771/'공식·설정'!$B$8</x:f>
        <x:v>0.0108795166015625</x:v>
      </x:c>
      <x:c r="AB771" s="67" t="str">
        <x:f>IF(AND(I771=0,L771=0,Q771=0,T771=0,Y771=0),"PASS","FAIL")</x:f>
        <x:v>PASS</x:v>
      </x:c>
    </x:row>
    <x:row r="772" ht="18" customHeight="1">
      <x:c r="A772" s="14" t="n">
        <x:v>875</x:v>
      </x:c>
      <x:c r="B772" s="14" t="n">
        <x:v>767</x:v>
      </x:c>
      <x:c r="C772" s="14" t="n">
        <x:v>868</x:v>
      </x:c>
      <x:c r="D772" s="14" t="n">
        <x:v>1049593</x:v>
      </x:c>
      <x:c r="E772" s="14" t="n">
        <x:v>882</x:v>
      </x:c>
      <x:c r="F772" s="14" t="n">
        <x:v>1220819</x:v>
      </x:c>
      <x:c r="G772" s="14" t="n">
        <x:v>1135206</x:v>
      </x:c>
      <x:c r="H772" s="14" t="n">
        <x:f>INT((F772-D772)*(A772-C772)/(E772-C772))+D772</x:f>
        <x:v>1135206</x:v>
      </x:c>
      <x:c r="I772" s="68" t="n">
        <x:f>H772-G772</x:f>
        <x:v>0</x:v>
      </x:c>
      <x:c r="J772" s="14" t="n">
        <x:v>7390511</x:v>
      </x:c>
      <x:c r="K772" s="14" t="n">
        <x:f>INT(H772*'공식·설정'!$B$10/'공식·설정'!$B$15)</x:f>
        <x:v>7390511</x:v>
      </x:c>
      <x:c r="L772" s="68" t="n">
        <x:f>K772-J772</x:f>
        <x:v>0</x:v>
      </x:c>
      <x:c r="M772" s="65" t="n">
        <x:f>J772/'공식·설정'!$B$7</x:f>
        <x:v>28869.18359375</x:v>
      </x:c>
      <x:c r="N772" s="65" t="n">
        <x:f>K772/'공식·설정'!$B$7</x:f>
        <x:v>28869.18359375</x:v>
      </x:c>
      <x:c r="O772" s="14" t="n">
        <x:v>2887</x:v>
      </x:c>
      <x:c r="P772" s="14" t="n">
        <x:f>MIN(32767,MAX(0,INT((K772+INT('공식·설정'!$B$12/2))/'공식·설정'!$B$12)))</x:f>
        <x:v>2887</x:v>
      </x:c>
      <x:c r="Q772" s="68" t="n">
        <x:f>P772-O772</x:f>
        <x:v>0</x:v>
      </x:c>
      <x:c r="R772" s="14" t="n">
        <x:v>7399168</x:v>
      </x:c>
      <x:c r="S772" s="14" t="n">
        <x:f>P772*'공식·설정'!$B$12+'공식·설정'!$B$14</x:f>
        <x:v>7399168</x:v>
      </x:c>
      <x:c r="T772" s="68" t="n">
        <x:f>S772-R772</x:f>
        <x:v>0</x:v>
      </x:c>
      <x:c r="U772" s="65" t="n">
        <x:f>R772/'공식·설정'!$B$7</x:f>
        <x:v>28903</x:v>
      </x:c>
      <x:c r="V772" s="65" t="n">
        <x:f>S772/'공식·설정'!$B$7</x:f>
        <x:v>28903</x:v>
      </x:c>
      <x:c r="W772" s="14" t="n">
        <x:v>706</x:v>
      </x:c>
      <x:c r="X772" s="14" t="n">
        <x:f>INT(ABS(K773-K772)*'공식·설정'!$B$8/K772)</x:f>
        <x:v>706</x:v>
      </x:c>
      <x:c r="Y772" s="68" t="n">
        <x:f>X772-W772</x:f>
        <x:v>0</x:v>
      </x:c>
      <x:c r="Z772" s="66" t="n">
        <x:f>W772/'공식·설정'!$B$8</x:f>
        <x:v>0.010772705078125</x:v>
      </x:c>
      <x:c r="AA772" s="66" t="n">
        <x:f>X772/'공식·설정'!$B$8</x:f>
        <x:v>0.010772705078125</x:v>
      </x:c>
      <x:c r="AB772" s="67" t="str">
        <x:f>IF(AND(I772=0,L772=0,Q772=0,T772=0,Y772=0),"PASS","FAIL")</x:f>
        <x:v>PASS</x:v>
      </x:c>
    </x:row>
    <x:row r="773" ht="18" customHeight="1">
      <x:c r="A773" s="14" t="n">
        <x:v>876</x:v>
      </x:c>
      <x:c r="B773" s="14" t="n">
        <x:v>768</x:v>
      </x:c>
      <x:c r="C773" s="14" t="n">
        <x:v>868</x:v>
      </x:c>
      <x:c r="D773" s="14" t="n">
        <x:v>1049593</x:v>
      </x:c>
      <x:c r="E773" s="14" t="n">
        <x:v>882</x:v>
      </x:c>
      <x:c r="F773" s="14" t="n">
        <x:v>1220819</x:v>
      </x:c>
      <x:c r="G773" s="14" t="n">
        <x:v>1147436</x:v>
      </x:c>
      <x:c r="H773" s="14" t="n">
        <x:f>INT((F773-D773)*(A773-C773)/(E773-C773))+D773</x:f>
        <x:v>1147436</x:v>
      </x:c>
      <x:c r="I773" s="68" t="n">
        <x:f>H773-G773</x:f>
        <x:v>0</x:v>
      </x:c>
      <x:c r="J773" s="14" t="n">
        <x:v>7470131</x:v>
      </x:c>
      <x:c r="K773" s="14" t="n">
        <x:f>INT(H773*'공식·설정'!$B$10/'공식·설정'!$B$15)</x:f>
        <x:v>7470131</x:v>
      </x:c>
      <x:c r="L773" s="68" t="n">
        <x:f>K773-J773</x:f>
        <x:v>0</x:v>
      </x:c>
      <x:c r="M773" s="65" t="n">
        <x:f>J773/'공식·설정'!$B$7</x:f>
        <x:v>29180.19921875</x:v>
      </x:c>
      <x:c r="N773" s="65" t="n">
        <x:f>K773/'공식·설정'!$B$7</x:f>
        <x:v>29180.19921875</x:v>
      </x:c>
      <x:c r="O773" s="14" t="n">
        <x:v>2918</x:v>
      </x:c>
      <x:c r="P773" s="14" t="n">
        <x:f>MIN(32767,MAX(0,INT((K773+INT('공식·설정'!$B$12/2))/'공식·설정'!$B$12)))</x:f>
        <x:v>2918</x:v>
      </x:c>
      <x:c r="Q773" s="68" t="n">
        <x:f>P773-O773</x:f>
        <x:v>0</x:v>
      </x:c>
      <x:c r="R773" s="14" t="n">
        <x:v>7478528</x:v>
      </x:c>
      <x:c r="S773" s="14" t="n">
        <x:f>P773*'공식·설정'!$B$12+'공식·설정'!$B$14</x:f>
        <x:v>7478528</x:v>
      </x:c>
      <x:c r="T773" s="68" t="n">
        <x:f>S773-R773</x:f>
        <x:v>0</x:v>
      </x:c>
      <x:c r="U773" s="65" t="n">
        <x:f>R773/'공식·설정'!$B$7</x:f>
        <x:v>29213</x:v>
      </x:c>
      <x:c r="V773" s="65" t="n">
        <x:f>S773/'공식·설정'!$B$7</x:f>
        <x:v>29213</x:v>
      </x:c>
      <x:c r="W773" s="14" t="n">
        <x:v>698</x:v>
      </x:c>
      <x:c r="X773" s="14" t="n">
        <x:f>INT(ABS(K774-K773)*'공식·설정'!$B$8/K773)</x:f>
        <x:v>698</x:v>
      </x:c>
      <x:c r="Y773" s="68" t="n">
        <x:f>X773-W773</x:f>
        <x:v>0</x:v>
      </x:c>
      <x:c r="Z773" s="66" t="n">
        <x:f>W773/'공식·설정'!$B$8</x:f>
        <x:v>0.010650634765625</x:v>
      </x:c>
      <x:c r="AA773" s="66" t="n">
        <x:f>X773/'공식·설정'!$B$8</x:f>
        <x:v>0.010650634765625</x:v>
      </x:c>
      <x:c r="AB773" s="67" t="str">
        <x:f>IF(AND(I773=0,L773=0,Q773=0,T773=0,Y773=0),"PASS","FAIL")</x:f>
        <x:v>PASS</x:v>
      </x:c>
    </x:row>
    <x:row r="774" ht="18" customHeight="1">
      <x:c r="A774" s="14" t="n">
        <x:v>877</x:v>
      </x:c>
      <x:c r="B774" s="14" t="n">
        <x:v>769</x:v>
      </x:c>
      <x:c r="C774" s="14" t="n">
        <x:v>868</x:v>
      </x:c>
      <x:c r="D774" s="14" t="n">
        <x:v>1049593</x:v>
      </x:c>
      <x:c r="E774" s="14" t="n">
        <x:v>882</x:v>
      </x:c>
      <x:c r="F774" s="14" t="n">
        <x:v>1220819</x:v>
      </x:c>
      <x:c r="G774" s="14" t="n">
        <x:v>1159666</x:v>
      </x:c>
      <x:c r="H774" s="14" t="n">
        <x:f>INT((F774-D774)*(A774-C774)/(E774-C774))+D774</x:f>
        <x:v>1159666</x:v>
      </x:c>
      <x:c r="I774" s="68" t="n">
        <x:f>H774-G774</x:f>
        <x:v>0</x:v>
      </x:c>
      <x:c r="J774" s="14" t="n">
        <x:v>7549752</x:v>
      </x:c>
      <x:c r="K774" s="14" t="n">
        <x:f>INT(H774*'공식·설정'!$B$10/'공식·설정'!$B$15)</x:f>
        <x:v>7549752</x:v>
      </x:c>
      <x:c r="L774" s="68" t="n">
        <x:f>K774-J774</x:f>
        <x:v>0</x:v>
      </x:c>
      <x:c r="M774" s="65" t="n">
        <x:f>J774/'공식·설정'!$B$7</x:f>
        <x:v>29491.21875</x:v>
      </x:c>
      <x:c r="N774" s="65" t="n">
        <x:f>K774/'공식·설정'!$B$7</x:f>
        <x:v>29491.21875</x:v>
      </x:c>
      <x:c r="O774" s="14" t="n">
        <x:v>2949</x:v>
      </x:c>
      <x:c r="P774" s="14" t="n">
        <x:f>MIN(32767,MAX(0,INT((K774+INT('공식·설정'!$B$12/2))/'공식·설정'!$B$12)))</x:f>
        <x:v>2949</x:v>
      </x:c>
      <x:c r="Q774" s="68" t="n">
        <x:f>P774-O774</x:f>
        <x:v>0</x:v>
      </x:c>
      <x:c r="R774" s="14" t="n">
        <x:v>7557888</x:v>
      </x:c>
      <x:c r="S774" s="14" t="n">
        <x:f>P774*'공식·설정'!$B$12+'공식·설정'!$B$14</x:f>
        <x:v>7557888</x:v>
      </x:c>
      <x:c r="T774" s="68" t="n">
        <x:f>S774-R774</x:f>
        <x:v>0</x:v>
      </x:c>
      <x:c r="U774" s="65" t="n">
        <x:f>R774/'공식·설정'!$B$7</x:f>
        <x:v>29523</x:v>
      </x:c>
      <x:c r="V774" s="65" t="n">
        <x:f>S774/'공식·설정'!$B$7</x:f>
        <x:v>29523</x:v>
      </x:c>
      <x:c r="W774" s="14" t="n">
        <x:v>691</x:v>
      </x:c>
      <x:c r="X774" s="14" t="n">
        <x:f>INT(ABS(K775-K774)*'공식·설정'!$B$8/K774)</x:f>
        <x:v>691</x:v>
      </x:c>
      <x:c r="Y774" s="68" t="n">
        <x:f>X774-W774</x:f>
        <x:v>0</x:v>
      </x:c>
      <x:c r="Z774" s="66" t="n">
        <x:f>W774/'공식·설정'!$B$8</x:f>
        <x:v>0.0105438232421875</x:v>
      </x:c>
      <x:c r="AA774" s="66" t="n">
        <x:f>X774/'공식·설정'!$B$8</x:f>
        <x:v>0.0105438232421875</x:v>
      </x:c>
      <x:c r="AB774" s="67" t="str">
        <x:f>IF(AND(I774=0,L774=0,Q774=0,T774=0,Y774=0),"PASS","FAIL")</x:f>
        <x:v>PASS</x:v>
      </x:c>
    </x:row>
    <x:row r="775" ht="18" customHeight="1">
      <x:c r="A775" s="14" t="n">
        <x:v>878</x:v>
      </x:c>
      <x:c r="B775" s="14" t="n">
        <x:v>770</x:v>
      </x:c>
      <x:c r="C775" s="14" t="n">
        <x:v>868</x:v>
      </x:c>
      <x:c r="D775" s="14" t="n">
        <x:v>1049593</x:v>
      </x:c>
      <x:c r="E775" s="14" t="n">
        <x:v>882</x:v>
      </x:c>
      <x:c r="F775" s="14" t="n">
        <x:v>1220819</x:v>
      </x:c>
      <x:c r="G775" s="14" t="n">
        <x:v>1171897</x:v>
      </x:c>
      <x:c r="H775" s="14" t="n">
        <x:f>INT((F775-D775)*(A775-C775)/(E775-C775))+D775</x:f>
        <x:v>1171897</x:v>
      </x:c>
      <x:c r="I775" s="68" t="n">
        <x:f>H775-G775</x:f>
        <x:v>0</x:v>
      </x:c>
      <x:c r="J775" s="14" t="n">
        <x:v>7629379</x:v>
      </x:c>
      <x:c r="K775" s="14" t="n">
        <x:f>INT(H775*'공식·설정'!$B$10/'공식·설정'!$B$15)</x:f>
        <x:v>7629379</x:v>
      </x:c>
      <x:c r="L775" s="68" t="n">
        <x:f>K775-J775</x:f>
        <x:v>0</x:v>
      </x:c>
      <x:c r="M775" s="65" t="n">
        <x:f>J775/'공식·설정'!$B$7</x:f>
        <x:v>29802.26171875</x:v>
      </x:c>
      <x:c r="N775" s="65" t="n">
        <x:f>K775/'공식·설정'!$B$7</x:f>
        <x:v>29802.26171875</x:v>
      </x:c>
      <x:c r="O775" s="14" t="n">
        <x:v>2980</x:v>
      </x:c>
      <x:c r="P775" s="14" t="n">
        <x:f>MIN(32767,MAX(0,INT((K775+INT('공식·설정'!$B$12/2))/'공식·설정'!$B$12)))</x:f>
        <x:v>2980</x:v>
      </x:c>
      <x:c r="Q775" s="68" t="n">
        <x:f>P775-O775</x:f>
        <x:v>0</x:v>
      </x:c>
      <x:c r="R775" s="14" t="n">
        <x:v>7637248</x:v>
      </x:c>
      <x:c r="S775" s="14" t="n">
        <x:f>P775*'공식·설정'!$B$12+'공식·설정'!$B$14</x:f>
        <x:v>7637248</x:v>
      </x:c>
      <x:c r="T775" s="68" t="n">
        <x:f>S775-R775</x:f>
        <x:v>0</x:v>
      </x:c>
      <x:c r="U775" s="65" t="n">
        <x:f>R775/'공식·설정'!$B$7</x:f>
        <x:v>29833</x:v>
      </x:c>
      <x:c r="V775" s="65" t="n">
        <x:f>S775/'공식·설정'!$B$7</x:f>
        <x:v>29833</x:v>
      </x:c>
      <x:c r="W775" s="14" t="n">
        <x:v>683</x:v>
      </x:c>
      <x:c r="X775" s="14" t="n">
        <x:f>INT(ABS(K776-K775)*'공식·설정'!$B$8/K775)</x:f>
        <x:v>683</x:v>
      </x:c>
      <x:c r="Y775" s="68" t="n">
        <x:f>X775-W775</x:f>
        <x:v>0</x:v>
      </x:c>
      <x:c r="Z775" s="66" t="n">
        <x:f>W775/'공식·설정'!$B$8</x:f>
        <x:v>0.0104217529296875</x:v>
      </x:c>
      <x:c r="AA775" s="66" t="n">
        <x:f>X775/'공식·설정'!$B$8</x:f>
        <x:v>0.0104217529296875</x:v>
      </x:c>
      <x:c r="AB775" s="67" t="str">
        <x:f>IF(AND(I775=0,L775=0,Q775=0,T775=0,Y775=0),"PASS","FAIL")</x:f>
        <x:v>PASS</x:v>
      </x:c>
    </x:row>
    <x:row r="776" ht="18" customHeight="1">
      <x:c r="A776" s="14" t="n">
        <x:v>879</x:v>
      </x:c>
      <x:c r="B776" s="14" t="n">
        <x:v>771</x:v>
      </x:c>
      <x:c r="C776" s="14" t="n">
        <x:v>868</x:v>
      </x:c>
      <x:c r="D776" s="14" t="n">
        <x:v>1049593</x:v>
      </x:c>
      <x:c r="E776" s="14" t="n">
        <x:v>882</x:v>
      </x:c>
      <x:c r="F776" s="14" t="n">
        <x:v>1220819</x:v>
      </x:c>
      <x:c r="G776" s="14" t="n">
        <x:v>1184127</x:v>
      </x:c>
      <x:c r="H776" s="14" t="n">
        <x:f>INT((F776-D776)*(A776-C776)/(E776-C776))+D776</x:f>
        <x:v>1184127</x:v>
      </x:c>
      <x:c r="I776" s="68" t="n">
        <x:f>H776-G776</x:f>
        <x:v>0</x:v>
      </x:c>
      <x:c r="J776" s="14" t="n">
        <x:v>7709000</x:v>
      </x:c>
      <x:c r="K776" s="14" t="n">
        <x:f>INT(H776*'공식·설정'!$B$10/'공식·설정'!$B$15)</x:f>
        <x:v>7709000</x:v>
      </x:c>
      <x:c r="L776" s="68" t="n">
        <x:f>K776-J776</x:f>
        <x:v>0</x:v>
      </x:c>
      <x:c r="M776" s="65" t="n">
        <x:f>J776/'공식·설정'!$B$7</x:f>
        <x:v>30113.28125</x:v>
      </x:c>
      <x:c r="N776" s="65" t="n">
        <x:f>K776/'공식·설정'!$B$7</x:f>
        <x:v>30113.28125</x:v>
      </x:c>
      <x:c r="O776" s="14" t="n">
        <x:v>3011</x:v>
      </x:c>
      <x:c r="P776" s="14" t="n">
        <x:f>MIN(32767,MAX(0,INT((K776+INT('공식·설정'!$B$12/2))/'공식·설정'!$B$12)))</x:f>
        <x:v>3011</x:v>
      </x:c>
      <x:c r="Q776" s="68" t="n">
        <x:f>P776-O776</x:f>
        <x:v>0</x:v>
      </x:c>
      <x:c r="R776" s="14" t="n">
        <x:v>7716608</x:v>
      </x:c>
      <x:c r="S776" s="14" t="n">
        <x:f>P776*'공식·설정'!$B$12+'공식·설정'!$B$14</x:f>
        <x:v>7716608</x:v>
      </x:c>
      <x:c r="T776" s="68" t="n">
        <x:f>S776-R776</x:f>
        <x:v>0</x:v>
      </x:c>
      <x:c r="U776" s="65" t="n">
        <x:f>R776/'공식·설정'!$B$7</x:f>
        <x:v>30143</x:v>
      </x:c>
      <x:c r="V776" s="65" t="n">
        <x:f>S776/'공식·설정'!$B$7</x:f>
        <x:v>30143</x:v>
      </x:c>
      <x:c r="W776" s="14" t="n">
        <x:v>676</x:v>
      </x:c>
      <x:c r="X776" s="14" t="n">
        <x:f>INT(ABS(K777-K776)*'공식·설정'!$B$8/K776)</x:f>
        <x:v>676</x:v>
      </x:c>
      <x:c r="Y776" s="68" t="n">
        <x:f>X776-W776</x:f>
        <x:v>0</x:v>
      </x:c>
      <x:c r="Z776" s="66" t="n">
        <x:f>W776/'공식·설정'!$B$8</x:f>
        <x:v>0.01031494140625</x:v>
      </x:c>
      <x:c r="AA776" s="66" t="n">
        <x:f>X776/'공식·설정'!$B$8</x:f>
        <x:v>0.01031494140625</x:v>
      </x:c>
      <x:c r="AB776" s="67" t="str">
        <x:f>IF(AND(I776=0,L776=0,Q776=0,T776=0,Y776=0),"PASS","FAIL")</x:f>
        <x:v>PASS</x:v>
      </x:c>
    </x:row>
    <x:row r="777" ht="18" customHeight="1">
      <x:c r="A777" s="14" t="n">
        <x:v>880</x:v>
      </x:c>
      <x:c r="B777" s="14" t="n">
        <x:v>772</x:v>
      </x:c>
      <x:c r="C777" s="14" t="n">
        <x:v>868</x:v>
      </x:c>
      <x:c r="D777" s="14" t="n">
        <x:v>1049593</x:v>
      </x:c>
      <x:c r="E777" s="14" t="n">
        <x:v>882</x:v>
      </x:c>
      <x:c r="F777" s="14" t="n">
        <x:v>1220819</x:v>
      </x:c>
      <x:c r="G777" s="14" t="n">
        <x:v>1196358</x:v>
      </x:c>
      <x:c r="H777" s="14" t="n">
        <x:f>INT((F777-D777)*(A777-C777)/(E777-C777))+D777</x:f>
        <x:v>1196358</x:v>
      </x:c>
      <x:c r="I777" s="68" t="n">
        <x:f>H777-G777</x:f>
        <x:v>0</x:v>
      </x:c>
      <x:c r="J777" s="14" t="n">
        <x:v>7788627</x:v>
      </x:c>
      <x:c r="K777" s="14" t="n">
        <x:f>INT(H777*'공식·설정'!$B$10/'공식·설정'!$B$15)</x:f>
        <x:v>7788627</x:v>
      </x:c>
      <x:c r="L777" s="68" t="n">
        <x:f>K777-J777</x:f>
        <x:v>0</x:v>
      </x:c>
      <x:c r="M777" s="65" t="n">
        <x:f>J777/'공식·설정'!$B$7</x:f>
        <x:v>30424.32421875</x:v>
      </x:c>
      <x:c r="N777" s="65" t="n">
        <x:f>K777/'공식·설정'!$B$7</x:f>
        <x:v>30424.32421875</x:v>
      </x:c>
      <x:c r="O777" s="14" t="n">
        <x:v>3042</x:v>
      </x:c>
      <x:c r="P777" s="14" t="n">
        <x:f>MIN(32767,MAX(0,INT((K777+INT('공식·설정'!$B$12/2))/'공식·설정'!$B$12)))</x:f>
        <x:v>3042</x:v>
      </x:c>
      <x:c r="Q777" s="68" t="n">
        <x:f>P777-O777</x:f>
        <x:v>0</x:v>
      </x:c>
      <x:c r="R777" s="14" t="n">
        <x:v>7795968</x:v>
      </x:c>
      <x:c r="S777" s="14" t="n">
        <x:f>P777*'공식·설정'!$B$12+'공식·설정'!$B$14</x:f>
        <x:v>7795968</x:v>
      </x:c>
      <x:c r="T777" s="68" t="n">
        <x:f>S777-R777</x:f>
        <x:v>0</x:v>
      </x:c>
      <x:c r="U777" s="65" t="n">
        <x:f>R777/'공식·설정'!$B$7</x:f>
        <x:v>30453</x:v>
      </x:c>
      <x:c r="V777" s="65" t="n">
        <x:f>S777/'공식·설정'!$B$7</x:f>
        <x:v>30453</x:v>
      </x:c>
      <x:c r="W777" s="14" t="n">
        <x:v>669</x:v>
      </x:c>
      <x:c r="X777" s="14" t="n">
        <x:f>INT(ABS(K778-K777)*'공식·설정'!$B$8/K777)</x:f>
        <x:v>669</x:v>
      </x:c>
      <x:c r="Y777" s="68" t="n">
        <x:f>X777-W777</x:f>
        <x:v>0</x:v>
      </x:c>
      <x:c r="Z777" s="66" t="n">
        <x:f>W777/'공식·설정'!$B$8</x:f>
        <x:v>0.0102081298828125</x:v>
      </x:c>
      <x:c r="AA777" s="66" t="n">
        <x:f>X777/'공식·설정'!$B$8</x:f>
        <x:v>0.0102081298828125</x:v>
      </x:c>
      <x:c r="AB777" s="67" t="str">
        <x:f>IF(AND(I777=0,L777=0,Q777=0,T777=0,Y777=0),"PASS","FAIL")</x:f>
        <x:v>PASS</x:v>
      </x:c>
    </x:row>
    <x:row r="778" ht="18" customHeight="1">
      <x:c r="A778" s="14" t="n">
        <x:v>881</x:v>
      </x:c>
      <x:c r="B778" s="14" t="n">
        <x:v>773</x:v>
      </x:c>
      <x:c r="C778" s="14" t="n">
        <x:v>868</x:v>
      </x:c>
      <x:c r="D778" s="14" t="n">
        <x:v>1049593</x:v>
      </x:c>
      <x:c r="E778" s="14" t="n">
        <x:v>882</x:v>
      </x:c>
      <x:c r="F778" s="14" t="n">
        <x:v>1220819</x:v>
      </x:c>
      <x:c r="G778" s="14" t="n">
        <x:v>1208588</x:v>
      </x:c>
      <x:c r="H778" s="14" t="n">
        <x:f>INT((F778-D778)*(A778-C778)/(E778-C778))+D778</x:f>
        <x:v>1208588</x:v>
      </x:c>
      <x:c r="I778" s="68" t="n">
        <x:f>H778-G778</x:f>
        <x:v>0</x:v>
      </x:c>
      <x:c r="J778" s="14" t="n">
        <x:v>7868248</x:v>
      </x:c>
      <x:c r="K778" s="14" t="n">
        <x:f>INT(H778*'공식·설정'!$B$10/'공식·설정'!$B$15)</x:f>
        <x:v>7868248</x:v>
      </x:c>
      <x:c r="L778" s="68" t="n">
        <x:f>K778-J778</x:f>
        <x:v>0</x:v>
      </x:c>
      <x:c r="M778" s="65" t="n">
        <x:f>J778/'공식·설정'!$B$7</x:f>
        <x:v>30735.34375</x:v>
      </x:c>
      <x:c r="N778" s="65" t="n">
        <x:f>K778/'공식·설정'!$B$7</x:f>
        <x:v>30735.34375</x:v>
      </x:c>
      <x:c r="O778" s="14" t="n">
        <x:v>3074</x:v>
      </x:c>
      <x:c r="P778" s="14" t="n">
        <x:f>MIN(32767,MAX(0,INT((K778+INT('공식·설정'!$B$12/2))/'공식·설정'!$B$12)))</x:f>
        <x:v>3074</x:v>
      </x:c>
      <x:c r="Q778" s="68" t="n">
        <x:f>P778-O778</x:f>
        <x:v>0</x:v>
      </x:c>
      <x:c r="R778" s="14" t="n">
        <x:v>7877888</x:v>
      </x:c>
      <x:c r="S778" s="14" t="n">
        <x:f>P778*'공식·설정'!$B$12+'공식·설정'!$B$14</x:f>
        <x:v>7877888</x:v>
      </x:c>
      <x:c r="T778" s="68" t="n">
        <x:f>S778-R778</x:f>
        <x:v>0</x:v>
      </x:c>
      <x:c r="U778" s="65" t="n">
        <x:f>R778/'공식·설정'!$B$7</x:f>
        <x:v>30773</x:v>
      </x:c>
      <x:c r="V778" s="65" t="n">
        <x:f>S778/'공식·설정'!$B$7</x:f>
        <x:v>30773</x:v>
      </x:c>
      <x:c r="W778" s="14" t="n">
        <x:v>663</x:v>
      </x:c>
      <x:c r="X778" s="14" t="n">
        <x:f>INT(ABS(K779-K778)*'공식·설정'!$B$8/K778)</x:f>
        <x:v>663</x:v>
      </x:c>
      <x:c r="Y778" s="68" t="n">
        <x:f>X778-W778</x:f>
        <x:v>0</x:v>
      </x:c>
      <x:c r="Z778" s="66" t="n">
        <x:f>W778/'공식·설정'!$B$8</x:f>
        <x:v>0.0101165771484375</x:v>
      </x:c>
      <x:c r="AA778" s="66" t="n">
        <x:f>X778/'공식·설정'!$B$8</x:f>
        <x:v>0.0101165771484375</x:v>
      </x:c>
      <x:c r="AB778" s="67" t="str">
        <x:f>IF(AND(I778=0,L778=0,Q778=0,T778=0,Y778=0),"PASS","FAIL")</x:f>
        <x:v>PASS</x:v>
      </x:c>
    </x:row>
    <x:row r="779" ht="18" customHeight="1">
      <x:c r="A779" s="14" t="n">
        <x:v>882</x:v>
      </x:c>
      <x:c r="B779" s="14" t="n">
        <x:v>774</x:v>
      </x:c>
      <x:c r="C779" s="14" t="n">
        <x:v>882</x:v>
      </x:c>
      <x:c r="D779" s="14" t="n">
        <x:v>1220819</x:v>
      </x:c>
      <x:c r="E779" s="14" t="n">
        <x:v>896</x:v>
      </x:c>
      <x:c r="F779" s="14" t="n">
        <x:v>1419975</x:v>
      </x:c>
      <x:c r="G779" s="14" t="n">
        <x:v>1220819</x:v>
      </x:c>
      <x:c r="H779" s="14" t="n">
        <x:f>INT((F779-D779)*(A779-C779)/(E779-C779))+D779</x:f>
        <x:v>1220819</x:v>
      </x:c>
      <x:c r="I779" s="68" t="n">
        <x:f>H779-G779</x:f>
        <x:v>0</x:v>
      </x:c>
      <x:c r="J779" s="14" t="n">
        <x:v>7947875</x:v>
      </x:c>
      <x:c r="K779" s="14" t="n">
        <x:f>INT(H779*'공식·설정'!$B$10/'공식·설정'!$B$15)</x:f>
        <x:v>7947875</x:v>
      </x:c>
      <x:c r="L779" s="68" t="n">
        <x:f>K779-J779</x:f>
        <x:v>0</x:v>
      </x:c>
      <x:c r="M779" s="65" t="n">
        <x:f>J779/'공식·설정'!$B$7</x:f>
        <x:v>31046.38671875</x:v>
      </x:c>
      <x:c r="N779" s="65" t="n">
        <x:f>K779/'공식·설정'!$B$7</x:f>
        <x:v>31046.38671875</x:v>
      </x:c>
      <x:c r="O779" s="14" t="n">
        <x:v>3105</x:v>
      </x:c>
      <x:c r="P779" s="14" t="n">
        <x:f>MIN(32767,MAX(0,INT((K779+INT('공식·설정'!$B$12/2))/'공식·설정'!$B$12)))</x:f>
        <x:v>3105</x:v>
      </x:c>
      <x:c r="Q779" s="68" t="n">
        <x:f>P779-O779</x:f>
        <x:v>0</x:v>
      </x:c>
      <x:c r="R779" s="14" t="n">
        <x:v>7957248</x:v>
      </x:c>
      <x:c r="S779" s="14" t="n">
        <x:f>P779*'공식·설정'!$B$12+'공식·설정'!$B$14</x:f>
        <x:v>7957248</x:v>
      </x:c>
      <x:c r="T779" s="68" t="n">
        <x:f>S779-R779</x:f>
        <x:v>0</x:v>
      </x:c>
      <x:c r="U779" s="65" t="n">
        <x:f>R779/'공식·설정'!$B$7</x:f>
        <x:v>31083</x:v>
      </x:c>
      <x:c r="V779" s="65" t="n">
        <x:f>S779/'공식·설정'!$B$7</x:f>
        <x:v>31083</x:v>
      </x:c>
      <x:c r="W779" s="14" t="n">
        <x:v>763</x:v>
      </x:c>
      <x:c r="X779" s="14" t="n">
        <x:f>INT(ABS(K780-K779)*'공식·설정'!$B$8/K779)</x:f>
        <x:v>763</x:v>
      </x:c>
      <x:c r="Y779" s="68" t="n">
        <x:f>X779-W779</x:f>
        <x:v>0</x:v>
      </x:c>
      <x:c r="Z779" s="66" t="n">
        <x:f>W779/'공식·설정'!$B$8</x:f>
        <x:v>0.0116424560546875</x:v>
      </x:c>
      <x:c r="AA779" s="66" t="n">
        <x:f>X779/'공식·설정'!$B$8</x:f>
        <x:v>0.0116424560546875</x:v>
      </x:c>
      <x:c r="AB779" s="67" t="str">
        <x:f>IF(AND(I779=0,L779=0,Q779=0,T779=0,Y779=0),"PASS","FAIL")</x:f>
        <x:v>PASS</x:v>
      </x:c>
    </x:row>
    <x:row r="780" ht="18" customHeight="1">
      <x:c r="A780" s="14" t="n">
        <x:v>883</x:v>
      </x:c>
      <x:c r="B780" s="14" t="n">
        <x:v>775</x:v>
      </x:c>
      <x:c r="C780" s="14" t="n">
        <x:v>882</x:v>
      </x:c>
      <x:c r="D780" s="14" t="n">
        <x:v>1220819</x:v>
      </x:c>
      <x:c r="E780" s="14" t="n">
        <x:v>896</x:v>
      </x:c>
      <x:c r="F780" s="14" t="n">
        <x:v>1419975</x:v>
      </x:c>
      <x:c r="G780" s="14" t="n">
        <x:v>1235044</x:v>
      </x:c>
      <x:c r="H780" s="14" t="n">
        <x:f>INT((F780-D780)*(A780-C780)/(E780-C780))+D780</x:f>
        <x:v>1235044</x:v>
      </x:c>
      <x:c r="I780" s="68" t="n">
        <x:f>H780-G780</x:f>
        <x:v>0</x:v>
      </x:c>
      <x:c r="J780" s="14" t="n">
        <x:v>8040484</x:v>
      </x:c>
      <x:c r="K780" s="14" t="n">
        <x:f>INT(H780*'공식·설정'!$B$10/'공식·설정'!$B$15)</x:f>
        <x:v>8040484</x:v>
      </x:c>
      <x:c r="L780" s="68" t="n">
        <x:f>K780-J780</x:f>
        <x:v>0</x:v>
      </x:c>
      <x:c r="M780" s="65" t="n">
        <x:f>J780/'공식·설정'!$B$7</x:f>
        <x:v>31408.140625</x:v>
      </x:c>
      <x:c r="N780" s="65" t="n">
        <x:f>K780/'공식·설정'!$B$7</x:f>
        <x:v>31408.140625</x:v>
      </x:c>
      <x:c r="O780" s="14" t="n">
        <x:v>3141</x:v>
      </x:c>
      <x:c r="P780" s="14" t="n">
        <x:f>MIN(32767,MAX(0,INT((K780+INT('공식·설정'!$B$12/2))/'공식·설정'!$B$12)))</x:f>
        <x:v>3141</x:v>
      </x:c>
      <x:c r="Q780" s="68" t="n">
        <x:f>P780-O780</x:f>
        <x:v>0</x:v>
      </x:c>
      <x:c r="R780" s="14" t="n">
        <x:v>8049408</x:v>
      </x:c>
      <x:c r="S780" s="14" t="n">
        <x:f>P780*'공식·설정'!$B$12+'공식·설정'!$B$14</x:f>
        <x:v>8049408</x:v>
      </x:c>
      <x:c r="T780" s="68" t="n">
        <x:f>S780-R780</x:f>
        <x:v>0</x:v>
      </x:c>
      <x:c r="U780" s="65" t="n">
        <x:f>R780/'공식·설정'!$B$7</x:f>
        <x:v>31443</x:v>
      </x:c>
      <x:c r="V780" s="65" t="n">
        <x:f>S780/'공식·설정'!$B$7</x:f>
        <x:v>31443</x:v>
      </x:c>
      <x:c r="W780" s="14" t="n">
        <x:v>754</x:v>
      </x:c>
      <x:c r="X780" s="14" t="n">
        <x:f>INT(ABS(K781-K780)*'공식·설정'!$B$8/K780)</x:f>
        <x:v>754</x:v>
      </x:c>
      <x:c r="Y780" s="68" t="n">
        <x:f>X780-W780</x:f>
        <x:v>0</x:v>
      </x:c>
      <x:c r="Z780" s="66" t="n">
        <x:f>W780/'공식·설정'!$B$8</x:f>
        <x:v>0.011505126953125</x:v>
      </x:c>
      <x:c r="AA780" s="66" t="n">
        <x:f>X780/'공식·설정'!$B$8</x:f>
        <x:v>0.011505126953125</x:v>
      </x:c>
      <x:c r="AB780" s="67" t="str">
        <x:f>IF(AND(I780=0,L780=0,Q780=0,T780=0,Y780=0),"PASS","FAIL")</x:f>
        <x:v>PASS</x:v>
      </x:c>
    </x:row>
    <x:row r="781" ht="18" customHeight="1">
      <x:c r="A781" s="14" t="n">
        <x:v>884</x:v>
      </x:c>
      <x:c r="B781" s="14" t="n">
        <x:v>776</x:v>
      </x:c>
      <x:c r="C781" s="14" t="n">
        <x:v>882</x:v>
      </x:c>
      <x:c r="D781" s="14" t="n">
        <x:v>1220819</x:v>
      </x:c>
      <x:c r="E781" s="14" t="n">
        <x:v>896</x:v>
      </x:c>
      <x:c r="F781" s="14" t="n">
        <x:v>1419975</x:v>
      </x:c>
      <x:c r="G781" s="14" t="n">
        <x:v>1249269</x:v>
      </x:c>
      <x:c r="H781" s="14" t="n">
        <x:f>INT((F781-D781)*(A781-C781)/(E781-C781))+D781</x:f>
        <x:v>1249269</x:v>
      </x:c>
      <x:c r="I781" s="68" t="n">
        <x:f>H781-G781</x:f>
        <x:v>0</x:v>
      </x:c>
      <x:c r="J781" s="14" t="n">
        <x:v>8133093</x:v>
      </x:c>
      <x:c r="K781" s="14" t="n">
        <x:f>INT(H781*'공식·설정'!$B$10/'공식·설정'!$B$15)</x:f>
        <x:v>8133093</x:v>
      </x:c>
      <x:c r="L781" s="68" t="n">
        <x:f>K781-J781</x:f>
        <x:v>0</x:v>
      </x:c>
      <x:c r="M781" s="65" t="n">
        <x:f>J781/'공식·설정'!$B$7</x:f>
        <x:v>31769.89453125</x:v>
      </x:c>
      <x:c r="N781" s="65" t="n">
        <x:f>K781/'공식·설정'!$B$7</x:f>
        <x:v>31769.89453125</x:v>
      </x:c>
      <x:c r="O781" s="14" t="n">
        <x:v>3177</x:v>
      </x:c>
      <x:c r="P781" s="14" t="n">
        <x:f>MIN(32767,MAX(0,INT((K781+INT('공식·설정'!$B$12/2))/'공식·설정'!$B$12)))</x:f>
        <x:v>3177</x:v>
      </x:c>
      <x:c r="Q781" s="68" t="n">
        <x:f>P781-O781</x:f>
        <x:v>0</x:v>
      </x:c>
      <x:c r="R781" s="14" t="n">
        <x:v>8141568</x:v>
      </x:c>
      <x:c r="S781" s="14" t="n">
        <x:f>P781*'공식·설정'!$B$12+'공식·설정'!$B$14</x:f>
        <x:v>8141568</x:v>
      </x:c>
      <x:c r="T781" s="68" t="n">
        <x:f>S781-R781</x:f>
        <x:v>0</x:v>
      </x:c>
      <x:c r="U781" s="65" t="n">
        <x:f>R781/'공식·설정'!$B$7</x:f>
        <x:v>31803</x:v>
      </x:c>
      <x:c r="V781" s="65" t="n">
        <x:f>S781/'공식·설정'!$B$7</x:f>
        <x:v>31803</x:v>
      </x:c>
      <x:c r="W781" s="14" t="n">
        <x:v>746</x:v>
      </x:c>
      <x:c r="X781" s="14" t="n">
        <x:f>INT(ABS(K782-K781)*'공식·설정'!$B$8/K781)</x:f>
        <x:v>746</x:v>
      </x:c>
      <x:c r="Y781" s="68" t="n">
        <x:f>X781-W781</x:f>
        <x:v>0</x:v>
      </x:c>
      <x:c r="Z781" s="66" t="n">
        <x:f>W781/'공식·설정'!$B$8</x:f>
        <x:v>0.011383056640625</x:v>
      </x:c>
      <x:c r="AA781" s="66" t="n">
        <x:f>X781/'공식·설정'!$B$8</x:f>
        <x:v>0.011383056640625</x:v>
      </x:c>
      <x:c r="AB781" s="67" t="str">
        <x:f>IF(AND(I781=0,L781=0,Q781=0,T781=0,Y781=0),"PASS","FAIL")</x:f>
        <x:v>PASS</x:v>
      </x:c>
    </x:row>
    <x:row r="782" ht="18" customHeight="1">
      <x:c r="A782" s="14" t="n">
        <x:v>885</x:v>
      </x:c>
      <x:c r="B782" s="14" t="n">
        <x:v>777</x:v>
      </x:c>
      <x:c r="C782" s="14" t="n">
        <x:v>882</x:v>
      </x:c>
      <x:c r="D782" s="14" t="n">
        <x:v>1220819</x:v>
      </x:c>
      <x:c r="E782" s="14" t="n">
        <x:v>896</x:v>
      </x:c>
      <x:c r="F782" s="14" t="n">
        <x:v>1419975</x:v>
      </x:c>
      <x:c r="G782" s="14" t="n">
        <x:v>1263495</x:v>
      </x:c>
      <x:c r="H782" s="14" t="n">
        <x:f>INT((F782-D782)*(A782-C782)/(E782-C782))+D782</x:f>
        <x:v>1263495</x:v>
      </x:c>
      <x:c r="I782" s="68" t="n">
        <x:f>H782-G782</x:f>
        <x:v>0</x:v>
      </x:c>
      <x:c r="J782" s="14" t="n">
        <x:v>8225708</x:v>
      </x:c>
      <x:c r="K782" s="14" t="n">
        <x:f>INT(H782*'공식·설정'!$B$10/'공식·설정'!$B$15)</x:f>
        <x:v>8225708</x:v>
      </x:c>
      <x:c r="L782" s="68" t="n">
        <x:f>K782-J782</x:f>
        <x:v>0</x:v>
      </x:c>
      <x:c r="M782" s="65" t="n">
        <x:f>J782/'공식·설정'!$B$7</x:f>
        <x:v>32131.671875</x:v>
      </x:c>
      <x:c r="N782" s="65" t="n">
        <x:f>K782/'공식·설정'!$B$7</x:f>
        <x:v>32131.671875</x:v>
      </x:c>
      <x:c r="O782" s="14" t="n">
        <x:v>3213</x:v>
      </x:c>
      <x:c r="P782" s="14" t="n">
        <x:f>MIN(32767,MAX(0,INT((K782+INT('공식·설정'!$B$12/2))/'공식·설정'!$B$12)))</x:f>
        <x:v>3213</x:v>
      </x:c>
      <x:c r="Q782" s="68" t="n">
        <x:f>P782-O782</x:f>
        <x:v>0</x:v>
      </x:c>
      <x:c r="R782" s="14" t="n">
        <x:v>8233728</x:v>
      </x:c>
      <x:c r="S782" s="14" t="n">
        <x:f>P782*'공식·설정'!$B$12+'공식·설정'!$B$14</x:f>
        <x:v>8233728</x:v>
      </x:c>
      <x:c r="T782" s="68" t="n">
        <x:f>S782-R782</x:f>
        <x:v>0</x:v>
      </x:c>
      <x:c r="U782" s="65" t="n">
        <x:f>R782/'공식·설정'!$B$7</x:f>
        <x:v>32163</x:v>
      </x:c>
      <x:c r="V782" s="65" t="n">
        <x:f>S782/'공식·설정'!$B$7</x:f>
        <x:v>32163</x:v>
      </x:c>
      <x:c r="W782" s="14" t="n">
        <x:v>737</x:v>
      </x:c>
      <x:c r="X782" s="14" t="n">
        <x:f>INT(ABS(K783-K782)*'공식·설정'!$B$8/K782)</x:f>
        <x:v>737</x:v>
      </x:c>
      <x:c r="Y782" s="68" t="n">
        <x:f>X782-W782</x:f>
        <x:v>0</x:v>
      </x:c>
      <x:c r="Z782" s="66" t="n">
        <x:f>W782/'공식·설정'!$B$8</x:f>
        <x:v>0.0112457275390625</x:v>
      </x:c>
      <x:c r="AA782" s="66" t="n">
        <x:f>X782/'공식·설정'!$B$8</x:f>
        <x:v>0.0112457275390625</x:v>
      </x:c>
      <x:c r="AB782" s="67" t="str">
        <x:f>IF(AND(I782=0,L782=0,Q782=0,T782=0,Y782=0),"PASS","FAIL")</x:f>
        <x:v>PASS</x:v>
      </x:c>
    </x:row>
    <x:row r="783" ht="18" customHeight="1">
      <x:c r="A783" s="14" t="n">
        <x:v>886</x:v>
      </x:c>
      <x:c r="B783" s="14" t="n">
        <x:v>778</x:v>
      </x:c>
      <x:c r="C783" s="14" t="n">
        <x:v>882</x:v>
      </x:c>
      <x:c r="D783" s="14" t="n">
        <x:v>1220819</x:v>
      </x:c>
      <x:c r="E783" s="14" t="n">
        <x:v>896</x:v>
      </x:c>
      <x:c r="F783" s="14" t="n">
        <x:v>1419975</x:v>
      </x:c>
      <x:c r="G783" s="14" t="n">
        <x:v>1277720</x:v>
      </x:c>
      <x:c r="H783" s="14" t="n">
        <x:f>INT((F783-D783)*(A783-C783)/(E783-C783))+D783</x:f>
        <x:v>1277720</x:v>
      </x:c>
      <x:c r="I783" s="68" t="n">
        <x:f>H783-G783</x:f>
        <x:v>0</x:v>
      </x:c>
      <x:c r="J783" s="14" t="n">
        <x:v>8318317</x:v>
      </x:c>
      <x:c r="K783" s="14" t="n">
        <x:f>INT(H783*'공식·설정'!$B$10/'공식·설정'!$B$15)</x:f>
        <x:v>8318317</x:v>
      </x:c>
      <x:c r="L783" s="68" t="n">
        <x:f>K783-J783</x:f>
        <x:v>0</x:v>
      </x:c>
      <x:c r="M783" s="65" t="n">
        <x:f>J783/'공식·설정'!$B$7</x:f>
        <x:v>32493.42578125</x:v>
      </x:c>
      <x:c r="N783" s="65" t="n">
        <x:f>K783/'공식·설정'!$B$7</x:f>
        <x:v>32493.42578125</x:v>
      </x:c>
      <x:c r="O783" s="14" t="n">
        <x:v>3249</x:v>
      </x:c>
      <x:c r="P783" s="14" t="n">
        <x:f>MIN(32767,MAX(0,INT((K783+INT('공식·설정'!$B$12/2))/'공식·설정'!$B$12)))</x:f>
        <x:v>3249</x:v>
      </x:c>
      <x:c r="Q783" s="68" t="n">
        <x:f>P783-O783</x:f>
        <x:v>0</x:v>
      </x:c>
      <x:c r="R783" s="14" t="n">
        <x:v>8325888</x:v>
      </x:c>
      <x:c r="S783" s="14" t="n">
        <x:f>P783*'공식·설정'!$B$12+'공식·설정'!$B$14</x:f>
        <x:v>8325888</x:v>
      </x:c>
      <x:c r="T783" s="68" t="n">
        <x:f>S783-R783</x:f>
        <x:v>0</x:v>
      </x:c>
      <x:c r="U783" s="65" t="n">
        <x:f>R783/'공식·설정'!$B$7</x:f>
        <x:v>32523</x:v>
      </x:c>
      <x:c r="V783" s="65" t="n">
        <x:f>S783/'공식·설정'!$B$7</x:f>
        <x:v>32523</x:v>
      </x:c>
      <x:c r="W783" s="14" t="n">
        <x:v>729</x:v>
      </x:c>
      <x:c r="X783" s="14" t="n">
        <x:f>INT(ABS(K784-K783)*'공식·설정'!$B$8/K783)</x:f>
        <x:v>729</x:v>
      </x:c>
      <x:c r="Y783" s="68" t="n">
        <x:f>X783-W783</x:f>
        <x:v>0</x:v>
      </x:c>
      <x:c r="Z783" s="66" t="n">
        <x:f>W783/'공식·설정'!$B$8</x:f>
        <x:v>0.0111236572265625</x:v>
      </x:c>
      <x:c r="AA783" s="66" t="n">
        <x:f>X783/'공식·설정'!$B$8</x:f>
        <x:v>0.0111236572265625</x:v>
      </x:c>
      <x:c r="AB783" s="67" t="str">
        <x:f>IF(AND(I783=0,L783=0,Q783=0,T783=0,Y783=0),"PASS","FAIL")</x:f>
        <x:v>PASS</x:v>
      </x:c>
    </x:row>
    <x:row r="784" ht="18" customHeight="1">
      <x:c r="A784" s="14" t="n">
        <x:v>887</x:v>
      </x:c>
      <x:c r="B784" s="14" t="n">
        <x:v>779</x:v>
      </x:c>
      <x:c r="C784" s="14" t="n">
        <x:v>882</x:v>
      </x:c>
      <x:c r="D784" s="14" t="n">
        <x:v>1220819</x:v>
      </x:c>
      <x:c r="E784" s="14" t="n">
        <x:v>896</x:v>
      </x:c>
      <x:c r="F784" s="14" t="n">
        <x:v>1419975</x:v>
      </x:c>
      <x:c r="G784" s="14" t="n">
        <x:v>1291946</x:v>
      </x:c>
      <x:c r="H784" s="14" t="n">
        <x:f>INT((F784-D784)*(A784-C784)/(E784-C784))+D784</x:f>
        <x:v>1291946</x:v>
      </x:c>
      <x:c r="I784" s="68" t="n">
        <x:f>H784-G784</x:f>
        <x:v>0</x:v>
      </x:c>
      <x:c r="J784" s="14" t="n">
        <x:v>8410932</x:v>
      </x:c>
      <x:c r="K784" s="14" t="n">
        <x:f>INT(H784*'공식·설정'!$B$10/'공식·설정'!$B$15)</x:f>
        <x:v>8410932</x:v>
      </x:c>
      <x:c r="L784" s="68" t="n">
        <x:f>K784-J784</x:f>
        <x:v>0</x:v>
      </x:c>
      <x:c r="M784" s="65" t="n">
        <x:f>J784/'공식·설정'!$B$7</x:f>
        <x:v>32855.203125</x:v>
      </x:c>
      <x:c r="N784" s="65" t="n">
        <x:f>K784/'공식·설정'!$B$7</x:f>
        <x:v>32855.203125</x:v>
      </x:c>
      <x:c r="O784" s="14" t="n">
        <x:v>3286</x:v>
      </x:c>
      <x:c r="P784" s="14" t="n">
        <x:f>MIN(32767,MAX(0,INT((K784+INT('공식·설정'!$B$12/2))/'공식·설정'!$B$12)))</x:f>
        <x:v>3286</x:v>
      </x:c>
      <x:c r="Q784" s="68" t="n">
        <x:f>P784-O784</x:f>
        <x:v>0</x:v>
      </x:c>
      <x:c r="R784" s="14" t="n">
        <x:v>8420608</x:v>
      </x:c>
      <x:c r="S784" s="14" t="n">
        <x:f>P784*'공식·설정'!$B$12+'공식·설정'!$B$14</x:f>
        <x:v>8420608</x:v>
      </x:c>
      <x:c r="T784" s="68" t="n">
        <x:f>S784-R784</x:f>
        <x:v>0</x:v>
      </x:c>
      <x:c r="U784" s="65" t="n">
        <x:f>R784/'공식·설정'!$B$7</x:f>
        <x:v>32893</x:v>
      </x:c>
      <x:c r="V784" s="65" t="n">
        <x:f>S784/'공식·설정'!$B$7</x:f>
        <x:v>32893</x:v>
      </x:c>
      <x:c r="W784" s="14" t="n">
        <x:v>721</x:v>
      </x:c>
      <x:c r="X784" s="14" t="n">
        <x:f>INT(ABS(K785-K784)*'공식·설정'!$B$8/K784)</x:f>
        <x:v>721</x:v>
      </x:c>
      <x:c r="Y784" s="68" t="n">
        <x:f>X784-W784</x:f>
        <x:v>0</x:v>
      </x:c>
      <x:c r="Z784" s="66" t="n">
        <x:f>W784/'공식·설정'!$B$8</x:f>
        <x:v>0.0110015869140625</x:v>
      </x:c>
      <x:c r="AA784" s="66" t="n">
        <x:f>X784/'공식·설정'!$B$8</x:f>
        <x:v>0.0110015869140625</x:v>
      </x:c>
      <x:c r="AB784" s="67" t="str">
        <x:f>IF(AND(I784=0,L784=0,Q784=0,T784=0,Y784=0),"PASS","FAIL")</x:f>
        <x:v>PASS</x:v>
      </x:c>
    </x:row>
    <x:row r="785" ht="18" customHeight="1">
      <x:c r="A785" s="14" t="n">
        <x:v>888</x:v>
      </x:c>
      <x:c r="B785" s="14" t="n">
        <x:v>780</x:v>
      </x:c>
      <x:c r="C785" s="14" t="n">
        <x:v>882</x:v>
      </x:c>
      <x:c r="D785" s="14" t="n">
        <x:v>1220819</x:v>
      </x:c>
      <x:c r="E785" s="14" t="n">
        <x:v>896</x:v>
      </x:c>
      <x:c r="F785" s="14" t="n">
        <x:v>1419975</x:v>
      </x:c>
      <x:c r="G785" s="14" t="n">
        <x:v>1306171</x:v>
      </x:c>
      <x:c r="H785" s="14" t="n">
        <x:f>INT((F785-D785)*(A785-C785)/(E785-C785))+D785</x:f>
        <x:v>1306171</x:v>
      </x:c>
      <x:c r="I785" s="68" t="n">
        <x:f>H785-G785</x:f>
        <x:v>0</x:v>
      </x:c>
      <x:c r="J785" s="14" t="n">
        <x:v>8503541</x:v>
      </x:c>
      <x:c r="K785" s="14" t="n">
        <x:f>INT(H785*'공식·설정'!$B$10/'공식·설정'!$B$15)</x:f>
        <x:v>8503541</x:v>
      </x:c>
      <x:c r="L785" s="68" t="n">
        <x:f>K785-J785</x:f>
        <x:v>0</x:v>
      </x:c>
      <x:c r="M785" s="65" t="n">
        <x:f>J785/'공식·설정'!$B$7</x:f>
        <x:v>33216.95703125</x:v>
      </x:c>
      <x:c r="N785" s="65" t="n">
        <x:f>K785/'공식·설정'!$B$7</x:f>
        <x:v>33216.95703125</x:v>
      </x:c>
      <x:c r="O785" s="14" t="n">
        <x:v>3322</x:v>
      </x:c>
      <x:c r="P785" s="14" t="n">
        <x:f>MIN(32767,MAX(0,INT((K785+INT('공식·설정'!$B$12/2))/'공식·설정'!$B$12)))</x:f>
        <x:v>3322</x:v>
      </x:c>
      <x:c r="Q785" s="68" t="n">
        <x:f>P785-O785</x:f>
        <x:v>0</x:v>
      </x:c>
      <x:c r="R785" s="14" t="n">
        <x:v>8512768</x:v>
      </x:c>
      <x:c r="S785" s="14" t="n">
        <x:f>P785*'공식·설정'!$B$12+'공식·설정'!$B$14</x:f>
        <x:v>8512768</x:v>
      </x:c>
      <x:c r="T785" s="68" t="n">
        <x:f>S785-R785</x:f>
        <x:v>0</x:v>
      </x:c>
      <x:c r="U785" s="65" t="n">
        <x:f>R785/'공식·설정'!$B$7</x:f>
        <x:v>33253</x:v>
      </x:c>
      <x:c r="V785" s="65" t="n">
        <x:f>S785/'공식·설정'!$B$7</x:f>
        <x:v>33253</x:v>
      </x:c>
      <x:c r="W785" s="14" t="n">
        <x:v>713</x:v>
      </x:c>
      <x:c r="X785" s="14" t="n">
        <x:f>INT(ABS(K786-K785)*'공식·설정'!$B$8/K785)</x:f>
        <x:v>713</x:v>
      </x:c>
      <x:c r="Y785" s="68" t="n">
        <x:f>X785-W785</x:f>
        <x:v>0</x:v>
      </x:c>
      <x:c r="Z785" s="66" t="n">
        <x:f>W785/'공식·설정'!$B$8</x:f>
        <x:v>0.0108795166015625</x:v>
      </x:c>
      <x:c r="AA785" s="66" t="n">
        <x:f>X785/'공식·설정'!$B$8</x:f>
        <x:v>0.0108795166015625</x:v>
      </x:c>
      <x:c r="AB785" s="67" t="str">
        <x:f>IF(AND(I785=0,L785=0,Q785=0,T785=0,Y785=0),"PASS","FAIL")</x:f>
        <x:v>PASS</x:v>
      </x:c>
    </x:row>
    <x:row r="786" ht="18" customHeight="1">
      <x:c r="A786" s="14" t="n">
        <x:v>889</x:v>
      </x:c>
      <x:c r="B786" s="14" t="n">
        <x:v>781</x:v>
      </x:c>
      <x:c r="C786" s="14" t="n">
        <x:v>882</x:v>
      </x:c>
      <x:c r="D786" s="14" t="n">
        <x:v>1220819</x:v>
      </x:c>
      <x:c r="E786" s="14" t="n">
        <x:v>896</x:v>
      </x:c>
      <x:c r="F786" s="14" t="n">
        <x:v>1419975</x:v>
      </x:c>
      <x:c r="G786" s="14" t="n">
        <x:v>1320397</x:v>
      </x:c>
      <x:c r="H786" s="14" t="n">
        <x:f>INT((F786-D786)*(A786-C786)/(E786-C786))+D786</x:f>
        <x:v>1320397</x:v>
      </x:c>
      <x:c r="I786" s="68" t="n">
        <x:f>H786-G786</x:f>
        <x:v>0</x:v>
      </x:c>
      <x:c r="J786" s="14" t="n">
        <x:v>8596156</x:v>
      </x:c>
      <x:c r="K786" s="14" t="n">
        <x:f>INT(H786*'공식·설정'!$B$10/'공식·설정'!$B$15)</x:f>
        <x:v>8596156</x:v>
      </x:c>
      <x:c r="L786" s="68" t="n">
        <x:f>K786-J786</x:f>
        <x:v>0</x:v>
      </x:c>
      <x:c r="M786" s="65" t="n">
        <x:f>J786/'공식·설정'!$B$7</x:f>
        <x:v>33578.734375</x:v>
      </x:c>
      <x:c r="N786" s="65" t="n">
        <x:f>K786/'공식·설정'!$B$7</x:f>
        <x:v>33578.734375</x:v>
      </x:c>
      <x:c r="O786" s="14" t="n">
        <x:v>3358</x:v>
      </x:c>
      <x:c r="P786" s="14" t="n">
        <x:f>MIN(32767,MAX(0,INT((K786+INT('공식·설정'!$B$12/2))/'공식·설정'!$B$12)))</x:f>
        <x:v>3358</x:v>
      </x:c>
      <x:c r="Q786" s="68" t="n">
        <x:f>P786-O786</x:f>
        <x:v>0</x:v>
      </x:c>
      <x:c r="R786" s="14" t="n">
        <x:v>8604928</x:v>
      </x:c>
      <x:c r="S786" s="14" t="n">
        <x:f>P786*'공식·설정'!$B$12+'공식·설정'!$B$14</x:f>
        <x:v>8604928</x:v>
      </x:c>
      <x:c r="T786" s="68" t="n">
        <x:f>S786-R786</x:f>
        <x:v>0</x:v>
      </x:c>
      <x:c r="U786" s="65" t="n">
        <x:f>R786/'공식·설정'!$B$7</x:f>
        <x:v>33613</x:v>
      </x:c>
      <x:c r="V786" s="65" t="n">
        <x:f>S786/'공식·설정'!$B$7</x:f>
        <x:v>33613</x:v>
      </x:c>
      <x:c r="W786" s="14" t="n">
        <x:v>706</x:v>
      </x:c>
      <x:c r="X786" s="14" t="n">
        <x:f>INT(ABS(K787-K786)*'공식·설정'!$B$8/K786)</x:f>
        <x:v>706</x:v>
      </x:c>
      <x:c r="Y786" s="68" t="n">
        <x:f>X786-W786</x:f>
        <x:v>0</x:v>
      </x:c>
      <x:c r="Z786" s="66" t="n">
        <x:f>W786/'공식·설정'!$B$8</x:f>
        <x:v>0.010772705078125</x:v>
      </x:c>
      <x:c r="AA786" s="66" t="n">
        <x:f>X786/'공식·설정'!$B$8</x:f>
        <x:v>0.010772705078125</x:v>
      </x:c>
      <x:c r="AB786" s="67" t="str">
        <x:f>IF(AND(I786=0,L786=0,Q786=0,T786=0,Y786=0),"PASS","FAIL")</x:f>
        <x:v>PASS</x:v>
      </x:c>
    </x:row>
    <x:row r="787" ht="18" customHeight="1">
      <x:c r="A787" s="14" t="n">
        <x:v>890</x:v>
      </x:c>
      <x:c r="B787" s="14" t="n">
        <x:v>782</x:v>
      </x:c>
      <x:c r="C787" s="14" t="n">
        <x:v>882</x:v>
      </x:c>
      <x:c r="D787" s="14" t="n">
        <x:v>1220819</x:v>
      </x:c>
      <x:c r="E787" s="14" t="n">
        <x:v>896</x:v>
      </x:c>
      <x:c r="F787" s="14" t="n">
        <x:v>1419975</x:v>
      </x:c>
      <x:c r="G787" s="14" t="n">
        <x:v>1334622</x:v>
      </x:c>
      <x:c r="H787" s="14" t="n">
        <x:f>INT((F787-D787)*(A787-C787)/(E787-C787))+D787</x:f>
        <x:v>1334622</x:v>
      </x:c>
      <x:c r="I787" s="68" t="n">
        <x:f>H787-G787</x:f>
        <x:v>0</x:v>
      </x:c>
      <x:c r="J787" s="14" t="n">
        <x:v>8688765</x:v>
      </x:c>
      <x:c r="K787" s="14" t="n">
        <x:f>INT(H787*'공식·설정'!$B$10/'공식·설정'!$B$15)</x:f>
        <x:v>8688765</x:v>
      </x:c>
      <x:c r="L787" s="68" t="n">
        <x:f>K787-J787</x:f>
        <x:v>0</x:v>
      </x:c>
      <x:c r="M787" s="65" t="n">
        <x:f>J787/'공식·설정'!$B$7</x:f>
        <x:v>33940.48828125</x:v>
      </x:c>
      <x:c r="N787" s="65" t="n">
        <x:f>K787/'공식·설정'!$B$7</x:f>
        <x:v>33940.48828125</x:v>
      </x:c>
      <x:c r="O787" s="14" t="n">
        <x:v>3394</x:v>
      </x:c>
      <x:c r="P787" s="14" t="n">
        <x:f>MIN(32767,MAX(0,INT((K787+INT('공식·설정'!$B$12/2))/'공식·설정'!$B$12)))</x:f>
        <x:v>3394</x:v>
      </x:c>
      <x:c r="Q787" s="68" t="n">
        <x:f>P787-O787</x:f>
        <x:v>0</x:v>
      </x:c>
      <x:c r="R787" s="14" t="n">
        <x:v>8697088</x:v>
      </x:c>
      <x:c r="S787" s="14" t="n">
        <x:f>P787*'공식·설정'!$B$12+'공식·설정'!$B$14</x:f>
        <x:v>8697088</x:v>
      </x:c>
      <x:c r="T787" s="68" t="n">
        <x:f>S787-R787</x:f>
        <x:v>0</x:v>
      </x:c>
      <x:c r="U787" s="65" t="n">
        <x:f>R787/'공식·설정'!$B$7</x:f>
        <x:v>33973</x:v>
      </x:c>
      <x:c r="V787" s="65" t="n">
        <x:f>S787/'공식·설정'!$B$7</x:f>
        <x:v>33973</x:v>
      </x:c>
      <x:c r="W787" s="14" t="n">
        <x:v>698</x:v>
      </x:c>
      <x:c r="X787" s="14" t="n">
        <x:f>INT(ABS(K788-K787)*'공식·설정'!$B$8/K787)</x:f>
        <x:v>698</x:v>
      </x:c>
      <x:c r="Y787" s="68" t="n">
        <x:f>X787-W787</x:f>
        <x:v>0</x:v>
      </x:c>
      <x:c r="Z787" s="66" t="n">
        <x:f>W787/'공식·설정'!$B$8</x:f>
        <x:v>0.010650634765625</x:v>
      </x:c>
      <x:c r="AA787" s="66" t="n">
        <x:f>X787/'공식·설정'!$B$8</x:f>
        <x:v>0.010650634765625</x:v>
      </x:c>
      <x:c r="AB787" s="67" t="str">
        <x:f>IF(AND(I787=0,L787=0,Q787=0,T787=0,Y787=0),"PASS","FAIL")</x:f>
        <x:v>PASS</x:v>
      </x:c>
    </x:row>
    <x:row r="788" ht="18" customHeight="1">
      <x:c r="A788" s="14" t="n">
        <x:v>891</x:v>
      </x:c>
      <x:c r="B788" s="14" t="n">
        <x:v>783</x:v>
      </x:c>
      <x:c r="C788" s="14" t="n">
        <x:v>882</x:v>
      </x:c>
      <x:c r="D788" s="14" t="n">
        <x:v>1220819</x:v>
      </x:c>
      <x:c r="E788" s="14" t="n">
        <x:v>896</x:v>
      </x:c>
      <x:c r="F788" s="14" t="n">
        <x:v>1419975</x:v>
      </x:c>
      <x:c r="G788" s="14" t="n">
        <x:v>1348847</x:v>
      </x:c>
      <x:c r="H788" s="14" t="n">
        <x:f>INT((F788-D788)*(A788-C788)/(E788-C788))+D788</x:f>
        <x:v>1348847</x:v>
      </x:c>
      <x:c r="I788" s="68" t="n">
        <x:f>H788-G788</x:f>
        <x:v>0</x:v>
      </x:c>
      <x:c r="J788" s="14" t="n">
        <x:v>8781374</x:v>
      </x:c>
      <x:c r="K788" s="14" t="n">
        <x:f>INT(H788*'공식·설정'!$B$10/'공식·설정'!$B$15)</x:f>
        <x:v>8781374</x:v>
      </x:c>
      <x:c r="L788" s="68" t="n">
        <x:f>K788-J788</x:f>
        <x:v>0</x:v>
      </x:c>
      <x:c r="M788" s="65" t="n">
        <x:f>J788/'공식·설정'!$B$7</x:f>
        <x:v>34302.2421875</x:v>
      </x:c>
      <x:c r="N788" s="65" t="n">
        <x:f>K788/'공식·설정'!$B$7</x:f>
        <x:v>34302.2421875</x:v>
      </x:c>
      <x:c r="O788" s="14" t="n">
        <x:v>3430</x:v>
      </x:c>
      <x:c r="P788" s="14" t="n">
        <x:f>MIN(32767,MAX(0,INT((K788+INT('공식·설정'!$B$12/2))/'공식·설정'!$B$12)))</x:f>
        <x:v>3430</x:v>
      </x:c>
      <x:c r="Q788" s="68" t="n">
        <x:f>P788-O788</x:f>
        <x:v>0</x:v>
      </x:c>
      <x:c r="R788" s="14" t="n">
        <x:v>8789248</x:v>
      </x:c>
      <x:c r="S788" s="14" t="n">
        <x:f>P788*'공식·설정'!$B$12+'공식·설정'!$B$14</x:f>
        <x:v>8789248</x:v>
      </x:c>
      <x:c r="T788" s="68" t="n">
        <x:f>S788-R788</x:f>
        <x:v>0</x:v>
      </x:c>
      <x:c r="U788" s="65" t="n">
        <x:f>R788/'공식·설정'!$B$7</x:f>
        <x:v>34333</x:v>
      </x:c>
      <x:c r="V788" s="65" t="n">
        <x:f>S788/'공식·설정'!$B$7</x:f>
        <x:v>34333</x:v>
      </x:c>
      <x:c r="W788" s="14" t="n">
        <x:v>691</x:v>
      </x:c>
      <x:c r="X788" s="14" t="n">
        <x:f>INT(ABS(K789-K788)*'공식·설정'!$B$8/K788)</x:f>
        <x:v>691</x:v>
      </x:c>
      <x:c r="Y788" s="68" t="n">
        <x:f>X788-W788</x:f>
        <x:v>0</x:v>
      </x:c>
      <x:c r="Z788" s="66" t="n">
        <x:f>W788/'공식·설정'!$B$8</x:f>
        <x:v>0.0105438232421875</x:v>
      </x:c>
      <x:c r="AA788" s="66" t="n">
        <x:f>X788/'공식·설정'!$B$8</x:f>
        <x:v>0.0105438232421875</x:v>
      </x:c>
      <x:c r="AB788" s="67" t="str">
        <x:f>IF(AND(I788=0,L788=0,Q788=0,T788=0,Y788=0),"PASS","FAIL")</x:f>
        <x:v>PASS</x:v>
      </x:c>
    </x:row>
    <x:row r="789" ht="18" customHeight="1">
      <x:c r="A789" s="14" t="n">
        <x:v>892</x:v>
      </x:c>
      <x:c r="B789" s="14" t="n">
        <x:v>784</x:v>
      </x:c>
      <x:c r="C789" s="14" t="n">
        <x:v>882</x:v>
      </x:c>
      <x:c r="D789" s="14" t="n">
        <x:v>1220819</x:v>
      </x:c>
      <x:c r="E789" s="14" t="n">
        <x:v>896</x:v>
      </x:c>
      <x:c r="F789" s="14" t="n">
        <x:v>1419975</x:v>
      </x:c>
      <x:c r="G789" s="14" t="n">
        <x:v>1363073</x:v>
      </x:c>
      <x:c r="H789" s="14" t="n">
        <x:f>INT((F789-D789)*(A789-C789)/(E789-C789))+D789</x:f>
        <x:v>1363073</x:v>
      </x:c>
      <x:c r="I789" s="68" t="n">
        <x:f>H789-G789</x:f>
        <x:v>0</x:v>
      </x:c>
      <x:c r="J789" s="14" t="n">
        <x:v>8873989</x:v>
      </x:c>
      <x:c r="K789" s="14" t="n">
        <x:f>INT(H789*'공식·설정'!$B$10/'공식·설정'!$B$15)</x:f>
        <x:v>8873989</x:v>
      </x:c>
      <x:c r="L789" s="68" t="n">
        <x:f>K789-J789</x:f>
        <x:v>0</x:v>
      </x:c>
      <x:c r="M789" s="65" t="n">
        <x:f>J789/'공식·설정'!$B$7</x:f>
        <x:v>34664.01953125</x:v>
      </x:c>
      <x:c r="N789" s="65" t="n">
        <x:f>K789/'공식·설정'!$B$7</x:f>
        <x:v>34664.01953125</x:v>
      </x:c>
      <x:c r="O789" s="14" t="n">
        <x:v>3466</x:v>
      </x:c>
      <x:c r="P789" s="14" t="n">
        <x:f>MIN(32767,MAX(0,INT((K789+INT('공식·설정'!$B$12/2))/'공식·설정'!$B$12)))</x:f>
        <x:v>3466</x:v>
      </x:c>
      <x:c r="Q789" s="68" t="n">
        <x:f>P789-O789</x:f>
        <x:v>0</x:v>
      </x:c>
      <x:c r="R789" s="14" t="n">
        <x:v>8881408</x:v>
      </x:c>
      <x:c r="S789" s="14" t="n">
        <x:f>P789*'공식·설정'!$B$12+'공식·설정'!$B$14</x:f>
        <x:v>8881408</x:v>
      </x:c>
      <x:c r="T789" s="68" t="n">
        <x:f>S789-R789</x:f>
        <x:v>0</x:v>
      </x:c>
      <x:c r="U789" s="65" t="n">
        <x:f>R789/'공식·설정'!$B$7</x:f>
        <x:v>34693</x:v>
      </x:c>
      <x:c r="V789" s="65" t="n">
        <x:f>S789/'공식·설정'!$B$7</x:f>
        <x:v>34693</x:v>
      </x:c>
      <x:c r="W789" s="14" t="n">
        <x:v>683</x:v>
      </x:c>
      <x:c r="X789" s="14" t="n">
        <x:f>INT(ABS(K790-K789)*'공식·설정'!$B$8/K789)</x:f>
        <x:v>683</x:v>
      </x:c>
      <x:c r="Y789" s="68" t="n">
        <x:f>X789-W789</x:f>
        <x:v>0</x:v>
      </x:c>
      <x:c r="Z789" s="66" t="n">
        <x:f>W789/'공식·설정'!$B$8</x:f>
        <x:v>0.0104217529296875</x:v>
      </x:c>
      <x:c r="AA789" s="66" t="n">
        <x:f>X789/'공식·설정'!$B$8</x:f>
        <x:v>0.0104217529296875</x:v>
      </x:c>
      <x:c r="AB789" s="67" t="str">
        <x:f>IF(AND(I789=0,L789=0,Q789=0,T789=0,Y789=0),"PASS","FAIL")</x:f>
        <x:v>PASS</x:v>
      </x:c>
    </x:row>
    <x:row r="790" ht="18" customHeight="1">
      <x:c r="A790" s="14" t="n">
        <x:v>893</x:v>
      </x:c>
      <x:c r="B790" s="14" t="n">
        <x:v>785</x:v>
      </x:c>
      <x:c r="C790" s="14" t="n">
        <x:v>882</x:v>
      </x:c>
      <x:c r="D790" s="14" t="n">
        <x:v>1220819</x:v>
      </x:c>
      <x:c r="E790" s="14" t="n">
        <x:v>896</x:v>
      </x:c>
      <x:c r="F790" s="14" t="n">
        <x:v>1419975</x:v>
      </x:c>
      <x:c r="G790" s="14" t="n">
        <x:v>1377298</x:v>
      </x:c>
      <x:c r="H790" s="14" t="n">
        <x:f>INT((F790-D790)*(A790-C790)/(E790-C790))+D790</x:f>
        <x:v>1377298</x:v>
      </x:c>
      <x:c r="I790" s="68" t="n">
        <x:f>H790-G790</x:f>
        <x:v>0</x:v>
      </x:c>
      <x:c r="J790" s="14" t="n">
        <x:v>8966598</x:v>
      </x:c>
      <x:c r="K790" s="14" t="n">
        <x:f>INT(H790*'공식·설정'!$B$10/'공식·설정'!$B$15)</x:f>
        <x:v>8966598</x:v>
      </x:c>
      <x:c r="L790" s="68" t="n">
        <x:f>K790-J790</x:f>
        <x:v>0</x:v>
      </x:c>
      <x:c r="M790" s="65" t="n">
        <x:f>J790/'공식·설정'!$B$7</x:f>
        <x:v>35025.7734375</x:v>
      </x:c>
      <x:c r="N790" s="65" t="n">
        <x:f>K790/'공식·설정'!$B$7</x:f>
        <x:v>35025.7734375</x:v>
      </x:c>
      <x:c r="O790" s="14" t="n">
        <x:v>3503</x:v>
      </x:c>
      <x:c r="P790" s="14" t="n">
        <x:f>MIN(32767,MAX(0,INT((K790+INT('공식·설정'!$B$12/2))/'공식·설정'!$B$12)))</x:f>
        <x:v>3503</x:v>
      </x:c>
      <x:c r="Q790" s="68" t="n">
        <x:f>P790-O790</x:f>
        <x:v>0</x:v>
      </x:c>
      <x:c r="R790" s="14" t="n">
        <x:v>8976128</x:v>
      </x:c>
      <x:c r="S790" s="14" t="n">
        <x:f>P790*'공식·설정'!$B$12+'공식·설정'!$B$14</x:f>
        <x:v>8976128</x:v>
      </x:c>
      <x:c r="T790" s="68" t="n">
        <x:f>S790-R790</x:f>
        <x:v>0</x:v>
      </x:c>
      <x:c r="U790" s="65" t="n">
        <x:f>R790/'공식·설정'!$B$7</x:f>
        <x:v>35063</x:v>
      </x:c>
      <x:c r="V790" s="65" t="n">
        <x:f>S790/'공식·설정'!$B$7</x:f>
        <x:v>35063</x:v>
      </x:c>
      <x:c r="W790" s="14" t="n">
        <x:v>676</x:v>
      </x:c>
      <x:c r="X790" s="14" t="n">
        <x:f>INT(ABS(K791-K790)*'공식·설정'!$B$8/K790)</x:f>
        <x:v>676</x:v>
      </x:c>
      <x:c r="Y790" s="68" t="n">
        <x:f>X790-W790</x:f>
        <x:v>0</x:v>
      </x:c>
      <x:c r="Z790" s="66" t="n">
        <x:f>W790/'공식·설정'!$B$8</x:f>
        <x:v>0.01031494140625</x:v>
      </x:c>
      <x:c r="AA790" s="66" t="n">
        <x:f>X790/'공식·설정'!$B$8</x:f>
        <x:v>0.01031494140625</x:v>
      </x:c>
      <x:c r="AB790" s="67" t="str">
        <x:f>IF(AND(I790=0,L790=0,Q790=0,T790=0,Y790=0),"PASS","FAIL")</x:f>
        <x:v>PASS</x:v>
      </x:c>
    </x:row>
    <x:row r="791" ht="18" customHeight="1">
      <x:c r="A791" s="14" t="n">
        <x:v>894</x:v>
      </x:c>
      <x:c r="B791" s="14" t="n">
        <x:v>786</x:v>
      </x:c>
      <x:c r="C791" s="14" t="n">
        <x:v>882</x:v>
      </x:c>
      <x:c r="D791" s="14" t="n">
        <x:v>1220819</x:v>
      </x:c>
      <x:c r="E791" s="14" t="n">
        <x:v>896</x:v>
      </x:c>
      <x:c r="F791" s="14" t="n">
        <x:v>1419975</x:v>
      </x:c>
      <x:c r="G791" s="14" t="n">
        <x:v>1391524</x:v>
      </x:c>
      <x:c r="H791" s="14" t="n">
        <x:f>INT((F791-D791)*(A791-C791)/(E791-C791))+D791</x:f>
        <x:v>1391524</x:v>
      </x:c>
      <x:c r="I791" s="68" t="n">
        <x:f>H791-G791</x:f>
        <x:v>0</x:v>
      </x:c>
      <x:c r="J791" s="14" t="n">
        <x:v>9059213</x:v>
      </x:c>
      <x:c r="K791" s="14" t="n">
        <x:f>INT(H791*'공식·설정'!$B$10/'공식·설정'!$B$15)</x:f>
        <x:v>9059213</x:v>
      </x:c>
      <x:c r="L791" s="68" t="n">
        <x:f>K791-J791</x:f>
        <x:v>0</x:v>
      </x:c>
      <x:c r="M791" s="65" t="n">
        <x:f>J791/'공식·설정'!$B$7</x:f>
        <x:v>35387.55078125</x:v>
      </x:c>
      <x:c r="N791" s="65" t="n">
        <x:f>K791/'공식·설정'!$B$7</x:f>
        <x:v>35387.55078125</x:v>
      </x:c>
      <x:c r="O791" s="14" t="n">
        <x:v>3539</x:v>
      </x:c>
      <x:c r="P791" s="14" t="n">
        <x:f>MIN(32767,MAX(0,INT((K791+INT('공식·설정'!$B$12/2))/'공식·설정'!$B$12)))</x:f>
        <x:v>3539</x:v>
      </x:c>
      <x:c r="Q791" s="68" t="n">
        <x:f>P791-O791</x:f>
        <x:v>0</x:v>
      </x:c>
      <x:c r="R791" s="14" t="n">
        <x:v>9068288</x:v>
      </x:c>
      <x:c r="S791" s="14" t="n">
        <x:f>P791*'공식·설정'!$B$12+'공식·설정'!$B$14</x:f>
        <x:v>9068288</x:v>
      </x:c>
      <x:c r="T791" s="68" t="n">
        <x:f>S791-R791</x:f>
        <x:v>0</x:v>
      </x:c>
      <x:c r="U791" s="65" t="n">
        <x:f>R791/'공식·설정'!$B$7</x:f>
        <x:v>35423</x:v>
      </x:c>
      <x:c r="V791" s="65" t="n">
        <x:f>S791/'공식·설정'!$B$7</x:f>
        <x:v>35423</x:v>
      </x:c>
      <x:c r="W791" s="14" t="n">
        <x:v>669</x:v>
      </x:c>
      <x:c r="X791" s="14" t="n">
        <x:f>INT(ABS(K792-K791)*'공식·설정'!$B$8/K791)</x:f>
        <x:v>669</x:v>
      </x:c>
      <x:c r="Y791" s="68" t="n">
        <x:f>X791-W791</x:f>
        <x:v>0</x:v>
      </x:c>
      <x:c r="Z791" s="66" t="n">
        <x:f>W791/'공식·설정'!$B$8</x:f>
        <x:v>0.0102081298828125</x:v>
      </x:c>
      <x:c r="AA791" s="66" t="n">
        <x:f>X791/'공식·설정'!$B$8</x:f>
        <x:v>0.0102081298828125</x:v>
      </x:c>
      <x:c r="AB791" s="67" t="str">
        <x:f>IF(AND(I791=0,L791=0,Q791=0,T791=0,Y791=0),"PASS","FAIL")</x:f>
        <x:v>PASS</x:v>
      </x:c>
    </x:row>
    <x:row r="792" ht="18" customHeight="1">
      <x:c r="A792" s="14" t="n">
        <x:v>895</x:v>
      </x:c>
      <x:c r="B792" s="14" t="n">
        <x:v>787</x:v>
      </x:c>
      <x:c r="C792" s="14" t="n">
        <x:v>882</x:v>
      </x:c>
      <x:c r="D792" s="14" t="n">
        <x:v>1220819</x:v>
      </x:c>
      <x:c r="E792" s="14" t="n">
        <x:v>896</x:v>
      </x:c>
      <x:c r="F792" s="14" t="n">
        <x:v>1419975</x:v>
      </x:c>
      <x:c r="G792" s="14" t="n">
        <x:v>1405749</x:v>
      </x:c>
      <x:c r="H792" s="14" t="n">
        <x:f>INT((F792-D792)*(A792-C792)/(E792-C792))+D792</x:f>
        <x:v>1405749</x:v>
      </x:c>
      <x:c r="I792" s="68" t="n">
        <x:f>H792-G792</x:f>
        <x:v>0</x:v>
      </x:c>
      <x:c r="J792" s="14" t="n">
        <x:v>9151822</x:v>
      </x:c>
      <x:c r="K792" s="14" t="n">
        <x:f>INT(H792*'공식·설정'!$B$10/'공식·설정'!$B$15)</x:f>
        <x:v>9151822</x:v>
      </x:c>
      <x:c r="L792" s="68" t="n">
        <x:f>K792-J792</x:f>
        <x:v>0</x:v>
      </x:c>
      <x:c r="M792" s="65" t="n">
        <x:f>J792/'공식·설정'!$B$7</x:f>
        <x:v>35749.3046875</x:v>
      </x:c>
      <x:c r="N792" s="65" t="n">
        <x:f>K792/'공식·설정'!$B$7</x:f>
        <x:v>35749.3046875</x:v>
      </x:c>
      <x:c r="O792" s="14" t="n">
        <x:v>3575</x:v>
      </x:c>
      <x:c r="P792" s="14" t="n">
        <x:f>MIN(32767,MAX(0,INT((K792+INT('공식·설정'!$B$12/2))/'공식·설정'!$B$12)))</x:f>
        <x:v>3575</x:v>
      </x:c>
      <x:c r="Q792" s="68" t="n">
        <x:f>P792-O792</x:f>
        <x:v>0</x:v>
      </x:c>
      <x:c r="R792" s="14" t="n">
        <x:v>9160448</x:v>
      </x:c>
      <x:c r="S792" s="14" t="n">
        <x:f>P792*'공식·설정'!$B$12+'공식·설정'!$B$14</x:f>
        <x:v>9160448</x:v>
      </x:c>
      <x:c r="T792" s="68" t="n">
        <x:f>S792-R792</x:f>
        <x:v>0</x:v>
      </x:c>
      <x:c r="U792" s="65" t="n">
        <x:f>R792/'공식·설정'!$B$7</x:f>
        <x:v>35783</x:v>
      </x:c>
      <x:c r="V792" s="65" t="n">
        <x:f>S792/'공식·설정'!$B$7</x:f>
        <x:v>35783</x:v>
      </x:c>
      <x:c r="W792" s="14" t="n">
        <x:v>663</x:v>
      </x:c>
      <x:c r="X792" s="14" t="n">
        <x:f>INT(ABS(K793-K792)*'공식·설정'!$B$8/K792)</x:f>
        <x:v>663</x:v>
      </x:c>
      <x:c r="Y792" s="68" t="n">
        <x:f>X792-W792</x:f>
        <x:v>0</x:v>
      </x:c>
      <x:c r="Z792" s="66" t="n">
        <x:f>W792/'공식·설정'!$B$8</x:f>
        <x:v>0.0101165771484375</x:v>
      </x:c>
      <x:c r="AA792" s="66" t="n">
        <x:f>X792/'공식·설정'!$B$8</x:f>
        <x:v>0.0101165771484375</x:v>
      </x:c>
      <x:c r="AB792" s="67" t="str">
        <x:f>IF(AND(I792=0,L792=0,Q792=0,T792=0,Y792=0),"PASS","FAIL")</x:f>
        <x:v>PASS</x:v>
      </x:c>
    </x:row>
    <x:row r="793" ht="18" customHeight="1">
      <x:c r="A793" s="14" t="n">
        <x:v>896</x:v>
      </x:c>
      <x:c r="B793" s="14" t="n">
        <x:v>788</x:v>
      </x:c>
      <x:c r="C793" s="14" t="n">
        <x:v>896</x:v>
      </x:c>
      <x:c r="D793" s="14" t="n">
        <x:v>1419975</x:v>
      </x:c>
      <x:c r="E793" s="14" t="n">
        <x:v>910</x:v>
      </x:c>
      <x:c r="F793" s="14" t="n">
        <x:v>1651617</x:v>
      </x:c>
      <x:c r="G793" s="14" t="n">
        <x:v>1419975</x:v>
      </x:c>
      <x:c r="H793" s="14" t="n">
        <x:f>INT((F793-D793)*(A793-C793)/(E793-C793))+D793</x:f>
        <x:v>1419975</x:v>
      </x:c>
      <x:c r="I793" s="68" t="n">
        <x:f>H793-G793</x:f>
        <x:v>0</x:v>
      </x:c>
      <x:c r="J793" s="14" t="n">
        <x:v>9244437</x:v>
      </x:c>
      <x:c r="K793" s="14" t="n">
        <x:f>INT(H793*'공식·설정'!$B$10/'공식·설정'!$B$15)</x:f>
        <x:v>9244437</x:v>
      </x:c>
      <x:c r="L793" s="68" t="n">
        <x:f>K793-J793</x:f>
        <x:v>0</x:v>
      </x:c>
      <x:c r="M793" s="65" t="n">
        <x:f>J793/'공식·설정'!$B$7</x:f>
        <x:v>36111.08203125</x:v>
      </x:c>
      <x:c r="N793" s="65" t="n">
        <x:f>K793/'공식·설정'!$B$7</x:f>
        <x:v>36111.08203125</x:v>
      </x:c>
      <x:c r="O793" s="14" t="n">
        <x:v>3611</x:v>
      </x:c>
      <x:c r="P793" s="14" t="n">
        <x:f>MIN(32767,MAX(0,INT((K793+INT('공식·설정'!$B$12/2))/'공식·설정'!$B$12)))</x:f>
        <x:v>3611</x:v>
      </x:c>
      <x:c r="Q793" s="68" t="n">
        <x:f>P793-O793</x:f>
        <x:v>0</x:v>
      </x:c>
      <x:c r="R793" s="14" t="n">
        <x:v>9252608</x:v>
      </x:c>
      <x:c r="S793" s="14" t="n">
        <x:f>P793*'공식·설정'!$B$12+'공식·설정'!$B$14</x:f>
        <x:v>9252608</x:v>
      </x:c>
      <x:c r="T793" s="68" t="n">
        <x:f>S793-R793</x:f>
        <x:v>0</x:v>
      </x:c>
      <x:c r="U793" s="65" t="n">
        <x:f>R793/'공식·설정'!$B$7</x:f>
        <x:v>36143</x:v>
      </x:c>
      <x:c r="V793" s="65" t="n">
        <x:f>S793/'공식·설정'!$B$7</x:f>
        <x:v>36143</x:v>
      </x:c>
      <x:c r="W793" s="14" t="n">
        <x:v>763</x:v>
      </x:c>
      <x:c r="X793" s="14" t="n">
        <x:f>INT(ABS(K794-K793)*'공식·설정'!$B$8/K793)</x:f>
        <x:v>763</x:v>
      </x:c>
      <x:c r="Y793" s="68" t="n">
        <x:f>X793-W793</x:f>
        <x:v>0</x:v>
      </x:c>
      <x:c r="Z793" s="66" t="n">
        <x:f>W793/'공식·설정'!$B$8</x:f>
        <x:v>0.0116424560546875</x:v>
      </x:c>
      <x:c r="AA793" s="66" t="n">
        <x:f>X793/'공식·설정'!$B$8</x:f>
        <x:v>0.0116424560546875</x:v>
      </x:c>
      <x:c r="AB793" s="67" t="str">
        <x:f>IF(AND(I793=0,L793=0,Q793=0,T793=0,Y793=0),"PASS","FAIL")</x:f>
        <x:v>PASS</x:v>
      </x:c>
    </x:row>
    <x:row r="794" ht="18" customHeight="1">
      <x:c r="A794" s="14" t="n">
        <x:v>897</x:v>
      </x:c>
      <x:c r="B794" s="14" t="n">
        <x:v>789</x:v>
      </x:c>
      <x:c r="C794" s="14" t="n">
        <x:v>896</x:v>
      </x:c>
      <x:c r="D794" s="14" t="n">
        <x:v>1419975</x:v>
      </x:c>
      <x:c r="E794" s="14" t="n">
        <x:v>910</x:v>
      </x:c>
      <x:c r="F794" s="14" t="n">
        <x:v>1651617</x:v>
      </x:c>
      <x:c r="G794" s="14" t="n">
        <x:v>1436520</x:v>
      </x:c>
      <x:c r="H794" s="14" t="n">
        <x:f>INT((F794-D794)*(A794-C794)/(E794-C794))+D794</x:f>
        <x:v>1436520</x:v>
      </x:c>
      <x:c r="I794" s="68" t="n">
        <x:f>H794-G794</x:f>
        <x:v>0</x:v>
      </x:c>
      <x:c r="J794" s="14" t="n">
        <x:v>9352150</x:v>
      </x:c>
      <x:c r="K794" s="14" t="n">
        <x:f>INT(H794*'공식·설정'!$B$10/'공식·설정'!$B$15)</x:f>
        <x:v>9352150</x:v>
      </x:c>
      <x:c r="L794" s="68" t="n">
        <x:f>K794-J794</x:f>
        <x:v>0</x:v>
      </x:c>
      <x:c r="M794" s="65" t="n">
        <x:f>J794/'공식·설정'!$B$7</x:f>
        <x:v>36531.8359375</x:v>
      </x:c>
      <x:c r="N794" s="65" t="n">
        <x:f>K794/'공식·설정'!$B$7</x:f>
        <x:v>36531.8359375</x:v>
      </x:c>
      <x:c r="O794" s="14" t="n">
        <x:v>3653</x:v>
      </x:c>
      <x:c r="P794" s="14" t="n">
        <x:f>MIN(32767,MAX(0,INT((K794+INT('공식·설정'!$B$12/2))/'공식·설정'!$B$12)))</x:f>
        <x:v>3653</x:v>
      </x:c>
      <x:c r="Q794" s="68" t="n">
        <x:f>P794-O794</x:f>
        <x:v>0</x:v>
      </x:c>
      <x:c r="R794" s="14" t="n">
        <x:v>9360128</x:v>
      </x:c>
      <x:c r="S794" s="14" t="n">
        <x:f>P794*'공식·설정'!$B$12+'공식·설정'!$B$14</x:f>
        <x:v>9360128</x:v>
      </x:c>
      <x:c r="T794" s="68" t="n">
        <x:f>S794-R794</x:f>
        <x:v>0</x:v>
      </x:c>
      <x:c r="U794" s="65" t="n">
        <x:f>R794/'공식·설정'!$B$7</x:f>
        <x:v>36563</x:v>
      </x:c>
      <x:c r="V794" s="65" t="n">
        <x:f>S794/'공식·설정'!$B$7</x:f>
        <x:v>36563</x:v>
      </x:c>
      <x:c r="W794" s="14" t="n">
        <x:v>754</x:v>
      </x:c>
      <x:c r="X794" s="14" t="n">
        <x:f>INT(ABS(K795-K794)*'공식·설정'!$B$8/K794)</x:f>
        <x:v>754</x:v>
      </x:c>
      <x:c r="Y794" s="68" t="n">
        <x:f>X794-W794</x:f>
        <x:v>0</x:v>
      </x:c>
      <x:c r="Z794" s="66" t="n">
        <x:f>W794/'공식·설정'!$B$8</x:f>
        <x:v>0.011505126953125</x:v>
      </x:c>
      <x:c r="AA794" s="66" t="n">
        <x:f>X794/'공식·설정'!$B$8</x:f>
        <x:v>0.011505126953125</x:v>
      </x:c>
      <x:c r="AB794" s="67" t="str">
        <x:f>IF(AND(I794=0,L794=0,Q794=0,T794=0,Y794=0),"PASS","FAIL")</x:f>
        <x:v>PASS</x:v>
      </x:c>
    </x:row>
    <x:row r="795" ht="18" customHeight="1">
      <x:c r="A795" s="14" t="n">
        <x:v>898</x:v>
      </x:c>
      <x:c r="B795" s="14" t="n">
        <x:v>790</x:v>
      </x:c>
      <x:c r="C795" s="14" t="n">
        <x:v>896</x:v>
      </x:c>
      <x:c r="D795" s="14" t="n">
        <x:v>1419975</x:v>
      </x:c>
      <x:c r="E795" s="14" t="n">
        <x:v>910</x:v>
      </x:c>
      <x:c r="F795" s="14" t="n">
        <x:v>1651617</x:v>
      </x:c>
      <x:c r="G795" s="14" t="n">
        <x:v>1453066</x:v>
      </x:c>
      <x:c r="H795" s="14" t="n">
        <x:f>INT((F795-D795)*(A795-C795)/(E795-C795))+D795</x:f>
        <x:v>1453066</x:v>
      </x:c>
      <x:c r="I795" s="68" t="n">
        <x:f>H795-G795</x:f>
        <x:v>0</x:v>
      </x:c>
      <x:c r="J795" s="14" t="n">
        <x:v>9459869</x:v>
      </x:c>
      <x:c r="K795" s="14" t="n">
        <x:f>INT(H795*'공식·설정'!$B$10/'공식·설정'!$B$15)</x:f>
        <x:v>9459869</x:v>
      </x:c>
      <x:c r="L795" s="68" t="n">
        <x:f>K795-J795</x:f>
        <x:v>0</x:v>
      </x:c>
      <x:c r="M795" s="65" t="n">
        <x:f>J795/'공식·설정'!$B$7</x:f>
        <x:v>36952.61328125</x:v>
      </x:c>
      <x:c r="N795" s="65" t="n">
        <x:f>K795/'공식·설정'!$B$7</x:f>
        <x:v>36952.61328125</x:v>
      </x:c>
      <x:c r="O795" s="14" t="n">
        <x:v>3695</x:v>
      </x:c>
      <x:c r="P795" s="14" t="n">
        <x:f>MIN(32767,MAX(0,INT((K795+INT('공식·설정'!$B$12/2))/'공식·설정'!$B$12)))</x:f>
        <x:v>3695</x:v>
      </x:c>
      <x:c r="Q795" s="68" t="n">
        <x:f>P795-O795</x:f>
        <x:v>0</x:v>
      </x:c>
      <x:c r="R795" s="14" t="n">
        <x:v>9467648</x:v>
      </x:c>
      <x:c r="S795" s="14" t="n">
        <x:f>P795*'공식·설정'!$B$12+'공식·설정'!$B$14</x:f>
        <x:v>9467648</x:v>
      </x:c>
      <x:c r="T795" s="68" t="n">
        <x:f>S795-R795</x:f>
        <x:v>0</x:v>
      </x:c>
      <x:c r="U795" s="65" t="n">
        <x:f>R795/'공식·설정'!$B$7</x:f>
        <x:v>36983</x:v>
      </x:c>
      <x:c r="V795" s="65" t="n">
        <x:f>S795/'공식·설정'!$B$7</x:f>
        <x:v>36983</x:v>
      </x:c>
      <x:c r="W795" s="14" t="n">
        <x:v>746</x:v>
      </x:c>
      <x:c r="X795" s="14" t="n">
        <x:f>INT(ABS(K796-K795)*'공식·설정'!$B$8/K795)</x:f>
        <x:v>746</x:v>
      </x:c>
      <x:c r="Y795" s="68" t="n">
        <x:f>X795-W795</x:f>
        <x:v>0</x:v>
      </x:c>
      <x:c r="Z795" s="66" t="n">
        <x:f>W795/'공식·설정'!$B$8</x:f>
        <x:v>0.011383056640625</x:v>
      </x:c>
      <x:c r="AA795" s="66" t="n">
        <x:f>X795/'공식·설정'!$B$8</x:f>
        <x:v>0.011383056640625</x:v>
      </x:c>
      <x:c r="AB795" s="67" t="str">
        <x:f>IF(AND(I795=0,L795=0,Q795=0,T795=0,Y795=0),"PASS","FAIL")</x:f>
        <x:v>PASS</x:v>
      </x:c>
    </x:row>
    <x:row r="796" ht="18" customHeight="1">
      <x:c r="A796" s="14" t="n">
        <x:v>899</x:v>
      </x:c>
      <x:c r="B796" s="14" t="n">
        <x:v>791</x:v>
      </x:c>
      <x:c r="C796" s="14" t="n">
        <x:v>896</x:v>
      </x:c>
      <x:c r="D796" s="14" t="n">
        <x:v>1419975</x:v>
      </x:c>
      <x:c r="E796" s="14" t="n">
        <x:v>910</x:v>
      </x:c>
      <x:c r="F796" s="14" t="n">
        <x:v>1651617</x:v>
      </x:c>
      <x:c r="G796" s="14" t="n">
        <x:v>1469612</x:v>
      </x:c>
      <x:c r="H796" s="14" t="n">
        <x:f>INT((F796-D796)*(A796-C796)/(E796-C796))+D796</x:f>
        <x:v>1469612</x:v>
      </x:c>
      <x:c r="I796" s="68" t="n">
        <x:f>H796-G796</x:f>
        <x:v>0</x:v>
      </x:c>
      <x:c r="J796" s="14" t="n">
        <x:v>9567588</x:v>
      </x:c>
      <x:c r="K796" s="14" t="n">
        <x:f>INT(H796*'공식·설정'!$B$10/'공식·설정'!$B$15)</x:f>
        <x:v>9567588</x:v>
      </x:c>
      <x:c r="L796" s="68" t="n">
        <x:f>K796-J796</x:f>
        <x:v>0</x:v>
      </x:c>
      <x:c r="M796" s="65" t="n">
        <x:f>J796/'공식·설정'!$B$7</x:f>
        <x:v>37373.390625</x:v>
      </x:c>
      <x:c r="N796" s="65" t="n">
        <x:f>K796/'공식·설정'!$B$7</x:f>
        <x:v>37373.390625</x:v>
      </x:c>
      <x:c r="O796" s="14" t="n">
        <x:v>3737</x:v>
      </x:c>
      <x:c r="P796" s="14" t="n">
        <x:f>MIN(32767,MAX(0,INT((K796+INT('공식·설정'!$B$12/2))/'공식·설정'!$B$12)))</x:f>
        <x:v>3737</x:v>
      </x:c>
      <x:c r="Q796" s="68" t="n">
        <x:f>P796-O796</x:f>
        <x:v>0</x:v>
      </x:c>
      <x:c r="R796" s="14" t="n">
        <x:v>9575168</x:v>
      </x:c>
      <x:c r="S796" s="14" t="n">
        <x:f>P796*'공식·설정'!$B$12+'공식·설정'!$B$14</x:f>
        <x:v>9575168</x:v>
      </x:c>
      <x:c r="T796" s="68" t="n">
        <x:f>S796-R796</x:f>
        <x:v>0</x:v>
      </x:c>
      <x:c r="U796" s="65" t="n">
        <x:f>R796/'공식·설정'!$B$7</x:f>
        <x:v>37403</x:v>
      </x:c>
      <x:c r="V796" s="65" t="n">
        <x:f>S796/'공식·설정'!$B$7</x:f>
        <x:v>37403</x:v>
      </x:c>
      <x:c r="W796" s="14" t="n">
        <x:v>737</x:v>
      </x:c>
      <x:c r="X796" s="14" t="n">
        <x:f>INT(ABS(K797-K796)*'공식·설정'!$B$8/K796)</x:f>
        <x:v>737</x:v>
      </x:c>
      <x:c r="Y796" s="68" t="n">
        <x:f>X796-W796</x:f>
        <x:v>0</x:v>
      </x:c>
      <x:c r="Z796" s="66" t="n">
        <x:f>W796/'공식·설정'!$B$8</x:f>
        <x:v>0.0112457275390625</x:v>
      </x:c>
      <x:c r="AA796" s="66" t="n">
        <x:f>X796/'공식·설정'!$B$8</x:f>
        <x:v>0.0112457275390625</x:v>
      </x:c>
      <x:c r="AB796" s="67" t="str">
        <x:f>IF(AND(I796=0,L796=0,Q796=0,T796=0,Y796=0),"PASS","FAIL")</x:f>
        <x:v>PASS</x:v>
      </x:c>
    </x:row>
    <x:row r="797" ht="18" customHeight="1">
      <x:c r="A797" s="14" t="n">
        <x:v>900</x:v>
      </x:c>
      <x:c r="B797" s="14" t="n">
        <x:v>792</x:v>
      </x:c>
      <x:c r="C797" s="14" t="n">
        <x:v>896</x:v>
      </x:c>
      <x:c r="D797" s="14" t="n">
        <x:v>1419975</x:v>
      </x:c>
      <x:c r="E797" s="14" t="n">
        <x:v>910</x:v>
      </x:c>
      <x:c r="F797" s="14" t="n">
        <x:v>1651617</x:v>
      </x:c>
      <x:c r="G797" s="14" t="n">
        <x:v>1486158</x:v>
      </x:c>
      <x:c r="H797" s="14" t="n">
        <x:f>INT((F797-D797)*(A797-C797)/(E797-C797))+D797</x:f>
        <x:v>1486158</x:v>
      </x:c>
      <x:c r="I797" s="68" t="n">
        <x:f>H797-G797</x:f>
        <x:v>0</x:v>
      </x:c>
      <x:c r="J797" s="14" t="n">
        <x:v>9675307</x:v>
      </x:c>
      <x:c r="K797" s="14" t="n">
        <x:f>INT(H797*'공식·설정'!$B$10/'공식·설정'!$B$15)</x:f>
        <x:v>9675307</x:v>
      </x:c>
      <x:c r="L797" s="68" t="n">
        <x:f>K797-J797</x:f>
        <x:v>0</x:v>
      </x:c>
      <x:c r="M797" s="65" t="n">
        <x:f>J797/'공식·설정'!$B$7</x:f>
        <x:v>37794.16796875</x:v>
      </x:c>
      <x:c r="N797" s="65" t="n">
        <x:f>K797/'공식·설정'!$B$7</x:f>
        <x:v>37794.16796875</x:v>
      </x:c>
      <x:c r="O797" s="14" t="n">
        <x:v>3779</x:v>
      </x:c>
      <x:c r="P797" s="14" t="n">
        <x:f>MIN(32767,MAX(0,INT((K797+INT('공식·설정'!$B$12/2))/'공식·설정'!$B$12)))</x:f>
        <x:v>3779</x:v>
      </x:c>
      <x:c r="Q797" s="68" t="n">
        <x:f>P797-O797</x:f>
        <x:v>0</x:v>
      </x:c>
      <x:c r="R797" s="14" t="n">
        <x:v>9682688</x:v>
      </x:c>
      <x:c r="S797" s="14" t="n">
        <x:f>P797*'공식·설정'!$B$12+'공식·설정'!$B$14</x:f>
        <x:v>9682688</x:v>
      </x:c>
      <x:c r="T797" s="68" t="n">
        <x:f>S797-R797</x:f>
        <x:v>0</x:v>
      </x:c>
      <x:c r="U797" s="65" t="n">
        <x:f>R797/'공식·설정'!$B$7</x:f>
        <x:v>37823</x:v>
      </x:c>
      <x:c r="V797" s="65" t="n">
        <x:f>S797/'공식·설정'!$B$7</x:f>
        <x:v>37823</x:v>
      </x:c>
      <x:c r="W797" s="14" t="n">
        <x:v>729</x:v>
      </x:c>
      <x:c r="X797" s="14" t="n">
        <x:f>INT(ABS(K798-K797)*'공식·설정'!$B$8/K797)</x:f>
        <x:v>729</x:v>
      </x:c>
      <x:c r="Y797" s="68" t="n">
        <x:f>X797-W797</x:f>
        <x:v>0</x:v>
      </x:c>
      <x:c r="Z797" s="66" t="n">
        <x:f>W797/'공식·설정'!$B$8</x:f>
        <x:v>0.0111236572265625</x:v>
      </x:c>
      <x:c r="AA797" s="66" t="n">
        <x:f>X797/'공식·설정'!$B$8</x:f>
        <x:v>0.0111236572265625</x:v>
      </x:c>
      <x:c r="AB797" s="67" t="str">
        <x:f>IF(AND(I797=0,L797=0,Q797=0,T797=0,Y797=0),"PASS","FAIL")</x:f>
        <x:v>PASS</x:v>
      </x:c>
    </x:row>
    <x:row r="798" ht="18" customHeight="1">
      <x:c r="A798" s="14" t="n">
        <x:v>901</x:v>
      </x:c>
      <x:c r="B798" s="14" t="n">
        <x:v>793</x:v>
      </x:c>
      <x:c r="C798" s="14" t="n">
        <x:v>896</x:v>
      </x:c>
      <x:c r="D798" s="14" t="n">
        <x:v>1419975</x:v>
      </x:c>
      <x:c r="E798" s="14" t="n">
        <x:v>910</x:v>
      </x:c>
      <x:c r="F798" s="14" t="n">
        <x:v>1651617</x:v>
      </x:c>
      <x:c r="G798" s="14" t="n">
        <x:v>1502704</x:v>
      </x:c>
      <x:c r="H798" s="14" t="n">
        <x:f>INT((F798-D798)*(A798-C798)/(E798-C798))+D798</x:f>
        <x:v>1502704</x:v>
      </x:c>
      <x:c r="I798" s="68" t="n">
        <x:f>H798-G798</x:f>
        <x:v>0</x:v>
      </x:c>
      <x:c r="J798" s="14" t="n">
        <x:v>9783026</x:v>
      </x:c>
      <x:c r="K798" s="14" t="n">
        <x:f>INT(H798*'공식·설정'!$B$10/'공식·설정'!$B$15)</x:f>
        <x:v>9783026</x:v>
      </x:c>
      <x:c r="L798" s="68" t="n">
        <x:f>K798-J798</x:f>
        <x:v>0</x:v>
      </x:c>
      <x:c r="M798" s="65" t="n">
        <x:f>J798/'공식·설정'!$B$7</x:f>
        <x:v>38214.9453125</x:v>
      </x:c>
      <x:c r="N798" s="65" t="n">
        <x:f>K798/'공식·설정'!$B$7</x:f>
        <x:v>38214.9453125</x:v>
      </x:c>
      <x:c r="O798" s="14" t="n">
        <x:v>3821</x:v>
      </x:c>
      <x:c r="P798" s="14" t="n">
        <x:f>MIN(32767,MAX(0,INT((K798+INT('공식·설정'!$B$12/2))/'공식·설정'!$B$12)))</x:f>
        <x:v>3821</x:v>
      </x:c>
      <x:c r="Q798" s="68" t="n">
        <x:f>P798-O798</x:f>
        <x:v>0</x:v>
      </x:c>
      <x:c r="R798" s="14" t="n">
        <x:v>9790208</x:v>
      </x:c>
      <x:c r="S798" s="14" t="n">
        <x:f>P798*'공식·설정'!$B$12+'공식·설정'!$B$14</x:f>
        <x:v>9790208</x:v>
      </x:c>
      <x:c r="T798" s="68" t="n">
        <x:f>S798-R798</x:f>
        <x:v>0</x:v>
      </x:c>
      <x:c r="U798" s="65" t="n">
        <x:f>R798/'공식·설정'!$B$7</x:f>
        <x:v>38243</x:v>
      </x:c>
      <x:c r="V798" s="65" t="n">
        <x:f>S798/'공식·설정'!$B$7</x:f>
        <x:v>38243</x:v>
      </x:c>
      <x:c r="W798" s="14" t="n">
        <x:v>721</x:v>
      </x:c>
      <x:c r="X798" s="14" t="n">
        <x:f>INT(ABS(K799-K798)*'공식·설정'!$B$8/K798)</x:f>
        <x:v>721</x:v>
      </x:c>
      <x:c r="Y798" s="68" t="n">
        <x:f>X798-W798</x:f>
        <x:v>0</x:v>
      </x:c>
      <x:c r="Z798" s="66" t="n">
        <x:f>W798/'공식·설정'!$B$8</x:f>
        <x:v>0.0110015869140625</x:v>
      </x:c>
      <x:c r="AA798" s="66" t="n">
        <x:f>X798/'공식·설정'!$B$8</x:f>
        <x:v>0.0110015869140625</x:v>
      </x:c>
      <x:c r="AB798" s="67" t="str">
        <x:f>IF(AND(I798=0,L798=0,Q798=0,T798=0,Y798=0),"PASS","FAIL")</x:f>
        <x:v>PASS</x:v>
      </x:c>
    </x:row>
    <x:row r="799" ht="18" customHeight="1">
      <x:c r="A799" s="14" t="n">
        <x:v>902</x:v>
      </x:c>
      <x:c r="B799" s="14" t="n">
        <x:v>794</x:v>
      </x:c>
      <x:c r="C799" s="14" t="n">
        <x:v>896</x:v>
      </x:c>
      <x:c r="D799" s="14" t="n">
        <x:v>1419975</x:v>
      </x:c>
      <x:c r="E799" s="14" t="n">
        <x:v>910</x:v>
      </x:c>
      <x:c r="F799" s="14" t="n">
        <x:v>1651617</x:v>
      </x:c>
      <x:c r="G799" s="14" t="n">
        <x:v>1519250</x:v>
      </x:c>
      <x:c r="H799" s="14" t="n">
        <x:f>INT((F799-D799)*(A799-C799)/(E799-C799))+D799</x:f>
        <x:v>1519250</x:v>
      </x:c>
      <x:c r="I799" s="68" t="n">
        <x:f>H799-G799</x:f>
        <x:v>0</x:v>
      </x:c>
      <x:c r="J799" s="14" t="n">
        <x:v>9890745</x:v>
      </x:c>
      <x:c r="K799" s="14" t="n">
        <x:f>INT(H799*'공식·설정'!$B$10/'공식·설정'!$B$15)</x:f>
        <x:v>9890745</x:v>
      </x:c>
      <x:c r="L799" s="68" t="n">
        <x:f>K799-J799</x:f>
        <x:v>0</x:v>
      </x:c>
      <x:c r="M799" s="65" t="n">
        <x:f>J799/'공식·설정'!$B$7</x:f>
        <x:v>38635.72265625</x:v>
      </x:c>
      <x:c r="N799" s="65" t="n">
        <x:f>K799/'공식·설정'!$B$7</x:f>
        <x:v>38635.72265625</x:v>
      </x:c>
      <x:c r="O799" s="14" t="n">
        <x:v>3864</x:v>
      </x:c>
      <x:c r="P799" s="14" t="n">
        <x:f>MIN(32767,MAX(0,INT((K799+INT('공식·설정'!$B$12/2))/'공식·설정'!$B$12)))</x:f>
        <x:v>3864</x:v>
      </x:c>
      <x:c r="Q799" s="68" t="n">
        <x:f>P799-O799</x:f>
        <x:v>0</x:v>
      </x:c>
      <x:c r="R799" s="14" t="n">
        <x:v>9900288</x:v>
      </x:c>
      <x:c r="S799" s="14" t="n">
        <x:f>P799*'공식·설정'!$B$12+'공식·설정'!$B$14</x:f>
        <x:v>9900288</x:v>
      </x:c>
      <x:c r="T799" s="68" t="n">
        <x:f>S799-R799</x:f>
        <x:v>0</x:v>
      </x:c>
      <x:c r="U799" s="65" t="n">
        <x:f>R799/'공식·설정'!$B$7</x:f>
        <x:v>38673</x:v>
      </x:c>
      <x:c r="V799" s="65" t="n">
        <x:f>S799/'공식·설정'!$B$7</x:f>
        <x:v>38673</x:v>
      </x:c>
      <x:c r="W799" s="14" t="n">
        <x:v>713</x:v>
      </x:c>
      <x:c r="X799" s="14" t="n">
        <x:f>INT(ABS(K800-K799)*'공식·설정'!$B$8/K799)</x:f>
        <x:v>713</x:v>
      </x:c>
      <x:c r="Y799" s="68" t="n">
        <x:f>X799-W799</x:f>
        <x:v>0</x:v>
      </x:c>
      <x:c r="Z799" s="66" t="n">
        <x:f>W799/'공식·설정'!$B$8</x:f>
        <x:v>0.0108795166015625</x:v>
      </x:c>
      <x:c r="AA799" s="66" t="n">
        <x:f>X799/'공식·설정'!$B$8</x:f>
        <x:v>0.0108795166015625</x:v>
      </x:c>
      <x:c r="AB799" s="67" t="str">
        <x:f>IF(AND(I799=0,L799=0,Q799=0,T799=0,Y799=0),"PASS","FAIL")</x:f>
        <x:v>PASS</x:v>
      </x:c>
    </x:row>
    <x:row r="800" ht="18" customHeight="1">
      <x:c r="A800" s="14" t="n">
        <x:v>903</x:v>
      </x:c>
      <x:c r="B800" s="14" t="n">
        <x:v>795</x:v>
      </x:c>
      <x:c r="C800" s="14" t="n">
        <x:v>896</x:v>
      </x:c>
      <x:c r="D800" s="14" t="n">
        <x:v>1419975</x:v>
      </x:c>
      <x:c r="E800" s="14" t="n">
        <x:v>910</x:v>
      </x:c>
      <x:c r="F800" s="14" t="n">
        <x:v>1651617</x:v>
      </x:c>
      <x:c r="G800" s="14" t="n">
        <x:v>1535796</x:v>
      </x:c>
      <x:c r="H800" s="14" t="n">
        <x:f>INT((F800-D800)*(A800-C800)/(E800-C800))+D800</x:f>
        <x:v>1535796</x:v>
      </x:c>
      <x:c r="I800" s="68" t="n">
        <x:f>H800-G800</x:f>
        <x:v>0</x:v>
      </x:c>
      <x:c r="J800" s="14" t="n">
        <x:v>9998465</x:v>
      </x:c>
      <x:c r="K800" s="14" t="n">
        <x:f>INT(H800*'공식·설정'!$B$10/'공식·설정'!$B$15)</x:f>
        <x:v>9998465</x:v>
      </x:c>
      <x:c r="L800" s="68" t="n">
        <x:f>K800-J800</x:f>
        <x:v>0</x:v>
      </x:c>
      <x:c r="M800" s="65" t="n">
        <x:f>J800/'공식·설정'!$B$7</x:f>
        <x:v>39056.50390625</x:v>
      </x:c>
      <x:c r="N800" s="65" t="n">
        <x:f>K800/'공식·설정'!$B$7</x:f>
        <x:v>39056.50390625</x:v>
      </x:c>
      <x:c r="O800" s="14" t="n">
        <x:v>3906</x:v>
      </x:c>
      <x:c r="P800" s="14" t="n">
        <x:f>MIN(32767,MAX(0,INT((K800+INT('공식·설정'!$B$12/2))/'공식·설정'!$B$12)))</x:f>
        <x:v>3906</x:v>
      </x:c>
      <x:c r="Q800" s="68" t="n">
        <x:f>P800-O800</x:f>
        <x:v>0</x:v>
      </x:c>
      <x:c r="R800" s="14" t="n">
        <x:v>10007808</x:v>
      </x:c>
      <x:c r="S800" s="14" t="n">
        <x:f>P800*'공식·설정'!$B$12+'공식·설정'!$B$14</x:f>
        <x:v>10007808</x:v>
      </x:c>
      <x:c r="T800" s="68" t="n">
        <x:f>S800-R800</x:f>
        <x:v>0</x:v>
      </x:c>
      <x:c r="U800" s="65" t="n">
        <x:f>R800/'공식·설정'!$B$7</x:f>
        <x:v>39093</x:v>
      </x:c>
      <x:c r="V800" s="65" t="n">
        <x:f>S800/'공식·설정'!$B$7</x:f>
        <x:v>39093</x:v>
      </x:c>
      <x:c r="W800" s="14" t="n">
        <x:v>706</x:v>
      </x:c>
      <x:c r="X800" s="14" t="n">
        <x:f>INT(ABS(K801-K800)*'공식·설정'!$B$8/K800)</x:f>
        <x:v>706</x:v>
      </x:c>
      <x:c r="Y800" s="68" t="n">
        <x:f>X800-W800</x:f>
        <x:v>0</x:v>
      </x:c>
      <x:c r="Z800" s="66" t="n">
        <x:f>W800/'공식·설정'!$B$8</x:f>
        <x:v>0.010772705078125</x:v>
      </x:c>
      <x:c r="AA800" s="66" t="n">
        <x:f>X800/'공식·설정'!$B$8</x:f>
        <x:v>0.010772705078125</x:v>
      </x:c>
      <x:c r="AB800" s="67" t="str">
        <x:f>IF(AND(I800=0,L800=0,Q800=0,T800=0,Y800=0),"PASS","FAIL")</x:f>
        <x:v>PASS</x:v>
      </x:c>
    </x:row>
    <x:row r="801" ht="18" customHeight="1">
      <x:c r="A801" s="14" t="n">
        <x:v>904</x:v>
      </x:c>
      <x:c r="B801" s="14" t="n">
        <x:v>796</x:v>
      </x:c>
      <x:c r="C801" s="14" t="n">
        <x:v>896</x:v>
      </x:c>
      <x:c r="D801" s="14" t="n">
        <x:v>1419975</x:v>
      </x:c>
      <x:c r="E801" s="14" t="n">
        <x:v>910</x:v>
      </x:c>
      <x:c r="F801" s="14" t="n">
        <x:v>1651617</x:v>
      </x:c>
      <x:c r="G801" s="14" t="n">
        <x:v>1552341</x:v>
      </x:c>
      <x:c r="H801" s="14" t="n">
        <x:f>INT((F801-D801)*(A801-C801)/(E801-C801))+D801</x:f>
        <x:v>1552341</x:v>
      </x:c>
      <x:c r="I801" s="68" t="n">
        <x:f>H801-G801</x:f>
        <x:v>0</x:v>
      </x:c>
      <x:c r="J801" s="14" t="n">
        <x:v>10106177</x:v>
      </x:c>
      <x:c r="K801" s="14" t="n">
        <x:f>INT(H801*'공식·설정'!$B$10/'공식·설정'!$B$15)</x:f>
        <x:v>10106177</x:v>
      </x:c>
      <x:c r="L801" s="68" t="n">
        <x:f>K801-J801</x:f>
        <x:v>0</x:v>
      </x:c>
      <x:c r="M801" s="65" t="n">
        <x:f>J801/'공식·설정'!$B$7</x:f>
        <x:v>39477.25390625</x:v>
      </x:c>
      <x:c r="N801" s="65" t="n">
        <x:f>K801/'공식·설정'!$B$7</x:f>
        <x:v>39477.25390625</x:v>
      </x:c>
      <x:c r="O801" s="14" t="n">
        <x:v>3948</x:v>
      </x:c>
      <x:c r="P801" s="14" t="n">
        <x:f>MIN(32767,MAX(0,INT((K801+INT('공식·설정'!$B$12/2))/'공식·설정'!$B$12)))</x:f>
        <x:v>3948</x:v>
      </x:c>
      <x:c r="Q801" s="68" t="n">
        <x:f>P801-O801</x:f>
        <x:v>0</x:v>
      </x:c>
      <x:c r="R801" s="14" t="n">
        <x:v>10115328</x:v>
      </x:c>
      <x:c r="S801" s="14" t="n">
        <x:f>P801*'공식·설정'!$B$12+'공식·설정'!$B$14</x:f>
        <x:v>10115328</x:v>
      </x:c>
      <x:c r="T801" s="68" t="n">
        <x:f>S801-R801</x:f>
        <x:v>0</x:v>
      </x:c>
      <x:c r="U801" s="65" t="n">
        <x:f>R801/'공식·설정'!$B$7</x:f>
        <x:v>39513</x:v>
      </x:c>
      <x:c r="V801" s="65" t="n">
        <x:f>S801/'공식·설정'!$B$7</x:f>
        <x:v>39513</x:v>
      </x:c>
      <x:c r="W801" s="14" t="n">
        <x:v>698</x:v>
      </x:c>
      <x:c r="X801" s="14" t="n">
        <x:f>INT(ABS(K802-K801)*'공식·설정'!$B$8/K801)</x:f>
        <x:v>698</x:v>
      </x:c>
      <x:c r="Y801" s="68" t="n">
        <x:f>X801-W801</x:f>
        <x:v>0</x:v>
      </x:c>
      <x:c r="Z801" s="66" t="n">
        <x:f>W801/'공식·설정'!$B$8</x:f>
        <x:v>0.010650634765625</x:v>
      </x:c>
      <x:c r="AA801" s="66" t="n">
        <x:f>X801/'공식·설정'!$B$8</x:f>
        <x:v>0.010650634765625</x:v>
      </x:c>
      <x:c r="AB801" s="67" t="str">
        <x:f>IF(AND(I801=0,L801=0,Q801=0,T801=0,Y801=0),"PASS","FAIL")</x:f>
        <x:v>PASS</x:v>
      </x:c>
    </x:row>
    <x:row r="802" ht="18" customHeight="1">
      <x:c r="A802" s="14" t="n">
        <x:v>905</x:v>
      </x:c>
      <x:c r="B802" s="14" t="n">
        <x:v>797</x:v>
      </x:c>
      <x:c r="C802" s="14" t="n">
        <x:v>896</x:v>
      </x:c>
      <x:c r="D802" s="14" t="n">
        <x:v>1419975</x:v>
      </x:c>
      <x:c r="E802" s="14" t="n">
        <x:v>910</x:v>
      </x:c>
      <x:c r="F802" s="14" t="n">
        <x:v>1651617</x:v>
      </x:c>
      <x:c r="G802" s="14" t="n">
        <x:v>1568887</x:v>
      </x:c>
      <x:c r="H802" s="14" t="n">
        <x:f>INT((F802-D802)*(A802-C802)/(E802-C802))+D802</x:f>
        <x:v>1568887</x:v>
      </x:c>
      <x:c r="I802" s="68" t="n">
        <x:f>H802-G802</x:f>
        <x:v>0</x:v>
      </x:c>
      <x:c r="J802" s="14" t="n">
        <x:v>10213896</x:v>
      </x:c>
      <x:c r="K802" s="14" t="n">
        <x:f>INT(H802*'공식·설정'!$B$10/'공식·설정'!$B$15)</x:f>
        <x:v>10213896</x:v>
      </x:c>
      <x:c r="L802" s="68" t="n">
        <x:f>K802-J802</x:f>
        <x:v>0</x:v>
      </x:c>
      <x:c r="M802" s="65" t="n">
        <x:f>J802/'공식·설정'!$B$7</x:f>
        <x:v>39898.03125</x:v>
      </x:c>
      <x:c r="N802" s="65" t="n">
        <x:f>K802/'공식·설정'!$B$7</x:f>
        <x:v>39898.03125</x:v>
      </x:c>
      <x:c r="O802" s="14" t="n">
        <x:v>3990</x:v>
      </x:c>
      <x:c r="P802" s="14" t="n">
        <x:f>MIN(32767,MAX(0,INT((K802+INT('공식·설정'!$B$12/2))/'공식·설정'!$B$12)))</x:f>
        <x:v>3990</x:v>
      </x:c>
      <x:c r="Q802" s="68" t="n">
        <x:f>P802-O802</x:f>
        <x:v>0</x:v>
      </x:c>
      <x:c r="R802" s="14" t="n">
        <x:v>10222848</x:v>
      </x:c>
      <x:c r="S802" s="14" t="n">
        <x:f>P802*'공식·설정'!$B$12+'공식·설정'!$B$14</x:f>
        <x:v>10222848</x:v>
      </x:c>
      <x:c r="T802" s="68" t="n">
        <x:f>S802-R802</x:f>
        <x:v>0</x:v>
      </x:c>
      <x:c r="U802" s="65" t="n">
        <x:f>R802/'공식·설정'!$B$7</x:f>
        <x:v>39933</x:v>
      </x:c>
      <x:c r="V802" s="65" t="n">
        <x:f>S802/'공식·설정'!$B$7</x:f>
        <x:v>39933</x:v>
      </x:c>
      <x:c r="W802" s="14" t="n">
        <x:v>691</x:v>
      </x:c>
      <x:c r="X802" s="14" t="n">
        <x:f>INT(ABS(K803-K802)*'공식·설정'!$B$8/K802)</x:f>
        <x:v>691</x:v>
      </x:c>
      <x:c r="Y802" s="68" t="n">
        <x:f>X802-W802</x:f>
        <x:v>0</x:v>
      </x:c>
      <x:c r="Z802" s="66" t="n">
        <x:f>W802/'공식·설정'!$B$8</x:f>
        <x:v>0.0105438232421875</x:v>
      </x:c>
      <x:c r="AA802" s="66" t="n">
        <x:f>X802/'공식·설정'!$B$8</x:f>
        <x:v>0.0105438232421875</x:v>
      </x:c>
      <x:c r="AB802" s="67" t="str">
        <x:f>IF(AND(I802=0,L802=0,Q802=0,T802=0,Y802=0),"PASS","FAIL")</x:f>
        <x:v>PASS</x:v>
      </x:c>
    </x:row>
    <x:row r="803" ht="18" customHeight="1">
      <x:c r="A803" s="14" t="n">
        <x:v>906</x:v>
      </x:c>
      <x:c r="B803" s="14" t="n">
        <x:v>798</x:v>
      </x:c>
      <x:c r="C803" s="14" t="n">
        <x:v>896</x:v>
      </x:c>
      <x:c r="D803" s="14" t="n">
        <x:v>1419975</x:v>
      </x:c>
      <x:c r="E803" s="14" t="n">
        <x:v>910</x:v>
      </x:c>
      <x:c r="F803" s="14" t="n">
        <x:v>1651617</x:v>
      </x:c>
      <x:c r="G803" s="14" t="n">
        <x:v>1585433</x:v>
      </x:c>
      <x:c r="H803" s="14" t="n">
        <x:f>INT((F803-D803)*(A803-C803)/(E803-C803))+D803</x:f>
        <x:v>1585433</x:v>
      </x:c>
      <x:c r="I803" s="68" t="n">
        <x:f>H803-G803</x:f>
        <x:v>0</x:v>
      </x:c>
      <x:c r="J803" s="14" t="n">
        <x:v>10321615</x:v>
      </x:c>
      <x:c r="K803" s="14" t="n">
        <x:f>INT(H803*'공식·설정'!$B$10/'공식·설정'!$B$15)</x:f>
        <x:v>10321615</x:v>
      </x:c>
      <x:c r="L803" s="68" t="n">
        <x:f>K803-J803</x:f>
        <x:v>0</x:v>
      </x:c>
      <x:c r="M803" s="65" t="n">
        <x:f>J803/'공식·설정'!$B$7</x:f>
        <x:v>40318.80859375</x:v>
      </x:c>
      <x:c r="N803" s="65" t="n">
        <x:f>K803/'공식·설정'!$B$7</x:f>
        <x:v>40318.80859375</x:v>
      </x:c>
      <x:c r="O803" s="14" t="n">
        <x:v>4032</x:v>
      </x:c>
      <x:c r="P803" s="14" t="n">
        <x:f>MIN(32767,MAX(0,INT((K803+INT('공식·설정'!$B$12/2))/'공식·설정'!$B$12)))</x:f>
        <x:v>4032</x:v>
      </x:c>
      <x:c r="Q803" s="68" t="n">
        <x:f>P803-O803</x:f>
        <x:v>0</x:v>
      </x:c>
      <x:c r="R803" s="14" t="n">
        <x:v>10330368</x:v>
      </x:c>
      <x:c r="S803" s="14" t="n">
        <x:f>P803*'공식·설정'!$B$12+'공식·설정'!$B$14</x:f>
        <x:v>10330368</x:v>
      </x:c>
      <x:c r="T803" s="68" t="n">
        <x:f>S803-R803</x:f>
        <x:v>0</x:v>
      </x:c>
      <x:c r="U803" s="65" t="n">
        <x:f>R803/'공식·설정'!$B$7</x:f>
        <x:v>40353</x:v>
      </x:c>
      <x:c r="V803" s="65" t="n">
        <x:f>S803/'공식·설정'!$B$7</x:f>
        <x:v>40353</x:v>
      </x:c>
      <x:c r="W803" s="14" t="n">
        <x:v>683</x:v>
      </x:c>
      <x:c r="X803" s="14" t="n">
        <x:f>INT(ABS(K804-K803)*'공식·설정'!$B$8/K803)</x:f>
        <x:v>683</x:v>
      </x:c>
      <x:c r="Y803" s="68" t="n">
        <x:f>X803-W803</x:f>
        <x:v>0</x:v>
      </x:c>
      <x:c r="Z803" s="66" t="n">
        <x:f>W803/'공식·설정'!$B$8</x:f>
        <x:v>0.0104217529296875</x:v>
      </x:c>
      <x:c r="AA803" s="66" t="n">
        <x:f>X803/'공식·설정'!$B$8</x:f>
        <x:v>0.0104217529296875</x:v>
      </x:c>
      <x:c r="AB803" s="67" t="str">
        <x:f>IF(AND(I803=0,L803=0,Q803=0,T803=0,Y803=0),"PASS","FAIL")</x:f>
        <x:v>PASS</x:v>
      </x:c>
    </x:row>
    <x:row r="804" ht="18" customHeight="1">
      <x:c r="A804" s="14" t="n">
        <x:v>907</x:v>
      </x:c>
      <x:c r="B804" s="14" t="n">
        <x:v>799</x:v>
      </x:c>
      <x:c r="C804" s="14" t="n">
        <x:v>896</x:v>
      </x:c>
      <x:c r="D804" s="14" t="n">
        <x:v>1419975</x:v>
      </x:c>
      <x:c r="E804" s="14" t="n">
        <x:v>910</x:v>
      </x:c>
      <x:c r="F804" s="14" t="n">
        <x:v>1651617</x:v>
      </x:c>
      <x:c r="G804" s="14" t="n">
        <x:v>1601979</x:v>
      </x:c>
      <x:c r="H804" s="14" t="n">
        <x:f>INT((F804-D804)*(A804-C804)/(E804-C804))+D804</x:f>
        <x:v>1601979</x:v>
      </x:c>
      <x:c r="I804" s="68" t="n">
        <x:f>H804-G804</x:f>
        <x:v>0</x:v>
      </x:c>
      <x:c r="J804" s="14" t="n">
        <x:v>10429335</x:v>
      </x:c>
      <x:c r="K804" s="14" t="n">
        <x:f>INT(H804*'공식·설정'!$B$10/'공식·설정'!$B$15)</x:f>
        <x:v>10429335</x:v>
      </x:c>
      <x:c r="L804" s="68" t="n">
        <x:f>K804-J804</x:f>
        <x:v>0</x:v>
      </x:c>
      <x:c r="M804" s="65" t="n">
        <x:f>J804/'공식·설정'!$B$7</x:f>
        <x:v>40739.58984375</x:v>
      </x:c>
      <x:c r="N804" s="65" t="n">
        <x:f>K804/'공식·설정'!$B$7</x:f>
        <x:v>40739.58984375</x:v>
      </x:c>
      <x:c r="O804" s="14" t="n">
        <x:v>4074</x:v>
      </x:c>
      <x:c r="P804" s="14" t="n">
        <x:f>MIN(32767,MAX(0,INT((K804+INT('공식·설정'!$B$12/2))/'공식·설정'!$B$12)))</x:f>
        <x:v>4074</x:v>
      </x:c>
      <x:c r="Q804" s="68" t="n">
        <x:f>P804-O804</x:f>
        <x:v>0</x:v>
      </x:c>
      <x:c r="R804" s="14" t="n">
        <x:v>10437888</x:v>
      </x:c>
      <x:c r="S804" s="14" t="n">
        <x:f>P804*'공식·설정'!$B$12+'공식·설정'!$B$14</x:f>
        <x:v>10437888</x:v>
      </x:c>
      <x:c r="T804" s="68" t="n">
        <x:f>S804-R804</x:f>
        <x:v>0</x:v>
      </x:c>
      <x:c r="U804" s="65" t="n">
        <x:f>R804/'공식·설정'!$B$7</x:f>
        <x:v>40773</x:v>
      </x:c>
      <x:c r="V804" s="65" t="n">
        <x:f>S804/'공식·설정'!$B$7</x:f>
        <x:v>40773</x:v>
      </x:c>
      <x:c r="W804" s="14" t="n">
        <x:v>676</x:v>
      </x:c>
      <x:c r="X804" s="14" t="n">
        <x:f>INT(ABS(K805-K804)*'공식·설정'!$B$8/K804)</x:f>
        <x:v>676</x:v>
      </x:c>
      <x:c r="Y804" s="68" t="n">
        <x:f>X804-W804</x:f>
        <x:v>0</x:v>
      </x:c>
      <x:c r="Z804" s="66" t="n">
        <x:f>W804/'공식·설정'!$B$8</x:f>
        <x:v>0.01031494140625</x:v>
      </x:c>
      <x:c r="AA804" s="66" t="n">
        <x:f>X804/'공식·설정'!$B$8</x:f>
        <x:v>0.01031494140625</x:v>
      </x:c>
      <x:c r="AB804" s="67" t="str">
        <x:f>IF(AND(I804=0,L804=0,Q804=0,T804=0,Y804=0),"PASS","FAIL")</x:f>
        <x:v>PASS</x:v>
      </x:c>
    </x:row>
    <x:row r="805" ht="18" customHeight="1">
      <x:c r="A805" s="14" t="n">
        <x:v>908</x:v>
      </x:c>
      <x:c r="B805" s="14" t="n">
        <x:v>800</x:v>
      </x:c>
      <x:c r="C805" s="14" t="n">
        <x:v>896</x:v>
      </x:c>
      <x:c r="D805" s="14" t="n">
        <x:v>1419975</x:v>
      </x:c>
      <x:c r="E805" s="14" t="n">
        <x:v>910</x:v>
      </x:c>
      <x:c r="F805" s="14" t="n">
        <x:v>1651617</x:v>
      </x:c>
      <x:c r="G805" s="14" t="n">
        <x:v>1618525</x:v>
      </x:c>
      <x:c r="H805" s="14" t="n">
        <x:f>INT((F805-D805)*(A805-C805)/(E805-C805))+D805</x:f>
        <x:v>1618525</x:v>
      </x:c>
      <x:c r="I805" s="68" t="n">
        <x:f>H805-G805</x:f>
        <x:v>0</x:v>
      </x:c>
      <x:c r="J805" s="14" t="n">
        <x:v>10537054</x:v>
      </x:c>
      <x:c r="K805" s="14" t="n">
        <x:f>INT(H805*'공식·설정'!$B$10/'공식·설정'!$B$15)</x:f>
        <x:v>10537054</x:v>
      </x:c>
      <x:c r="L805" s="68" t="n">
        <x:f>K805-J805</x:f>
        <x:v>0</x:v>
      </x:c>
      <x:c r="M805" s="65" t="n">
        <x:f>J805/'공식·설정'!$B$7</x:f>
        <x:v>41160.3671875</x:v>
      </x:c>
      <x:c r="N805" s="65" t="n">
        <x:f>K805/'공식·설정'!$B$7</x:f>
        <x:v>41160.3671875</x:v>
      </x:c>
      <x:c r="O805" s="14" t="n">
        <x:v>4116</x:v>
      </x:c>
      <x:c r="P805" s="14" t="n">
        <x:f>MIN(32767,MAX(0,INT((K805+INT('공식·설정'!$B$12/2))/'공식·설정'!$B$12)))</x:f>
        <x:v>4116</x:v>
      </x:c>
      <x:c r="Q805" s="68" t="n">
        <x:f>P805-O805</x:f>
        <x:v>0</x:v>
      </x:c>
      <x:c r="R805" s="14" t="n">
        <x:v>10545408</x:v>
      </x:c>
      <x:c r="S805" s="14" t="n">
        <x:f>P805*'공식·설정'!$B$12+'공식·설정'!$B$14</x:f>
        <x:v>10545408</x:v>
      </x:c>
      <x:c r="T805" s="68" t="n">
        <x:f>S805-R805</x:f>
        <x:v>0</x:v>
      </x:c>
      <x:c r="U805" s="65" t="n">
        <x:f>R805/'공식·설정'!$B$7</x:f>
        <x:v>41193</x:v>
      </x:c>
      <x:c r="V805" s="65" t="n">
        <x:f>S805/'공식·설정'!$B$7</x:f>
        <x:v>41193</x:v>
      </x:c>
      <x:c r="W805" s="14" t="n">
        <x:v>669</x:v>
      </x:c>
      <x:c r="X805" s="14" t="n">
        <x:f>INT(ABS(K806-K805)*'공식·설정'!$B$8/K805)</x:f>
        <x:v>669</x:v>
      </x:c>
      <x:c r="Y805" s="68" t="n">
        <x:f>X805-W805</x:f>
        <x:v>0</x:v>
      </x:c>
      <x:c r="Z805" s="66" t="n">
        <x:f>W805/'공식·설정'!$B$8</x:f>
        <x:v>0.0102081298828125</x:v>
      </x:c>
      <x:c r="AA805" s="66" t="n">
        <x:f>X805/'공식·설정'!$B$8</x:f>
        <x:v>0.0102081298828125</x:v>
      </x:c>
      <x:c r="AB805" s="67" t="str">
        <x:f>IF(AND(I805=0,L805=0,Q805=0,T805=0,Y805=0),"PASS","FAIL")</x:f>
        <x:v>PASS</x:v>
      </x:c>
    </x:row>
    <x:row r="806" ht="18" customHeight="1">
      <x:c r="A806" s="14" t="n">
        <x:v>909</x:v>
      </x:c>
      <x:c r="B806" s="14" t="n">
        <x:v>801</x:v>
      </x:c>
      <x:c r="C806" s="14" t="n">
        <x:v>896</x:v>
      </x:c>
      <x:c r="D806" s="14" t="n">
        <x:v>1419975</x:v>
      </x:c>
      <x:c r="E806" s="14" t="n">
        <x:v>910</x:v>
      </x:c>
      <x:c r="F806" s="14" t="n">
        <x:v>1651617</x:v>
      </x:c>
      <x:c r="G806" s="14" t="n">
        <x:v>1635071</x:v>
      </x:c>
      <x:c r="H806" s="14" t="n">
        <x:f>INT((F806-D806)*(A806-C806)/(E806-C806))+D806</x:f>
        <x:v>1635071</x:v>
      </x:c>
      <x:c r="I806" s="68" t="n">
        <x:f>H806-G806</x:f>
        <x:v>0</x:v>
      </x:c>
      <x:c r="J806" s="14" t="n">
        <x:v>10644773</x:v>
      </x:c>
      <x:c r="K806" s="14" t="n">
        <x:f>INT(H806*'공식·설정'!$B$10/'공식·설정'!$B$15)</x:f>
        <x:v>10644773</x:v>
      </x:c>
      <x:c r="L806" s="68" t="n">
        <x:f>K806-J806</x:f>
        <x:v>0</x:v>
      </x:c>
      <x:c r="M806" s="65" t="n">
        <x:f>J806/'공식·설정'!$B$7</x:f>
        <x:v>41581.14453125</x:v>
      </x:c>
      <x:c r="N806" s="65" t="n">
        <x:f>K806/'공식·설정'!$B$7</x:f>
        <x:v>41581.14453125</x:v>
      </x:c>
      <x:c r="O806" s="14" t="n">
        <x:v>4158</x:v>
      </x:c>
      <x:c r="P806" s="14" t="n">
        <x:f>MIN(32767,MAX(0,INT((K806+INT('공식·설정'!$B$12/2))/'공식·설정'!$B$12)))</x:f>
        <x:v>4158</x:v>
      </x:c>
      <x:c r="Q806" s="68" t="n">
        <x:f>P806-O806</x:f>
        <x:v>0</x:v>
      </x:c>
      <x:c r="R806" s="14" t="n">
        <x:v>10652928</x:v>
      </x:c>
      <x:c r="S806" s="14" t="n">
        <x:f>P806*'공식·설정'!$B$12+'공식·설정'!$B$14</x:f>
        <x:v>10652928</x:v>
      </x:c>
      <x:c r="T806" s="68" t="n">
        <x:f>S806-R806</x:f>
        <x:v>0</x:v>
      </x:c>
      <x:c r="U806" s="65" t="n">
        <x:f>R806/'공식·설정'!$B$7</x:f>
        <x:v>41613</x:v>
      </x:c>
      <x:c r="V806" s="65" t="n">
        <x:f>S806/'공식·설정'!$B$7</x:f>
        <x:v>41613</x:v>
      </x:c>
      <x:c r="W806" s="14" t="n">
        <x:v>663</x:v>
      </x:c>
      <x:c r="X806" s="14" t="n">
        <x:f>INT(ABS(K807-K806)*'공식·설정'!$B$8/K806)</x:f>
        <x:v>663</x:v>
      </x:c>
      <x:c r="Y806" s="68" t="n">
        <x:f>X806-W806</x:f>
        <x:v>0</x:v>
      </x:c>
      <x:c r="Z806" s="66" t="n">
        <x:f>W806/'공식·설정'!$B$8</x:f>
        <x:v>0.0101165771484375</x:v>
      </x:c>
      <x:c r="AA806" s="66" t="n">
        <x:f>X806/'공식·설정'!$B$8</x:f>
        <x:v>0.0101165771484375</x:v>
      </x:c>
      <x:c r="AB806" s="67" t="str">
        <x:f>IF(AND(I806=0,L806=0,Q806=0,T806=0,Y806=0),"PASS","FAIL")</x:f>
        <x:v>PASS</x:v>
      </x:c>
    </x:row>
    <x:row r="807" ht="18" customHeight="1">
      <x:c r="A807" s="14" t="n">
        <x:v>910</x:v>
      </x:c>
      <x:c r="B807" s="14" t="n">
        <x:v>802</x:v>
      </x:c>
      <x:c r="C807" s="14" t="n">
        <x:v>910</x:v>
      </x:c>
      <x:c r="D807" s="14" t="n">
        <x:v>1651617</x:v>
      </x:c>
      <x:c r="E807" s="14" t="n">
        <x:v>924</x:v>
      </x:c>
      <x:c r="F807" s="14" t="n">
        <x:v>1921046</x:v>
      </x:c>
      <x:c r="G807" s="14" t="n">
        <x:v>1651617</x:v>
      </x:c>
      <x:c r="H807" s="14" t="n">
        <x:f>INT((F807-D807)*(A807-C807)/(E807-C807))+D807</x:f>
        <x:v>1651617</x:v>
      </x:c>
      <x:c r="I807" s="68" t="n">
        <x:f>H807-G807</x:f>
        <x:v>0</x:v>
      </x:c>
      <x:c r="J807" s="14" t="n">
        <x:v>10752492</x:v>
      </x:c>
      <x:c r="K807" s="14" t="n">
        <x:f>INT(H807*'공식·설정'!$B$10/'공식·설정'!$B$15)</x:f>
        <x:v>10752492</x:v>
      </x:c>
      <x:c r="L807" s="68" t="n">
        <x:f>K807-J807</x:f>
        <x:v>0</x:v>
      </x:c>
      <x:c r="M807" s="65" t="n">
        <x:f>J807/'공식·설정'!$B$7</x:f>
        <x:v>42001.921875</x:v>
      </x:c>
      <x:c r="N807" s="65" t="n">
        <x:f>K807/'공식·설정'!$B$7</x:f>
        <x:v>42001.921875</x:v>
      </x:c>
      <x:c r="O807" s="14" t="n">
        <x:v>4200</x:v>
      </x:c>
      <x:c r="P807" s="14" t="n">
        <x:f>MIN(32767,MAX(0,INT((K807+INT('공식·설정'!$B$12/2))/'공식·설정'!$B$12)))</x:f>
        <x:v>4200</x:v>
      </x:c>
      <x:c r="Q807" s="68" t="n">
        <x:f>P807-O807</x:f>
        <x:v>0</x:v>
      </x:c>
      <x:c r="R807" s="14" t="n">
        <x:v>10760448</x:v>
      </x:c>
      <x:c r="S807" s="14" t="n">
        <x:f>P807*'공식·설정'!$B$12+'공식·설정'!$B$14</x:f>
        <x:v>10760448</x:v>
      </x:c>
      <x:c r="T807" s="68" t="n">
        <x:f>S807-R807</x:f>
        <x:v>0</x:v>
      </x:c>
      <x:c r="U807" s="65" t="n">
        <x:f>R807/'공식·설정'!$B$7</x:f>
        <x:v>42033</x:v>
      </x:c>
      <x:c r="V807" s="65" t="n">
        <x:f>S807/'공식·설정'!$B$7</x:f>
        <x:v>42033</x:v>
      </x:c>
      <x:c r="W807" s="14" t="n">
        <x:v>763</x:v>
      </x:c>
      <x:c r="X807" s="14" t="n">
        <x:f>INT(ABS(K808-K807)*'공식·설정'!$B$8/K807)</x:f>
        <x:v>763</x:v>
      </x:c>
      <x:c r="Y807" s="68" t="n">
        <x:f>X807-W807</x:f>
        <x:v>0</x:v>
      </x:c>
      <x:c r="Z807" s="66" t="n">
        <x:f>W807/'공식·설정'!$B$8</x:f>
        <x:v>0.0116424560546875</x:v>
      </x:c>
      <x:c r="AA807" s="66" t="n">
        <x:f>X807/'공식·설정'!$B$8</x:f>
        <x:v>0.0116424560546875</x:v>
      </x:c>
      <x:c r="AB807" s="67" t="str">
        <x:f>IF(AND(I807=0,L807=0,Q807=0,T807=0,Y807=0),"PASS","FAIL")</x:f>
        <x:v>PASS</x:v>
      </x:c>
    </x:row>
    <x:row r="808" ht="18" customHeight="1">
      <x:c r="A808" s="14" t="n">
        <x:v>911</x:v>
      </x:c>
      <x:c r="B808" s="14" t="n">
        <x:v>803</x:v>
      </x:c>
      <x:c r="C808" s="14" t="n">
        <x:v>910</x:v>
      </x:c>
      <x:c r="D808" s="14" t="n">
        <x:v>1651617</x:v>
      </x:c>
      <x:c r="E808" s="14" t="n">
        <x:v>924</x:v>
      </x:c>
      <x:c r="F808" s="14" t="n">
        <x:v>1921046</x:v>
      </x:c>
      <x:c r="G808" s="14" t="n">
        <x:v>1670861</x:v>
      </x:c>
      <x:c r="H808" s="14" t="n">
        <x:f>INT((F808-D808)*(A808-C808)/(E808-C808))+D808</x:f>
        <x:v>1670861</x:v>
      </x:c>
      <x:c r="I808" s="68" t="n">
        <x:f>H808-G808</x:f>
        <x:v>0</x:v>
      </x:c>
      <x:c r="J808" s="14" t="n">
        <x:v>10877776</x:v>
      </x:c>
      <x:c r="K808" s="14" t="n">
        <x:f>INT(H808*'공식·설정'!$B$10/'공식·설정'!$B$15)</x:f>
        <x:v>10877776</x:v>
      </x:c>
      <x:c r="L808" s="68" t="n">
        <x:f>K808-J808</x:f>
        <x:v>0</x:v>
      </x:c>
      <x:c r="M808" s="65" t="n">
        <x:f>J808/'공식·설정'!$B$7</x:f>
        <x:v>42491.3125</x:v>
      </x:c>
      <x:c r="N808" s="65" t="n">
        <x:f>K808/'공식·설정'!$B$7</x:f>
        <x:v>42491.3125</x:v>
      </x:c>
      <x:c r="O808" s="14" t="n">
        <x:v>4249</x:v>
      </x:c>
      <x:c r="P808" s="14" t="n">
        <x:f>MIN(32767,MAX(0,INT((K808+INT('공식·설정'!$B$12/2))/'공식·설정'!$B$12)))</x:f>
        <x:v>4249</x:v>
      </x:c>
      <x:c r="Q808" s="68" t="n">
        <x:f>P808-O808</x:f>
        <x:v>0</x:v>
      </x:c>
      <x:c r="R808" s="14" t="n">
        <x:v>10885888</x:v>
      </x:c>
      <x:c r="S808" s="14" t="n">
        <x:f>P808*'공식·설정'!$B$12+'공식·설정'!$B$14</x:f>
        <x:v>10885888</x:v>
      </x:c>
      <x:c r="T808" s="68" t="n">
        <x:f>S808-R808</x:f>
        <x:v>0</x:v>
      </x:c>
      <x:c r="U808" s="65" t="n">
        <x:f>R808/'공식·설정'!$B$7</x:f>
        <x:v>42523</x:v>
      </x:c>
      <x:c r="V808" s="65" t="n">
        <x:f>S808/'공식·설정'!$B$7</x:f>
        <x:v>42523</x:v>
      </x:c>
      <x:c r="W808" s="14" t="n">
        <x:v>754</x:v>
      </x:c>
      <x:c r="X808" s="14" t="n">
        <x:f>INT(ABS(K809-K808)*'공식·설정'!$B$8/K808)</x:f>
        <x:v>754</x:v>
      </x:c>
      <x:c r="Y808" s="68" t="n">
        <x:f>X808-W808</x:f>
        <x:v>0</x:v>
      </x:c>
      <x:c r="Z808" s="66" t="n">
        <x:f>W808/'공식·설정'!$B$8</x:f>
        <x:v>0.011505126953125</x:v>
      </x:c>
      <x:c r="AA808" s="66" t="n">
        <x:f>X808/'공식·설정'!$B$8</x:f>
        <x:v>0.011505126953125</x:v>
      </x:c>
      <x:c r="AB808" s="67" t="str">
        <x:f>IF(AND(I808=0,L808=0,Q808=0,T808=0,Y808=0),"PASS","FAIL")</x:f>
        <x:v>PASS</x:v>
      </x:c>
    </x:row>
    <x:row r="809" ht="18" customHeight="1">
      <x:c r="A809" s="14" t="n">
        <x:v>912</x:v>
      </x:c>
      <x:c r="B809" s="14" t="n">
        <x:v>804</x:v>
      </x:c>
      <x:c r="C809" s="14" t="n">
        <x:v>910</x:v>
      </x:c>
      <x:c r="D809" s="14" t="n">
        <x:v>1651617</x:v>
      </x:c>
      <x:c r="E809" s="14" t="n">
        <x:v>924</x:v>
      </x:c>
      <x:c r="F809" s="14" t="n">
        <x:v>1921046</x:v>
      </x:c>
      <x:c r="G809" s="14" t="n">
        <x:v>1690106</x:v>
      </x:c>
      <x:c r="H809" s="14" t="n">
        <x:f>INT((F809-D809)*(A809-C809)/(E809-C809))+D809</x:f>
        <x:v>1690106</x:v>
      </x:c>
      <x:c r="I809" s="68" t="n">
        <x:f>H809-G809</x:f>
        <x:v>0</x:v>
      </x:c>
      <x:c r="J809" s="14" t="n">
        <x:v>11003066</x:v>
      </x:c>
      <x:c r="K809" s="14" t="n">
        <x:f>INT(H809*'공식·설정'!$B$10/'공식·설정'!$B$15)</x:f>
        <x:v>11003066</x:v>
      </x:c>
      <x:c r="L809" s="68" t="n">
        <x:f>K809-J809</x:f>
        <x:v>0</x:v>
      </x:c>
      <x:c r="M809" s="65" t="n">
        <x:f>J809/'공식·설정'!$B$7</x:f>
        <x:v>42980.7265625</x:v>
      </x:c>
      <x:c r="N809" s="65" t="n">
        <x:f>K809/'공식·설정'!$B$7</x:f>
        <x:v>42980.7265625</x:v>
      </x:c>
      <x:c r="O809" s="14" t="n">
        <x:v>4298</x:v>
      </x:c>
      <x:c r="P809" s="14" t="n">
        <x:f>MIN(32767,MAX(0,INT((K809+INT('공식·설정'!$B$12/2))/'공식·설정'!$B$12)))</x:f>
        <x:v>4298</x:v>
      </x:c>
      <x:c r="Q809" s="68" t="n">
        <x:f>P809-O809</x:f>
        <x:v>0</x:v>
      </x:c>
      <x:c r="R809" s="14" t="n">
        <x:v>11011328</x:v>
      </x:c>
      <x:c r="S809" s="14" t="n">
        <x:f>P809*'공식·설정'!$B$12+'공식·설정'!$B$14</x:f>
        <x:v>11011328</x:v>
      </x:c>
      <x:c r="T809" s="68" t="n">
        <x:f>S809-R809</x:f>
        <x:v>0</x:v>
      </x:c>
      <x:c r="U809" s="65" t="n">
        <x:f>R809/'공식·설정'!$B$7</x:f>
        <x:v>43013</x:v>
      </x:c>
      <x:c r="V809" s="65" t="n">
        <x:f>S809/'공식·설정'!$B$7</x:f>
        <x:v>43013</x:v>
      </x:c>
      <x:c r="W809" s="14" t="n">
        <x:v>746</x:v>
      </x:c>
      <x:c r="X809" s="14" t="n">
        <x:f>INT(ABS(K810-K809)*'공식·설정'!$B$8/K809)</x:f>
        <x:v>746</x:v>
      </x:c>
      <x:c r="Y809" s="68" t="n">
        <x:f>X809-W809</x:f>
        <x:v>0</x:v>
      </x:c>
      <x:c r="Z809" s="66" t="n">
        <x:f>W809/'공식·설정'!$B$8</x:f>
        <x:v>0.011383056640625</x:v>
      </x:c>
      <x:c r="AA809" s="66" t="n">
        <x:f>X809/'공식·설정'!$B$8</x:f>
        <x:v>0.011383056640625</x:v>
      </x:c>
      <x:c r="AB809" s="67" t="str">
        <x:f>IF(AND(I809=0,L809=0,Q809=0,T809=0,Y809=0),"PASS","FAIL")</x:f>
        <x:v>PASS</x:v>
      </x:c>
    </x:row>
    <x:row r="810" ht="18" customHeight="1">
      <x:c r="A810" s="14" t="n">
        <x:v>913</x:v>
      </x:c>
      <x:c r="B810" s="14" t="n">
        <x:v>805</x:v>
      </x:c>
      <x:c r="C810" s="14" t="n">
        <x:v>910</x:v>
      </x:c>
      <x:c r="D810" s="14" t="n">
        <x:v>1651617</x:v>
      </x:c>
      <x:c r="E810" s="14" t="n">
        <x:v>924</x:v>
      </x:c>
      <x:c r="F810" s="14" t="n">
        <x:v>1921046</x:v>
      </x:c>
      <x:c r="G810" s="14" t="n">
        <x:v>1709351</x:v>
      </x:c>
      <x:c r="H810" s="14" t="n">
        <x:f>INT((F810-D810)*(A810-C810)/(E810-C810))+D810</x:f>
        <x:v>1709351</x:v>
      </x:c>
      <x:c r="I810" s="68" t="n">
        <x:f>H810-G810</x:f>
        <x:v>0</x:v>
      </x:c>
      <x:c r="J810" s="14" t="n">
        <x:v>11128357</x:v>
      </x:c>
      <x:c r="K810" s="14" t="n">
        <x:f>INT(H810*'공식·설정'!$B$10/'공식·설정'!$B$15)</x:f>
        <x:v>11128357</x:v>
      </x:c>
      <x:c r="L810" s="68" t="n">
        <x:f>K810-J810</x:f>
        <x:v>0</x:v>
      </x:c>
      <x:c r="M810" s="65" t="n">
        <x:f>J810/'공식·설정'!$B$7</x:f>
        <x:v>43470.14453125</x:v>
      </x:c>
      <x:c r="N810" s="65" t="n">
        <x:f>K810/'공식·설정'!$B$7</x:f>
        <x:v>43470.14453125</x:v>
      </x:c>
      <x:c r="O810" s="14" t="n">
        <x:v>4347</x:v>
      </x:c>
      <x:c r="P810" s="14" t="n">
        <x:f>MIN(32767,MAX(0,INT((K810+INT('공식·설정'!$B$12/2))/'공식·설정'!$B$12)))</x:f>
        <x:v>4347</x:v>
      </x:c>
      <x:c r="Q810" s="68" t="n">
        <x:f>P810-O810</x:f>
        <x:v>0</x:v>
      </x:c>
      <x:c r="R810" s="14" t="n">
        <x:v>11136768</x:v>
      </x:c>
      <x:c r="S810" s="14" t="n">
        <x:f>P810*'공식·설정'!$B$12+'공식·설정'!$B$14</x:f>
        <x:v>11136768</x:v>
      </x:c>
      <x:c r="T810" s="68" t="n">
        <x:f>S810-R810</x:f>
        <x:v>0</x:v>
      </x:c>
      <x:c r="U810" s="65" t="n">
        <x:f>R810/'공식·설정'!$B$7</x:f>
        <x:v>43503</x:v>
      </x:c>
      <x:c r="V810" s="65" t="n">
        <x:f>S810/'공식·설정'!$B$7</x:f>
        <x:v>43503</x:v>
      </x:c>
      <x:c r="W810" s="14" t="n">
        <x:v>737</x:v>
      </x:c>
      <x:c r="X810" s="14" t="n">
        <x:f>INT(ABS(K811-K810)*'공식·설정'!$B$8/K810)</x:f>
        <x:v>737</x:v>
      </x:c>
      <x:c r="Y810" s="68" t="n">
        <x:f>X810-W810</x:f>
        <x:v>0</x:v>
      </x:c>
      <x:c r="Z810" s="66" t="n">
        <x:f>W810/'공식·설정'!$B$8</x:f>
        <x:v>0.0112457275390625</x:v>
      </x:c>
      <x:c r="AA810" s="66" t="n">
        <x:f>X810/'공식·설정'!$B$8</x:f>
        <x:v>0.0112457275390625</x:v>
      </x:c>
      <x:c r="AB810" s="67" t="str">
        <x:f>IF(AND(I810=0,L810=0,Q810=0,T810=0,Y810=0),"PASS","FAIL")</x:f>
        <x:v>PASS</x:v>
      </x:c>
    </x:row>
    <x:row r="811" ht="18" customHeight="1">
      <x:c r="A811" s="14" t="n">
        <x:v>914</x:v>
      </x:c>
      <x:c r="B811" s="14" t="n">
        <x:v>806</x:v>
      </x:c>
      <x:c r="C811" s="14" t="n">
        <x:v>910</x:v>
      </x:c>
      <x:c r="D811" s="14" t="n">
        <x:v>1651617</x:v>
      </x:c>
      <x:c r="E811" s="14" t="n">
        <x:v>924</x:v>
      </x:c>
      <x:c r="F811" s="14" t="n">
        <x:v>1921046</x:v>
      </x:c>
      <x:c r="G811" s="14" t="n">
        <x:v>1728596</x:v>
      </x:c>
      <x:c r="H811" s="14" t="n">
        <x:f>INT((F811-D811)*(A811-C811)/(E811-C811))+D811</x:f>
        <x:v>1728596</x:v>
      </x:c>
      <x:c r="I811" s="68" t="n">
        <x:f>H811-G811</x:f>
        <x:v>0</x:v>
      </x:c>
      <x:c r="J811" s="14" t="n">
        <x:v>11253647</x:v>
      </x:c>
      <x:c r="K811" s="14" t="n">
        <x:f>INT(H811*'공식·설정'!$B$10/'공식·설정'!$B$15)</x:f>
        <x:v>11253647</x:v>
      </x:c>
      <x:c r="L811" s="68" t="n">
        <x:f>K811-J811</x:f>
        <x:v>0</x:v>
      </x:c>
      <x:c r="M811" s="65" t="n">
        <x:f>J811/'공식·설정'!$B$7</x:f>
        <x:v>43959.55859375</x:v>
      </x:c>
      <x:c r="N811" s="65" t="n">
        <x:f>K811/'공식·설정'!$B$7</x:f>
        <x:v>43959.55859375</x:v>
      </x:c>
      <x:c r="O811" s="14" t="n">
        <x:v>4396</x:v>
      </x:c>
      <x:c r="P811" s="14" t="n">
        <x:f>MIN(32767,MAX(0,INT((K811+INT('공식·설정'!$B$12/2))/'공식·설정'!$B$12)))</x:f>
        <x:v>4396</x:v>
      </x:c>
      <x:c r="Q811" s="68" t="n">
        <x:f>P811-O811</x:f>
        <x:v>0</x:v>
      </x:c>
      <x:c r="R811" s="14" t="n">
        <x:v>11262208</x:v>
      </x:c>
      <x:c r="S811" s="14" t="n">
        <x:f>P811*'공식·설정'!$B$12+'공식·설정'!$B$14</x:f>
        <x:v>11262208</x:v>
      </x:c>
      <x:c r="T811" s="68" t="n">
        <x:f>S811-R811</x:f>
        <x:v>0</x:v>
      </x:c>
      <x:c r="U811" s="65" t="n">
        <x:f>R811/'공식·설정'!$B$7</x:f>
        <x:v>43993</x:v>
      </x:c>
      <x:c r="V811" s="65" t="n">
        <x:f>S811/'공식·설정'!$B$7</x:f>
        <x:v>43993</x:v>
      </x:c>
      <x:c r="W811" s="14" t="n">
        <x:v>729</x:v>
      </x:c>
      <x:c r="X811" s="14" t="n">
        <x:f>INT(ABS(K812-K811)*'공식·설정'!$B$8/K811)</x:f>
        <x:v>729</x:v>
      </x:c>
      <x:c r="Y811" s="68" t="n">
        <x:f>X811-W811</x:f>
        <x:v>0</x:v>
      </x:c>
      <x:c r="Z811" s="66" t="n">
        <x:f>W811/'공식·설정'!$B$8</x:f>
        <x:v>0.0111236572265625</x:v>
      </x:c>
      <x:c r="AA811" s="66" t="n">
        <x:f>X811/'공식·설정'!$B$8</x:f>
        <x:v>0.0111236572265625</x:v>
      </x:c>
      <x:c r="AB811" s="67" t="str">
        <x:f>IF(AND(I811=0,L811=0,Q811=0,T811=0,Y811=0),"PASS","FAIL")</x:f>
        <x:v>PASS</x:v>
      </x:c>
    </x:row>
    <x:row r="812" ht="18" customHeight="1">
      <x:c r="A812" s="14" t="n">
        <x:v>915</x:v>
      </x:c>
      <x:c r="B812" s="14" t="n">
        <x:v>807</x:v>
      </x:c>
      <x:c r="C812" s="14" t="n">
        <x:v>910</x:v>
      </x:c>
      <x:c r="D812" s="14" t="n">
        <x:v>1651617</x:v>
      </x:c>
      <x:c r="E812" s="14" t="n">
        <x:v>924</x:v>
      </x:c>
      <x:c r="F812" s="14" t="n">
        <x:v>1921046</x:v>
      </x:c>
      <x:c r="G812" s="14" t="n">
        <x:v>1747841</x:v>
      </x:c>
      <x:c r="H812" s="14" t="n">
        <x:f>INT((F812-D812)*(A812-C812)/(E812-C812))+D812</x:f>
        <x:v>1747841</x:v>
      </x:c>
      <x:c r="I812" s="68" t="n">
        <x:f>H812-G812</x:f>
        <x:v>0</x:v>
      </x:c>
      <x:c r="J812" s="14" t="n">
        <x:v>11378937</x:v>
      </x:c>
      <x:c r="K812" s="14" t="n">
        <x:f>INT(H812*'공식·설정'!$B$10/'공식·설정'!$B$15)</x:f>
        <x:v>11378937</x:v>
      </x:c>
      <x:c r="L812" s="68" t="n">
        <x:f>K812-J812</x:f>
        <x:v>0</x:v>
      </x:c>
      <x:c r="M812" s="65" t="n">
        <x:f>J812/'공식·설정'!$B$7</x:f>
        <x:v>44448.97265625</x:v>
      </x:c>
      <x:c r="N812" s="65" t="n">
        <x:f>K812/'공식·설정'!$B$7</x:f>
        <x:v>44448.97265625</x:v>
      </x:c>
      <x:c r="O812" s="14" t="n">
        <x:v>4445</x:v>
      </x:c>
      <x:c r="P812" s="14" t="n">
        <x:f>MIN(32767,MAX(0,INT((K812+INT('공식·설정'!$B$12/2))/'공식·설정'!$B$12)))</x:f>
        <x:v>4445</x:v>
      </x:c>
      <x:c r="Q812" s="68" t="n">
        <x:f>P812-O812</x:f>
        <x:v>0</x:v>
      </x:c>
      <x:c r="R812" s="14" t="n">
        <x:v>11387648</x:v>
      </x:c>
      <x:c r="S812" s="14" t="n">
        <x:f>P812*'공식·설정'!$B$12+'공식·설정'!$B$14</x:f>
        <x:v>11387648</x:v>
      </x:c>
      <x:c r="T812" s="68" t="n">
        <x:f>S812-R812</x:f>
        <x:v>0</x:v>
      </x:c>
      <x:c r="U812" s="65" t="n">
        <x:f>R812/'공식·설정'!$B$7</x:f>
        <x:v>44483</x:v>
      </x:c>
      <x:c r="V812" s="65" t="n">
        <x:f>S812/'공식·설정'!$B$7</x:f>
        <x:v>44483</x:v>
      </x:c>
      <x:c r="W812" s="14" t="n">
        <x:v>721</x:v>
      </x:c>
      <x:c r="X812" s="14" t="n">
        <x:f>INT(ABS(K813-K812)*'공식·설정'!$B$8/K812)</x:f>
        <x:v>721</x:v>
      </x:c>
      <x:c r="Y812" s="68" t="n">
        <x:f>X812-W812</x:f>
        <x:v>0</x:v>
      </x:c>
      <x:c r="Z812" s="66" t="n">
        <x:f>W812/'공식·설정'!$B$8</x:f>
        <x:v>0.0110015869140625</x:v>
      </x:c>
      <x:c r="AA812" s="66" t="n">
        <x:f>X812/'공식·설정'!$B$8</x:f>
        <x:v>0.0110015869140625</x:v>
      </x:c>
      <x:c r="AB812" s="67" t="str">
        <x:f>IF(AND(I812=0,L812=0,Q812=0,T812=0,Y812=0),"PASS","FAIL")</x:f>
        <x:v>PASS</x:v>
      </x:c>
    </x:row>
    <x:row r="813" ht="18" customHeight="1">
      <x:c r="A813" s="14" t="n">
        <x:v>916</x:v>
      </x:c>
      <x:c r="B813" s="14" t="n">
        <x:v>808</x:v>
      </x:c>
      <x:c r="C813" s="14" t="n">
        <x:v>910</x:v>
      </x:c>
      <x:c r="D813" s="14" t="n">
        <x:v>1651617</x:v>
      </x:c>
      <x:c r="E813" s="14" t="n">
        <x:v>924</x:v>
      </x:c>
      <x:c r="F813" s="14" t="n">
        <x:v>1921046</x:v>
      </x:c>
      <x:c r="G813" s="14" t="n">
        <x:v>1767086</x:v>
      </x:c>
      <x:c r="H813" s="14" t="n">
        <x:f>INT((F813-D813)*(A813-C813)/(E813-C813))+D813</x:f>
        <x:v>1767086</x:v>
      </x:c>
      <x:c r="I813" s="68" t="n">
        <x:f>H813-G813</x:f>
        <x:v>0</x:v>
      </x:c>
      <x:c r="J813" s="14" t="n">
        <x:v>11504228</x:v>
      </x:c>
      <x:c r="K813" s="14" t="n">
        <x:f>INT(H813*'공식·설정'!$B$10/'공식·설정'!$B$15)</x:f>
        <x:v>11504228</x:v>
      </x:c>
      <x:c r="L813" s="68" t="n">
        <x:f>K813-J813</x:f>
        <x:v>0</x:v>
      </x:c>
      <x:c r="M813" s="65" t="n">
        <x:f>J813/'공식·설정'!$B$7</x:f>
        <x:v>44938.390625</x:v>
      </x:c>
      <x:c r="N813" s="65" t="n">
        <x:f>K813/'공식·설정'!$B$7</x:f>
        <x:v>44938.390625</x:v>
      </x:c>
      <x:c r="O813" s="14" t="n">
        <x:v>4494</x:v>
      </x:c>
      <x:c r="P813" s="14" t="n">
        <x:f>MIN(32767,MAX(0,INT((K813+INT('공식·설정'!$B$12/2))/'공식·설정'!$B$12)))</x:f>
        <x:v>4494</x:v>
      </x:c>
      <x:c r="Q813" s="68" t="n">
        <x:f>P813-O813</x:f>
        <x:v>0</x:v>
      </x:c>
      <x:c r="R813" s="14" t="n">
        <x:v>11513088</x:v>
      </x:c>
      <x:c r="S813" s="14" t="n">
        <x:f>P813*'공식·설정'!$B$12+'공식·설정'!$B$14</x:f>
        <x:v>11513088</x:v>
      </x:c>
      <x:c r="T813" s="68" t="n">
        <x:f>S813-R813</x:f>
        <x:v>0</x:v>
      </x:c>
      <x:c r="U813" s="65" t="n">
        <x:f>R813/'공식·설정'!$B$7</x:f>
        <x:v>44973</x:v>
      </x:c>
      <x:c r="V813" s="65" t="n">
        <x:f>S813/'공식·설정'!$B$7</x:f>
        <x:v>44973</x:v>
      </x:c>
      <x:c r="W813" s="14" t="n">
        <x:v>713</x:v>
      </x:c>
      <x:c r="X813" s="14" t="n">
        <x:f>INT(ABS(K814-K813)*'공식·설정'!$B$8/K813)</x:f>
        <x:v>713</x:v>
      </x:c>
      <x:c r="Y813" s="68" t="n">
        <x:f>X813-W813</x:f>
        <x:v>0</x:v>
      </x:c>
      <x:c r="Z813" s="66" t="n">
        <x:f>W813/'공식·설정'!$B$8</x:f>
        <x:v>0.0108795166015625</x:v>
      </x:c>
      <x:c r="AA813" s="66" t="n">
        <x:f>X813/'공식·설정'!$B$8</x:f>
        <x:v>0.0108795166015625</x:v>
      </x:c>
      <x:c r="AB813" s="67" t="str">
        <x:f>IF(AND(I813=0,L813=0,Q813=0,T813=0,Y813=0),"PASS","FAIL")</x:f>
        <x:v>PASS</x:v>
      </x:c>
    </x:row>
    <x:row r="814" ht="18" customHeight="1">
      <x:c r="A814" s="14" t="n">
        <x:v>917</x:v>
      </x:c>
      <x:c r="B814" s="14" t="n">
        <x:v>809</x:v>
      </x:c>
      <x:c r="C814" s="14" t="n">
        <x:v>910</x:v>
      </x:c>
      <x:c r="D814" s="14" t="n">
        <x:v>1651617</x:v>
      </x:c>
      <x:c r="E814" s="14" t="n">
        <x:v>924</x:v>
      </x:c>
      <x:c r="F814" s="14" t="n">
        <x:v>1921046</x:v>
      </x:c>
      <x:c r="G814" s="14" t="n">
        <x:v>1786331</x:v>
      </x:c>
      <x:c r="H814" s="14" t="n">
        <x:f>INT((F814-D814)*(A814-C814)/(E814-C814))+D814</x:f>
        <x:v>1786331</x:v>
      </x:c>
      <x:c r="I814" s="68" t="n">
        <x:f>H814-G814</x:f>
        <x:v>0</x:v>
      </x:c>
      <x:c r="J814" s="14" t="n">
        <x:v>11629518</x:v>
      </x:c>
      <x:c r="K814" s="14" t="n">
        <x:f>INT(H814*'공식·설정'!$B$10/'공식·설정'!$B$15)</x:f>
        <x:v>11629518</x:v>
      </x:c>
      <x:c r="L814" s="68" t="n">
        <x:f>K814-J814</x:f>
        <x:v>0</x:v>
      </x:c>
      <x:c r="M814" s="65" t="n">
        <x:f>J814/'공식·설정'!$B$7</x:f>
        <x:v>45427.8046875</x:v>
      </x:c>
      <x:c r="N814" s="65" t="n">
        <x:f>K814/'공식·설정'!$B$7</x:f>
        <x:v>45427.8046875</x:v>
      </x:c>
      <x:c r="O814" s="14" t="n">
        <x:v>4543</x:v>
      </x:c>
      <x:c r="P814" s="14" t="n">
        <x:f>MIN(32767,MAX(0,INT((K814+INT('공식·설정'!$B$12/2))/'공식·설정'!$B$12)))</x:f>
        <x:v>4543</x:v>
      </x:c>
      <x:c r="Q814" s="68" t="n">
        <x:f>P814-O814</x:f>
        <x:v>0</x:v>
      </x:c>
      <x:c r="R814" s="14" t="n">
        <x:v>11638528</x:v>
      </x:c>
      <x:c r="S814" s="14" t="n">
        <x:f>P814*'공식·설정'!$B$12+'공식·설정'!$B$14</x:f>
        <x:v>11638528</x:v>
      </x:c>
      <x:c r="T814" s="68" t="n">
        <x:f>S814-R814</x:f>
        <x:v>0</x:v>
      </x:c>
      <x:c r="U814" s="65" t="n">
        <x:f>R814/'공식·설정'!$B$7</x:f>
        <x:v>45463</x:v>
      </x:c>
      <x:c r="V814" s="65" t="n">
        <x:f>S814/'공식·설정'!$B$7</x:f>
        <x:v>45463</x:v>
      </x:c>
      <x:c r="W814" s="14" t="n">
        <x:v>706</x:v>
      </x:c>
      <x:c r="X814" s="14" t="n">
        <x:f>INT(ABS(K815-K814)*'공식·설정'!$B$8/K814)</x:f>
        <x:v>706</x:v>
      </x:c>
      <x:c r="Y814" s="68" t="n">
        <x:f>X814-W814</x:f>
        <x:v>0</x:v>
      </x:c>
      <x:c r="Z814" s="66" t="n">
        <x:f>W814/'공식·설정'!$B$8</x:f>
        <x:v>0.010772705078125</x:v>
      </x:c>
      <x:c r="AA814" s="66" t="n">
        <x:f>X814/'공식·설정'!$B$8</x:f>
        <x:v>0.010772705078125</x:v>
      </x:c>
      <x:c r="AB814" s="67" t="str">
        <x:f>IF(AND(I814=0,L814=0,Q814=0,T814=0,Y814=0),"PASS","FAIL")</x:f>
        <x:v>PASS</x:v>
      </x:c>
    </x:row>
    <x:row r="815" ht="18" customHeight="1">
      <x:c r="A815" s="14" t="n">
        <x:v>918</x:v>
      </x:c>
      <x:c r="B815" s="14" t="n">
        <x:v>810</x:v>
      </x:c>
      <x:c r="C815" s="14" t="n">
        <x:v>910</x:v>
      </x:c>
      <x:c r="D815" s="14" t="n">
        <x:v>1651617</x:v>
      </x:c>
      <x:c r="E815" s="14" t="n">
        <x:v>924</x:v>
      </x:c>
      <x:c r="F815" s="14" t="n">
        <x:v>1921046</x:v>
      </x:c>
      <x:c r="G815" s="14" t="n">
        <x:v>1805576</x:v>
      </x:c>
      <x:c r="H815" s="14" t="n">
        <x:f>INT((F815-D815)*(A815-C815)/(E815-C815))+D815</x:f>
        <x:v>1805576</x:v>
      </x:c>
      <x:c r="I815" s="68" t="n">
        <x:f>H815-G815</x:f>
        <x:v>0</x:v>
      </x:c>
      <x:c r="J815" s="14" t="n">
        <x:v>11754808</x:v>
      </x:c>
      <x:c r="K815" s="14" t="n">
        <x:f>INT(H815*'공식·설정'!$B$10/'공식·설정'!$B$15)</x:f>
        <x:v>11754808</x:v>
      </x:c>
      <x:c r="L815" s="68" t="n">
        <x:f>K815-J815</x:f>
        <x:v>0</x:v>
      </x:c>
      <x:c r="M815" s="65" t="n">
        <x:f>J815/'공식·설정'!$B$7</x:f>
        <x:v>45917.21875</x:v>
      </x:c>
      <x:c r="N815" s="65" t="n">
        <x:f>K815/'공식·설정'!$B$7</x:f>
        <x:v>45917.21875</x:v>
      </x:c>
      <x:c r="O815" s="14" t="n">
        <x:v>4592</x:v>
      </x:c>
      <x:c r="P815" s="14" t="n">
        <x:f>MIN(32767,MAX(0,INT((K815+INT('공식·설정'!$B$12/2))/'공식·설정'!$B$12)))</x:f>
        <x:v>4592</x:v>
      </x:c>
      <x:c r="Q815" s="68" t="n">
        <x:f>P815-O815</x:f>
        <x:v>0</x:v>
      </x:c>
      <x:c r="R815" s="14" t="n">
        <x:v>11763968</x:v>
      </x:c>
      <x:c r="S815" s="14" t="n">
        <x:f>P815*'공식·설정'!$B$12+'공식·설정'!$B$14</x:f>
        <x:v>11763968</x:v>
      </x:c>
      <x:c r="T815" s="68" t="n">
        <x:f>S815-R815</x:f>
        <x:v>0</x:v>
      </x:c>
      <x:c r="U815" s="65" t="n">
        <x:f>R815/'공식·설정'!$B$7</x:f>
        <x:v>45953</x:v>
      </x:c>
      <x:c r="V815" s="65" t="n">
        <x:f>S815/'공식·설정'!$B$7</x:f>
        <x:v>45953</x:v>
      </x:c>
      <x:c r="W815" s="14" t="n">
        <x:v>698</x:v>
      </x:c>
      <x:c r="X815" s="14" t="n">
        <x:f>INT(ABS(K816-K815)*'공식·설정'!$B$8/K815)</x:f>
        <x:v>698</x:v>
      </x:c>
      <x:c r="Y815" s="68" t="n">
        <x:f>X815-W815</x:f>
        <x:v>0</x:v>
      </x:c>
      <x:c r="Z815" s="66" t="n">
        <x:f>W815/'공식·설정'!$B$8</x:f>
        <x:v>0.010650634765625</x:v>
      </x:c>
      <x:c r="AA815" s="66" t="n">
        <x:f>X815/'공식·설정'!$B$8</x:f>
        <x:v>0.010650634765625</x:v>
      </x:c>
      <x:c r="AB815" s="67" t="str">
        <x:f>IF(AND(I815=0,L815=0,Q815=0,T815=0,Y815=0),"PASS","FAIL")</x:f>
        <x:v>PASS</x:v>
      </x:c>
    </x:row>
    <x:row r="816" ht="18" customHeight="1">
      <x:c r="A816" s="14" t="n">
        <x:v>919</x:v>
      </x:c>
      <x:c r="B816" s="14" t="n">
        <x:v>811</x:v>
      </x:c>
      <x:c r="C816" s="14" t="n">
        <x:v>910</x:v>
      </x:c>
      <x:c r="D816" s="14" t="n">
        <x:v>1651617</x:v>
      </x:c>
      <x:c r="E816" s="14" t="n">
        <x:v>924</x:v>
      </x:c>
      <x:c r="F816" s="14" t="n">
        <x:v>1921046</x:v>
      </x:c>
      <x:c r="G816" s="14" t="n">
        <x:v>1824821</x:v>
      </x:c>
      <x:c r="H816" s="14" t="n">
        <x:f>INT((F816-D816)*(A816-C816)/(E816-C816))+D816</x:f>
        <x:v>1824821</x:v>
      </x:c>
      <x:c r="I816" s="68" t="n">
        <x:f>H816-G816</x:f>
        <x:v>0</x:v>
      </x:c>
      <x:c r="J816" s="14" t="n">
        <x:v>11880099</x:v>
      </x:c>
      <x:c r="K816" s="14" t="n">
        <x:f>INT(H816*'공식·설정'!$B$10/'공식·설정'!$B$15)</x:f>
        <x:v>11880099</x:v>
      </x:c>
      <x:c r="L816" s="68" t="n">
        <x:f>K816-J816</x:f>
        <x:v>0</x:v>
      </x:c>
      <x:c r="M816" s="65" t="n">
        <x:f>J816/'공식·설정'!$B$7</x:f>
        <x:v>46406.63671875</x:v>
      </x:c>
      <x:c r="N816" s="65" t="n">
        <x:f>K816/'공식·설정'!$B$7</x:f>
        <x:v>46406.63671875</x:v>
      </x:c>
      <x:c r="O816" s="14" t="n">
        <x:v>4641</x:v>
      </x:c>
      <x:c r="P816" s="14" t="n">
        <x:f>MIN(32767,MAX(0,INT((K816+INT('공식·설정'!$B$12/2))/'공식·설정'!$B$12)))</x:f>
        <x:v>4641</x:v>
      </x:c>
      <x:c r="Q816" s="68" t="n">
        <x:f>P816-O816</x:f>
        <x:v>0</x:v>
      </x:c>
      <x:c r="R816" s="14" t="n">
        <x:v>11889408</x:v>
      </x:c>
      <x:c r="S816" s="14" t="n">
        <x:f>P816*'공식·설정'!$B$12+'공식·설정'!$B$14</x:f>
        <x:v>11889408</x:v>
      </x:c>
      <x:c r="T816" s="68" t="n">
        <x:f>S816-R816</x:f>
        <x:v>0</x:v>
      </x:c>
      <x:c r="U816" s="65" t="n">
        <x:f>R816/'공식·설정'!$B$7</x:f>
        <x:v>46443</x:v>
      </x:c>
      <x:c r="V816" s="65" t="n">
        <x:f>S816/'공식·설정'!$B$7</x:f>
        <x:v>46443</x:v>
      </x:c>
      <x:c r="W816" s="14" t="n">
        <x:v>691</x:v>
      </x:c>
      <x:c r="X816" s="14" t="n">
        <x:f>INT(ABS(K817-K816)*'공식·설정'!$B$8/K816)</x:f>
        <x:v>691</x:v>
      </x:c>
      <x:c r="Y816" s="68" t="n">
        <x:f>X816-W816</x:f>
        <x:v>0</x:v>
      </x:c>
      <x:c r="Z816" s="66" t="n">
        <x:f>W816/'공식·설정'!$B$8</x:f>
        <x:v>0.0105438232421875</x:v>
      </x:c>
      <x:c r="AA816" s="66" t="n">
        <x:f>X816/'공식·설정'!$B$8</x:f>
        <x:v>0.0105438232421875</x:v>
      </x:c>
      <x:c r="AB816" s="67" t="str">
        <x:f>IF(AND(I816=0,L816=0,Q816=0,T816=0,Y816=0),"PASS","FAIL")</x:f>
        <x:v>PASS</x:v>
      </x:c>
    </x:row>
    <x:row r="817" ht="18" customHeight="1">
      <x:c r="A817" s="14" t="n">
        <x:v>920</x:v>
      </x:c>
      <x:c r="B817" s="14" t="n">
        <x:v>812</x:v>
      </x:c>
      <x:c r="C817" s="14" t="n">
        <x:v>910</x:v>
      </x:c>
      <x:c r="D817" s="14" t="n">
        <x:v>1651617</x:v>
      </x:c>
      <x:c r="E817" s="14" t="n">
        <x:v>924</x:v>
      </x:c>
      <x:c r="F817" s="14" t="n">
        <x:v>1921046</x:v>
      </x:c>
      <x:c r="G817" s="14" t="n">
        <x:v>1844066</x:v>
      </x:c>
      <x:c r="H817" s="14" t="n">
        <x:f>INT((F817-D817)*(A817-C817)/(E817-C817))+D817</x:f>
        <x:v>1844066</x:v>
      </x:c>
      <x:c r="I817" s="68" t="n">
        <x:f>H817-G817</x:f>
        <x:v>0</x:v>
      </x:c>
      <x:c r="J817" s="14" t="n">
        <x:v>12005389</x:v>
      </x:c>
      <x:c r="K817" s="14" t="n">
        <x:f>INT(H817*'공식·설정'!$B$10/'공식·설정'!$B$15)</x:f>
        <x:v>12005389</x:v>
      </x:c>
      <x:c r="L817" s="68" t="n">
        <x:f>K817-J817</x:f>
        <x:v>0</x:v>
      </x:c>
      <x:c r="M817" s="65" t="n">
        <x:f>J817/'공식·설정'!$B$7</x:f>
        <x:v>46896.05078125</x:v>
      </x:c>
      <x:c r="N817" s="65" t="n">
        <x:f>K817/'공식·설정'!$B$7</x:f>
        <x:v>46896.05078125</x:v>
      </x:c>
      <x:c r="O817" s="14" t="n">
        <x:v>4690</x:v>
      </x:c>
      <x:c r="P817" s="14" t="n">
        <x:f>MIN(32767,MAX(0,INT((K817+INT('공식·설정'!$B$12/2))/'공식·설정'!$B$12)))</x:f>
        <x:v>4690</x:v>
      </x:c>
      <x:c r="Q817" s="68" t="n">
        <x:f>P817-O817</x:f>
        <x:v>0</x:v>
      </x:c>
      <x:c r="R817" s="14" t="n">
        <x:v>12014848</x:v>
      </x:c>
      <x:c r="S817" s="14" t="n">
        <x:f>P817*'공식·설정'!$B$12+'공식·설정'!$B$14</x:f>
        <x:v>12014848</x:v>
      </x:c>
      <x:c r="T817" s="68" t="n">
        <x:f>S817-R817</x:f>
        <x:v>0</x:v>
      </x:c>
      <x:c r="U817" s="65" t="n">
        <x:f>R817/'공식·설정'!$B$7</x:f>
        <x:v>46933</x:v>
      </x:c>
      <x:c r="V817" s="65" t="n">
        <x:f>S817/'공식·설정'!$B$7</x:f>
        <x:v>46933</x:v>
      </x:c>
      <x:c r="W817" s="14" t="n">
        <x:v>683</x:v>
      </x:c>
      <x:c r="X817" s="14" t="n">
        <x:f>INT(ABS(K818-K817)*'공식·설정'!$B$8/K817)</x:f>
        <x:v>683</x:v>
      </x:c>
      <x:c r="Y817" s="68" t="n">
        <x:f>X817-W817</x:f>
        <x:v>0</x:v>
      </x:c>
      <x:c r="Z817" s="66" t="n">
        <x:f>W817/'공식·설정'!$B$8</x:f>
        <x:v>0.0104217529296875</x:v>
      </x:c>
      <x:c r="AA817" s="66" t="n">
        <x:f>X817/'공식·설정'!$B$8</x:f>
        <x:v>0.0104217529296875</x:v>
      </x:c>
      <x:c r="AB817" s="67" t="str">
        <x:f>IF(AND(I817=0,L817=0,Q817=0,T817=0,Y817=0),"PASS","FAIL")</x:f>
        <x:v>PASS</x:v>
      </x:c>
    </x:row>
    <x:row r="818" ht="18" customHeight="1">
      <x:c r="A818" s="14" t="n">
        <x:v>921</x:v>
      </x:c>
      <x:c r="B818" s="14" t="n">
        <x:v>813</x:v>
      </x:c>
      <x:c r="C818" s="14" t="n">
        <x:v>910</x:v>
      </x:c>
      <x:c r="D818" s="14" t="n">
        <x:v>1651617</x:v>
      </x:c>
      <x:c r="E818" s="14" t="n">
        <x:v>924</x:v>
      </x:c>
      <x:c r="F818" s="14" t="n">
        <x:v>1921046</x:v>
      </x:c>
      <x:c r="G818" s="14" t="n">
        <x:v>1863311</x:v>
      </x:c>
      <x:c r="H818" s="14" t="n">
        <x:f>INT((F818-D818)*(A818-C818)/(E818-C818))+D818</x:f>
        <x:v>1863311</x:v>
      </x:c>
      <x:c r="I818" s="68" t="n">
        <x:f>H818-G818</x:f>
        <x:v>0</x:v>
      </x:c>
      <x:c r="J818" s="14" t="n">
        <x:v>12130680</x:v>
      </x:c>
      <x:c r="K818" s="14" t="n">
        <x:f>INT(H818*'공식·설정'!$B$10/'공식·설정'!$B$15)</x:f>
        <x:v>12130680</x:v>
      </x:c>
      <x:c r="L818" s="68" t="n">
        <x:f>K818-J818</x:f>
        <x:v>0</x:v>
      </x:c>
      <x:c r="M818" s="65" t="n">
        <x:f>J818/'공식·설정'!$B$7</x:f>
        <x:v>47385.46875</x:v>
      </x:c>
      <x:c r="N818" s="65" t="n">
        <x:f>K818/'공식·설정'!$B$7</x:f>
        <x:v>47385.46875</x:v>
      </x:c>
      <x:c r="O818" s="14" t="n">
        <x:v>4739</x:v>
      </x:c>
      <x:c r="P818" s="14" t="n">
        <x:f>MIN(32767,MAX(0,INT((K818+INT('공식·설정'!$B$12/2))/'공식·설정'!$B$12)))</x:f>
        <x:v>4739</x:v>
      </x:c>
      <x:c r="Q818" s="68" t="n">
        <x:f>P818-O818</x:f>
        <x:v>0</x:v>
      </x:c>
      <x:c r="R818" s="14" t="n">
        <x:v>12140288</x:v>
      </x:c>
      <x:c r="S818" s="14" t="n">
        <x:f>P818*'공식·설정'!$B$12+'공식·설정'!$B$14</x:f>
        <x:v>12140288</x:v>
      </x:c>
      <x:c r="T818" s="68" t="n">
        <x:f>S818-R818</x:f>
        <x:v>0</x:v>
      </x:c>
      <x:c r="U818" s="65" t="n">
        <x:f>R818/'공식·설정'!$B$7</x:f>
        <x:v>47423</x:v>
      </x:c>
      <x:c r="V818" s="65" t="n">
        <x:f>S818/'공식·설정'!$B$7</x:f>
        <x:v>47423</x:v>
      </x:c>
      <x:c r="W818" s="14" t="n">
        <x:v>676</x:v>
      </x:c>
      <x:c r="X818" s="14" t="n">
        <x:f>INT(ABS(K819-K818)*'공식·설정'!$B$8/K818)</x:f>
        <x:v>676</x:v>
      </x:c>
      <x:c r="Y818" s="68" t="n">
        <x:f>X818-W818</x:f>
        <x:v>0</x:v>
      </x:c>
      <x:c r="Z818" s="66" t="n">
        <x:f>W818/'공식·설정'!$B$8</x:f>
        <x:v>0.01031494140625</x:v>
      </x:c>
      <x:c r="AA818" s="66" t="n">
        <x:f>X818/'공식·설정'!$B$8</x:f>
        <x:v>0.01031494140625</x:v>
      </x:c>
      <x:c r="AB818" s="67" t="str">
        <x:f>IF(AND(I818=0,L818=0,Q818=0,T818=0,Y818=0),"PASS","FAIL")</x:f>
        <x:v>PASS</x:v>
      </x:c>
    </x:row>
    <x:row r="819" ht="18" customHeight="1">
      <x:c r="A819" s="14" t="n">
        <x:v>922</x:v>
      </x:c>
      <x:c r="B819" s="14" t="n">
        <x:v>814</x:v>
      </x:c>
      <x:c r="C819" s="14" t="n">
        <x:v>910</x:v>
      </x:c>
      <x:c r="D819" s="14" t="n">
        <x:v>1651617</x:v>
      </x:c>
      <x:c r="E819" s="14" t="n">
        <x:v>924</x:v>
      </x:c>
      <x:c r="F819" s="14" t="n">
        <x:v>1921046</x:v>
      </x:c>
      <x:c r="G819" s="14" t="n">
        <x:v>1882556</x:v>
      </x:c>
      <x:c r="H819" s="14" t="n">
        <x:f>INT((F819-D819)*(A819-C819)/(E819-C819))+D819</x:f>
        <x:v>1882556</x:v>
      </x:c>
      <x:c r="I819" s="68" t="n">
        <x:f>H819-G819</x:f>
        <x:v>0</x:v>
      </x:c>
      <x:c r="J819" s="14" t="n">
        <x:v>12255970</x:v>
      </x:c>
      <x:c r="K819" s="14" t="n">
        <x:f>INT(H819*'공식·설정'!$B$10/'공식·설정'!$B$15)</x:f>
        <x:v>12255970</x:v>
      </x:c>
      <x:c r="L819" s="68" t="n">
        <x:f>K819-J819</x:f>
        <x:v>0</x:v>
      </x:c>
      <x:c r="M819" s="65" t="n">
        <x:f>J819/'공식·설정'!$B$7</x:f>
        <x:v>47874.8828125</x:v>
      </x:c>
      <x:c r="N819" s="65" t="n">
        <x:f>K819/'공식·설정'!$B$7</x:f>
        <x:v>47874.8828125</x:v>
      </x:c>
      <x:c r="O819" s="14" t="n">
        <x:v>4787</x:v>
      </x:c>
      <x:c r="P819" s="14" t="n">
        <x:f>MIN(32767,MAX(0,INT((K819+INT('공식·설정'!$B$12/2))/'공식·설정'!$B$12)))</x:f>
        <x:v>4787</x:v>
      </x:c>
      <x:c r="Q819" s="68" t="n">
        <x:f>P819-O819</x:f>
        <x:v>0</x:v>
      </x:c>
      <x:c r="R819" s="14" t="n">
        <x:v>12263168</x:v>
      </x:c>
      <x:c r="S819" s="14" t="n">
        <x:f>P819*'공식·설정'!$B$12+'공식·설정'!$B$14</x:f>
        <x:v>12263168</x:v>
      </x:c>
      <x:c r="T819" s="68" t="n">
        <x:f>S819-R819</x:f>
        <x:v>0</x:v>
      </x:c>
      <x:c r="U819" s="65" t="n">
        <x:f>R819/'공식·설정'!$B$7</x:f>
        <x:v>47903</x:v>
      </x:c>
      <x:c r="V819" s="65" t="n">
        <x:f>S819/'공식·설정'!$B$7</x:f>
        <x:v>47903</x:v>
      </x:c>
      <x:c r="W819" s="14" t="n">
        <x:v>669</x:v>
      </x:c>
      <x:c r="X819" s="14" t="n">
        <x:f>INT(ABS(K820-K819)*'공식·설정'!$B$8/K819)</x:f>
        <x:v>669</x:v>
      </x:c>
      <x:c r="Y819" s="68" t="n">
        <x:f>X819-W819</x:f>
        <x:v>0</x:v>
      </x:c>
      <x:c r="Z819" s="66" t="n">
        <x:f>W819/'공식·설정'!$B$8</x:f>
        <x:v>0.0102081298828125</x:v>
      </x:c>
      <x:c r="AA819" s="66" t="n">
        <x:f>X819/'공식·설정'!$B$8</x:f>
        <x:v>0.0102081298828125</x:v>
      </x:c>
      <x:c r="AB819" s="67" t="str">
        <x:f>IF(AND(I819=0,L819=0,Q819=0,T819=0,Y819=0),"PASS","FAIL")</x:f>
        <x:v>PASS</x:v>
      </x:c>
    </x:row>
    <x:row r="820" ht="18" customHeight="1">
      <x:c r="A820" s="14" t="n">
        <x:v>923</x:v>
      </x:c>
      <x:c r="B820" s="14" t="n">
        <x:v>815</x:v>
      </x:c>
      <x:c r="C820" s="14" t="n">
        <x:v>910</x:v>
      </x:c>
      <x:c r="D820" s="14" t="n">
        <x:v>1651617</x:v>
      </x:c>
      <x:c r="E820" s="14" t="n">
        <x:v>924</x:v>
      </x:c>
      <x:c r="F820" s="14" t="n">
        <x:v>1921046</x:v>
      </x:c>
      <x:c r="G820" s="14" t="n">
        <x:v>1901801</x:v>
      </x:c>
      <x:c r="H820" s="14" t="n">
        <x:f>INT((F820-D820)*(A820-C820)/(E820-C820))+D820</x:f>
        <x:v>1901801</x:v>
      </x:c>
      <x:c r="I820" s="68" t="n">
        <x:f>H820-G820</x:f>
        <x:v>0</x:v>
      </x:c>
      <x:c r="J820" s="14" t="n">
        <x:v>12381260</x:v>
      </x:c>
      <x:c r="K820" s="14" t="n">
        <x:f>INT(H820*'공식·설정'!$B$10/'공식·설정'!$B$15)</x:f>
        <x:v>12381260</x:v>
      </x:c>
      <x:c r="L820" s="68" t="n">
        <x:f>K820-J820</x:f>
        <x:v>0</x:v>
      </x:c>
      <x:c r="M820" s="65" t="n">
        <x:f>J820/'공식·설정'!$B$7</x:f>
        <x:v>48364.296875</x:v>
      </x:c>
      <x:c r="N820" s="65" t="n">
        <x:f>K820/'공식·설정'!$B$7</x:f>
        <x:v>48364.296875</x:v>
      </x:c>
      <x:c r="O820" s="14" t="n">
        <x:v>4836</x:v>
      </x:c>
      <x:c r="P820" s="14" t="n">
        <x:f>MIN(32767,MAX(0,INT((K820+INT('공식·설정'!$B$12/2))/'공식·설정'!$B$12)))</x:f>
        <x:v>4836</x:v>
      </x:c>
      <x:c r="Q820" s="68" t="n">
        <x:f>P820-O820</x:f>
        <x:v>0</x:v>
      </x:c>
      <x:c r="R820" s="14" t="n">
        <x:v>12388608</x:v>
      </x:c>
      <x:c r="S820" s="14" t="n">
        <x:f>P820*'공식·설정'!$B$12+'공식·설정'!$B$14</x:f>
        <x:v>12388608</x:v>
      </x:c>
      <x:c r="T820" s="68" t="n">
        <x:f>S820-R820</x:f>
        <x:v>0</x:v>
      </x:c>
      <x:c r="U820" s="65" t="n">
        <x:f>R820/'공식·설정'!$B$7</x:f>
        <x:v>48393</x:v>
      </x:c>
      <x:c r="V820" s="65" t="n">
        <x:f>S820/'공식·설정'!$B$7</x:f>
        <x:v>48393</x:v>
      </x:c>
      <x:c r="W820" s="14" t="n">
        <x:v>663</x:v>
      </x:c>
      <x:c r="X820" s="14" t="n">
        <x:f>INT(ABS(K821-K820)*'공식·설정'!$B$8/K820)</x:f>
        <x:v>663</x:v>
      </x:c>
      <x:c r="Y820" s="68" t="n">
        <x:f>X820-W820</x:f>
        <x:v>0</x:v>
      </x:c>
      <x:c r="Z820" s="66" t="n">
        <x:f>W820/'공식·설정'!$B$8</x:f>
        <x:v>0.0101165771484375</x:v>
      </x:c>
      <x:c r="AA820" s="66" t="n">
        <x:f>X820/'공식·설정'!$B$8</x:f>
        <x:v>0.0101165771484375</x:v>
      </x:c>
      <x:c r="AB820" s="67" t="str">
        <x:f>IF(AND(I820=0,L820=0,Q820=0,T820=0,Y820=0),"PASS","FAIL")</x:f>
        <x:v>PASS</x:v>
      </x:c>
    </x:row>
    <x:row r="821" ht="18" customHeight="1">
      <x:c r="A821" s="14" t="n">
        <x:v>924</x:v>
      </x:c>
      <x:c r="B821" s="14" t="n">
        <x:v>816</x:v>
      </x:c>
      <x:c r="C821" s="14" t="n">
        <x:v>924</x:v>
      </x:c>
      <x:c r="D821" s="14" t="n">
        <x:v>1921046</x:v>
      </x:c>
      <x:c r="E821" s="14" t="n">
        <x:v>938</x:v>
      </x:c>
      <x:c r="F821" s="14" t="n">
        <x:v>2234424</x:v>
      </x:c>
      <x:c r="G821" s="14" t="n">
        <x:v>1921046</x:v>
      </x:c>
      <x:c r="H821" s="14" t="n">
        <x:f>INT((F821-D821)*(A821-C821)/(E821-C821))+D821</x:f>
        <x:v>1921046</x:v>
      </x:c>
      <x:c r="I821" s="68" t="n">
        <x:f>H821-G821</x:f>
        <x:v>0</x:v>
      </x:c>
      <x:c r="J821" s="14" t="n">
        <x:v>12506551</x:v>
      </x:c>
      <x:c r="K821" s="14" t="n">
        <x:f>INT(H821*'공식·설정'!$B$10/'공식·설정'!$B$15)</x:f>
        <x:v>12506551</x:v>
      </x:c>
      <x:c r="L821" s="68" t="n">
        <x:f>K821-J821</x:f>
        <x:v>0</x:v>
      </x:c>
      <x:c r="M821" s="65" t="n">
        <x:f>J821/'공식·설정'!$B$7</x:f>
        <x:v>48853.71484375</x:v>
      </x:c>
      <x:c r="N821" s="65" t="n">
        <x:f>K821/'공식·설정'!$B$7</x:f>
        <x:v>48853.71484375</x:v>
      </x:c>
      <x:c r="O821" s="14" t="n">
        <x:v>4885</x:v>
      </x:c>
      <x:c r="P821" s="14" t="n">
        <x:f>MIN(32767,MAX(0,INT((K821+INT('공식·설정'!$B$12/2))/'공식·설정'!$B$12)))</x:f>
        <x:v>4885</x:v>
      </x:c>
      <x:c r="Q821" s="68" t="n">
        <x:f>P821-O821</x:f>
        <x:v>0</x:v>
      </x:c>
      <x:c r="R821" s="14" t="n">
        <x:v>12514048</x:v>
      </x:c>
      <x:c r="S821" s="14" t="n">
        <x:f>P821*'공식·설정'!$B$12+'공식·설정'!$B$14</x:f>
        <x:v>12514048</x:v>
      </x:c>
      <x:c r="T821" s="68" t="n">
        <x:f>S821-R821</x:f>
        <x:v>0</x:v>
      </x:c>
      <x:c r="U821" s="65" t="n">
        <x:f>R821/'공식·설정'!$B$7</x:f>
        <x:v>48883</x:v>
      </x:c>
      <x:c r="V821" s="65" t="n">
        <x:f>S821/'공식·설정'!$B$7</x:f>
        <x:v>48883</x:v>
      </x:c>
      <x:c r="W821" s="14" t="n">
        <x:v>763</x:v>
      </x:c>
      <x:c r="X821" s="14" t="n">
        <x:f>INT(ABS(K822-K821)*'공식·설정'!$B$8/K821)</x:f>
        <x:v>763</x:v>
      </x:c>
      <x:c r="Y821" s="68" t="n">
        <x:f>X821-W821</x:f>
        <x:v>0</x:v>
      </x:c>
      <x:c r="Z821" s="66" t="n">
        <x:f>W821/'공식·설정'!$B$8</x:f>
        <x:v>0.0116424560546875</x:v>
      </x:c>
      <x:c r="AA821" s="66" t="n">
        <x:f>X821/'공식·설정'!$B$8</x:f>
        <x:v>0.0116424560546875</x:v>
      </x:c>
      <x:c r="AB821" s="67" t="str">
        <x:f>IF(AND(I821=0,L821=0,Q821=0,T821=0,Y821=0),"PASS","FAIL")</x:f>
        <x:v>PASS</x:v>
      </x:c>
    </x:row>
    <x:row r="822" ht="18" customHeight="1">
      <x:c r="A822" s="14" t="n">
        <x:v>925</x:v>
      </x:c>
      <x:c r="B822" s="14" t="n">
        <x:v>817</x:v>
      </x:c>
      <x:c r="C822" s="14" t="n">
        <x:v>924</x:v>
      </x:c>
      <x:c r="D822" s="14" t="n">
        <x:v>1921046</x:v>
      </x:c>
      <x:c r="E822" s="14" t="n">
        <x:v>938</x:v>
      </x:c>
      <x:c r="F822" s="14" t="n">
        <x:v>2234424</x:v>
      </x:c>
      <x:c r="G822" s="14" t="n">
        <x:v>1943430</x:v>
      </x:c>
      <x:c r="H822" s="14" t="n">
        <x:f>INT((F822-D822)*(A822-C822)/(E822-C822))+D822</x:f>
        <x:v>1943430</x:v>
      </x:c>
      <x:c r="I822" s="68" t="n">
        <x:f>H822-G822</x:f>
        <x:v>0</x:v>
      </x:c>
      <x:c r="J822" s="14" t="n">
        <x:v>12652277</x:v>
      </x:c>
      <x:c r="K822" s="14" t="n">
        <x:f>INT(H822*'공식·설정'!$B$10/'공식·설정'!$B$15)</x:f>
        <x:v>12652277</x:v>
      </x:c>
      <x:c r="L822" s="68" t="n">
        <x:f>K822-J822</x:f>
        <x:v>0</x:v>
      </x:c>
      <x:c r="M822" s="65" t="n">
        <x:f>J822/'공식·설정'!$B$7</x:f>
        <x:v>49422.95703125</x:v>
      </x:c>
      <x:c r="N822" s="65" t="n">
        <x:f>K822/'공식·설정'!$B$7</x:f>
        <x:v>49422.95703125</x:v>
      </x:c>
      <x:c r="O822" s="14" t="n">
        <x:v>4942</x:v>
      </x:c>
      <x:c r="P822" s="14" t="n">
        <x:f>MIN(32767,MAX(0,INT((K822+INT('공식·설정'!$B$12/2))/'공식·설정'!$B$12)))</x:f>
        <x:v>4942</x:v>
      </x:c>
      <x:c r="Q822" s="68" t="n">
        <x:f>P822-O822</x:f>
        <x:v>0</x:v>
      </x:c>
      <x:c r="R822" s="14" t="n">
        <x:v>12659968</x:v>
      </x:c>
      <x:c r="S822" s="14" t="n">
        <x:f>P822*'공식·설정'!$B$12+'공식·설정'!$B$14</x:f>
        <x:v>12659968</x:v>
      </x:c>
      <x:c r="T822" s="68" t="n">
        <x:f>S822-R822</x:f>
        <x:v>0</x:v>
      </x:c>
      <x:c r="U822" s="65" t="n">
        <x:f>R822/'공식·설정'!$B$7</x:f>
        <x:v>49453</x:v>
      </x:c>
      <x:c r="V822" s="65" t="n">
        <x:f>S822/'공식·설정'!$B$7</x:f>
        <x:v>49453</x:v>
      </x:c>
      <x:c r="W822" s="14" t="n">
        <x:v>754</x:v>
      </x:c>
      <x:c r="X822" s="14" t="n">
        <x:f>INT(ABS(K823-K822)*'공식·설정'!$B$8/K822)</x:f>
        <x:v>754</x:v>
      </x:c>
      <x:c r="Y822" s="68" t="n">
        <x:f>X822-W822</x:f>
        <x:v>0</x:v>
      </x:c>
      <x:c r="Z822" s="66" t="n">
        <x:f>W822/'공식·설정'!$B$8</x:f>
        <x:v>0.011505126953125</x:v>
      </x:c>
      <x:c r="AA822" s="66" t="n">
        <x:f>X822/'공식·설정'!$B$8</x:f>
        <x:v>0.011505126953125</x:v>
      </x:c>
      <x:c r="AB822" s="67" t="str">
        <x:f>IF(AND(I822=0,L822=0,Q822=0,T822=0,Y822=0),"PASS","FAIL")</x:f>
        <x:v>PASS</x:v>
      </x:c>
    </x:row>
    <x:row r="823" ht="18" customHeight="1">
      <x:c r="A823" s="14" t="n">
        <x:v>926</x:v>
      </x:c>
      <x:c r="B823" s="14" t="n">
        <x:v>818</x:v>
      </x:c>
      <x:c r="C823" s="14" t="n">
        <x:v>924</x:v>
      </x:c>
      <x:c r="D823" s="14" t="n">
        <x:v>1921046</x:v>
      </x:c>
      <x:c r="E823" s="14" t="n">
        <x:v>938</x:v>
      </x:c>
      <x:c r="F823" s="14" t="n">
        <x:v>2234424</x:v>
      </x:c>
      <x:c r="G823" s="14" t="n">
        <x:v>1965814</x:v>
      </x:c>
      <x:c r="H823" s="14" t="n">
        <x:f>INT((F823-D823)*(A823-C823)/(E823-C823))+D823</x:f>
        <x:v>1965814</x:v>
      </x:c>
      <x:c r="I823" s="68" t="n">
        <x:f>H823-G823</x:f>
        <x:v>0</x:v>
      </x:c>
      <x:c r="J823" s="14" t="n">
        <x:v>12798003</x:v>
      </x:c>
      <x:c r="K823" s="14" t="n">
        <x:f>INT(H823*'공식·설정'!$B$10/'공식·설정'!$B$15)</x:f>
        <x:v>12798003</x:v>
      </x:c>
      <x:c r="L823" s="68" t="n">
        <x:f>K823-J823</x:f>
        <x:v>0</x:v>
      </x:c>
      <x:c r="M823" s="65" t="n">
        <x:f>J823/'공식·설정'!$B$7</x:f>
        <x:v>49992.19921875</x:v>
      </x:c>
      <x:c r="N823" s="65" t="n">
        <x:f>K823/'공식·설정'!$B$7</x:f>
        <x:v>49992.19921875</x:v>
      </x:c>
      <x:c r="O823" s="14" t="n">
        <x:v>4999</x:v>
      </x:c>
      <x:c r="P823" s="14" t="n">
        <x:f>MIN(32767,MAX(0,INT((K823+INT('공식·설정'!$B$12/2))/'공식·설정'!$B$12)))</x:f>
        <x:v>4999</x:v>
      </x:c>
      <x:c r="Q823" s="68" t="n">
        <x:f>P823-O823</x:f>
        <x:v>0</x:v>
      </x:c>
      <x:c r="R823" s="14" t="n">
        <x:v>12805888</x:v>
      </x:c>
      <x:c r="S823" s="14" t="n">
        <x:f>P823*'공식·설정'!$B$12+'공식·설정'!$B$14</x:f>
        <x:v>12805888</x:v>
      </x:c>
      <x:c r="T823" s="68" t="n">
        <x:f>S823-R823</x:f>
        <x:v>0</x:v>
      </x:c>
      <x:c r="U823" s="65" t="n">
        <x:f>R823/'공식·설정'!$B$7</x:f>
        <x:v>50023</x:v>
      </x:c>
      <x:c r="V823" s="65" t="n">
        <x:f>S823/'공식·설정'!$B$7</x:f>
        <x:v>50023</x:v>
      </x:c>
      <x:c r="W823" s="14" t="n">
        <x:v>746</x:v>
      </x:c>
      <x:c r="X823" s="14" t="n">
        <x:f>INT(ABS(K824-K823)*'공식·설정'!$B$8/K823)</x:f>
        <x:v>746</x:v>
      </x:c>
      <x:c r="Y823" s="68" t="n">
        <x:f>X823-W823</x:f>
        <x:v>0</x:v>
      </x:c>
      <x:c r="Z823" s="66" t="n">
        <x:f>W823/'공식·설정'!$B$8</x:f>
        <x:v>0.011383056640625</x:v>
      </x:c>
      <x:c r="AA823" s="66" t="n">
        <x:f>X823/'공식·설정'!$B$8</x:f>
        <x:v>0.011383056640625</x:v>
      </x:c>
      <x:c r="AB823" s="67" t="str">
        <x:f>IF(AND(I823=0,L823=0,Q823=0,T823=0,Y823=0),"PASS","FAIL")</x:f>
        <x:v>PASS</x:v>
      </x:c>
    </x:row>
    <x:row r="824" ht="18" customHeight="1">
      <x:c r="A824" s="14" t="n">
        <x:v>927</x:v>
      </x:c>
      <x:c r="B824" s="14" t="n">
        <x:v>819</x:v>
      </x:c>
      <x:c r="C824" s="14" t="n">
        <x:v>924</x:v>
      </x:c>
      <x:c r="D824" s="14" t="n">
        <x:v>1921046</x:v>
      </x:c>
      <x:c r="E824" s="14" t="n">
        <x:v>938</x:v>
      </x:c>
      <x:c r="F824" s="14" t="n">
        <x:v>2234424</x:v>
      </x:c>
      <x:c r="G824" s="14" t="n">
        <x:v>1988198</x:v>
      </x:c>
      <x:c r="H824" s="14" t="n">
        <x:f>INT((F824-D824)*(A824-C824)/(E824-C824))+D824</x:f>
        <x:v>1988198</x:v>
      </x:c>
      <x:c r="I824" s="68" t="n">
        <x:f>H824-G824</x:f>
        <x:v>0</x:v>
      </x:c>
      <x:c r="J824" s="14" t="n">
        <x:v>12943729</x:v>
      </x:c>
      <x:c r="K824" s="14" t="n">
        <x:f>INT(H824*'공식·설정'!$B$10/'공식·설정'!$B$15)</x:f>
        <x:v>12943729</x:v>
      </x:c>
      <x:c r="L824" s="68" t="n">
        <x:f>K824-J824</x:f>
        <x:v>0</x:v>
      </x:c>
      <x:c r="M824" s="65" t="n">
        <x:f>J824/'공식·설정'!$B$7</x:f>
        <x:v>50561.44140625</x:v>
      </x:c>
      <x:c r="N824" s="65" t="n">
        <x:f>K824/'공식·설정'!$B$7</x:f>
        <x:v>50561.44140625</x:v>
      </x:c>
      <x:c r="O824" s="14" t="n">
        <x:v>5056</x:v>
      </x:c>
      <x:c r="P824" s="14" t="n">
        <x:f>MIN(32767,MAX(0,INT((K824+INT('공식·설정'!$B$12/2))/'공식·설정'!$B$12)))</x:f>
        <x:v>5056</x:v>
      </x:c>
      <x:c r="Q824" s="68" t="n">
        <x:f>P824-O824</x:f>
        <x:v>0</x:v>
      </x:c>
      <x:c r="R824" s="14" t="n">
        <x:v>12951808</x:v>
      </x:c>
      <x:c r="S824" s="14" t="n">
        <x:f>P824*'공식·설정'!$B$12+'공식·설정'!$B$14</x:f>
        <x:v>12951808</x:v>
      </x:c>
      <x:c r="T824" s="68" t="n">
        <x:f>S824-R824</x:f>
        <x:v>0</x:v>
      </x:c>
      <x:c r="U824" s="65" t="n">
        <x:f>R824/'공식·설정'!$B$7</x:f>
        <x:v>50593</x:v>
      </x:c>
      <x:c r="V824" s="65" t="n">
        <x:f>S824/'공식·설정'!$B$7</x:f>
        <x:v>50593</x:v>
      </x:c>
      <x:c r="W824" s="14" t="n">
        <x:v>737</x:v>
      </x:c>
      <x:c r="X824" s="14" t="n">
        <x:f>INT(ABS(K825-K824)*'공식·설정'!$B$8/K824)</x:f>
        <x:v>737</x:v>
      </x:c>
      <x:c r="Y824" s="68" t="n">
        <x:f>X824-W824</x:f>
        <x:v>0</x:v>
      </x:c>
      <x:c r="Z824" s="66" t="n">
        <x:f>W824/'공식·설정'!$B$8</x:f>
        <x:v>0.0112457275390625</x:v>
      </x:c>
      <x:c r="AA824" s="66" t="n">
        <x:f>X824/'공식·설정'!$B$8</x:f>
        <x:v>0.0112457275390625</x:v>
      </x:c>
      <x:c r="AB824" s="67" t="str">
        <x:f>IF(AND(I824=0,L824=0,Q824=0,T824=0,Y824=0),"PASS","FAIL")</x:f>
        <x:v>PASS</x:v>
      </x:c>
    </x:row>
    <x:row r="825" ht="18" customHeight="1">
      <x:c r="A825" s="14" t="n">
        <x:v>928</x:v>
      </x:c>
      <x:c r="B825" s="14" t="n">
        <x:v>820</x:v>
      </x:c>
      <x:c r="C825" s="14" t="n">
        <x:v>924</x:v>
      </x:c>
      <x:c r="D825" s="14" t="n">
        <x:v>1921046</x:v>
      </x:c>
      <x:c r="E825" s="14" t="n">
        <x:v>938</x:v>
      </x:c>
      <x:c r="F825" s="14" t="n">
        <x:v>2234424</x:v>
      </x:c>
      <x:c r="G825" s="14" t="n">
        <x:v>2010582</x:v>
      </x:c>
      <x:c r="H825" s="14" t="n">
        <x:f>INT((F825-D825)*(A825-C825)/(E825-C825))+D825</x:f>
        <x:v>2010582</x:v>
      </x:c>
      <x:c r="I825" s="68" t="n">
        <x:f>H825-G825</x:f>
        <x:v>0</x:v>
      </x:c>
      <x:c r="J825" s="14" t="n">
        <x:v>13089455</x:v>
      </x:c>
      <x:c r="K825" s="14" t="n">
        <x:f>INT(H825*'공식·설정'!$B$10/'공식·설정'!$B$15)</x:f>
        <x:v>13089455</x:v>
      </x:c>
      <x:c r="L825" s="68" t="n">
        <x:f>K825-J825</x:f>
        <x:v>0</x:v>
      </x:c>
      <x:c r="M825" s="65" t="n">
        <x:f>J825/'공식·설정'!$B$7</x:f>
        <x:v>51130.68359375</x:v>
      </x:c>
      <x:c r="N825" s="65" t="n">
        <x:f>K825/'공식·설정'!$B$7</x:f>
        <x:v>51130.68359375</x:v>
      </x:c>
      <x:c r="O825" s="14" t="n">
        <x:v>5113</x:v>
      </x:c>
      <x:c r="P825" s="14" t="n">
        <x:f>MIN(32767,MAX(0,INT((K825+INT('공식·설정'!$B$12/2))/'공식·설정'!$B$12)))</x:f>
        <x:v>5113</x:v>
      </x:c>
      <x:c r="Q825" s="68" t="n">
        <x:f>P825-O825</x:f>
        <x:v>0</x:v>
      </x:c>
      <x:c r="R825" s="14" t="n">
        <x:v>13097728</x:v>
      </x:c>
      <x:c r="S825" s="14" t="n">
        <x:f>P825*'공식·설정'!$B$12+'공식·설정'!$B$14</x:f>
        <x:v>13097728</x:v>
      </x:c>
      <x:c r="T825" s="68" t="n">
        <x:f>S825-R825</x:f>
        <x:v>0</x:v>
      </x:c>
      <x:c r="U825" s="65" t="n">
        <x:f>R825/'공식·설정'!$B$7</x:f>
        <x:v>51163</x:v>
      </x:c>
      <x:c r="V825" s="65" t="n">
        <x:f>S825/'공식·설정'!$B$7</x:f>
        <x:v>51163</x:v>
      </x:c>
      <x:c r="W825" s="14" t="n">
        <x:v>729</x:v>
      </x:c>
      <x:c r="X825" s="14" t="n">
        <x:f>INT(ABS(K826-K825)*'공식·설정'!$B$8/K825)</x:f>
        <x:v>729</x:v>
      </x:c>
      <x:c r="Y825" s="68" t="n">
        <x:f>X825-W825</x:f>
        <x:v>0</x:v>
      </x:c>
      <x:c r="Z825" s="66" t="n">
        <x:f>W825/'공식·설정'!$B$8</x:f>
        <x:v>0.0111236572265625</x:v>
      </x:c>
      <x:c r="AA825" s="66" t="n">
        <x:f>X825/'공식·설정'!$B$8</x:f>
        <x:v>0.0111236572265625</x:v>
      </x:c>
      <x:c r="AB825" s="67" t="str">
        <x:f>IF(AND(I825=0,L825=0,Q825=0,T825=0,Y825=0),"PASS","FAIL")</x:f>
        <x:v>PASS</x:v>
      </x:c>
    </x:row>
    <x:row r="826" ht="18" customHeight="1">
      <x:c r="A826" s="14" t="n">
        <x:v>929</x:v>
      </x:c>
      <x:c r="B826" s="14" t="n">
        <x:v>821</x:v>
      </x:c>
      <x:c r="C826" s="14" t="n">
        <x:v>924</x:v>
      </x:c>
      <x:c r="D826" s="14" t="n">
        <x:v>1921046</x:v>
      </x:c>
      <x:c r="E826" s="14" t="n">
        <x:v>938</x:v>
      </x:c>
      <x:c r="F826" s="14" t="n">
        <x:v>2234424</x:v>
      </x:c>
      <x:c r="G826" s="14" t="n">
        <x:v>2032966</x:v>
      </x:c>
      <x:c r="H826" s="14" t="n">
        <x:f>INT((F826-D826)*(A826-C826)/(E826-C826))+D826</x:f>
        <x:v>2032966</x:v>
      </x:c>
      <x:c r="I826" s="68" t="n">
        <x:f>H826-G826</x:f>
        <x:v>0</x:v>
      </x:c>
      <x:c r="J826" s="14" t="n">
        <x:v>13235181</x:v>
      </x:c>
      <x:c r="K826" s="14" t="n">
        <x:f>INT(H826*'공식·설정'!$B$10/'공식·설정'!$B$15)</x:f>
        <x:v>13235181</x:v>
      </x:c>
      <x:c r="L826" s="68" t="n">
        <x:f>K826-J826</x:f>
        <x:v>0</x:v>
      </x:c>
      <x:c r="M826" s="65" t="n">
        <x:f>J826/'공식·설정'!$B$7</x:f>
        <x:v>51699.92578125</x:v>
      </x:c>
      <x:c r="N826" s="65" t="n">
        <x:f>K826/'공식·설정'!$B$7</x:f>
        <x:v>51699.92578125</x:v>
      </x:c>
      <x:c r="O826" s="14" t="n">
        <x:v>5170</x:v>
      </x:c>
      <x:c r="P826" s="14" t="n">
        <x:f>MIN(32767,MAX(0,INT((K826+INT('공식·설정'!$B$12/2))/'공식·설정'!$B$12)))</x:f>
        <x:v>5170</x:v>
      </x:c>
      <x:c r="Q826" s="68" t="n">
        <x:f>P826-O826</x:f>
        <x:v>0</x:v>
      </x:c>
      <x:c r="R826" s="14" t="n">
        <x:v>13243648</x:v>
      </x:c>
      <x:c r="S826" s="14" t="n">
        <x:f>P826*'공식·설정'!$B$12+'공식·설정'!$B$14</x:f>
        <x:v>13243648</x:v>
      </x:c>
      <x:c r="T826" s="68" t="n">
        <x:f>S826-R826</x:f>
        <x:v>0</x:v>
      </x:c>
      <x:c r="U826" s="65" t="n">
        <x:f>R826/'공식·설정'!$B$7</x:f>
        <x:v>51733</x:v>
      </x:c>
      <x:c r="V826" s="65" t="n">
        <x:f>S826/'공식·설정'!$B$7</x:f>
        <x:v>51733</x:v>
      </x:c>
      <x:c r="W826" s="14" t="n">
        <x:v>721</x:v>
      </x:c>
      <x:c r="X826" s="14" t="n">
        <x:f>INT(ABS(K827-K826)*'공식·설정'!$B$8/K826)</x:f>
        <x:v>721</x:v>
      </x:c>
      <x:c r="Y826" s="68" t="n">
        <x:f>X826-W826</x:f>
        <x:v>0</x:v>
      </x:c>
      <x:c r="Z826" s="66" t="n">
        <x:f>W826/'공식·설정'!$B$8</x:f>
        <x:v>0.0110015869140625</x:v>
      </x:c>
      <x:c r="AA826" s="66" t="n">
        <x:f>X826/'공식·설정'!$B$8</x:f>
        <x:v>0.0110015869140625</x:v>
      </x:c>
      <x:c r="AB826" s="67" t="str">
        <x:f>IF(AND(I826=0,L826=0,Q826=0,T826=0,Y826=0),"PASS","FAIL")</x:f>
        <x:v>PASS</x:v>
      </x:c>
    </x:row>
    <x:row r="827" ht="18" customHeight="1">
      <x:c r="A827" s="14" t="n">
        <x:v>930</x:v>
      </x:c>
      <x:c r="B827" s="14" t="n">
        <x:v>822</x:v>
      </x:c>
      <x:c r="C827" s="14" t="n">
        <x:v>924</x:v>
      </x:c>
      <x:c r="D827" s="14" t="n">
        <x:v>1921046</x:v>
      </x:c>
      <x:c r="E827" s="14" t="n">
        <x:v>938</x:v>
      </x:c>
      <x:c r="F827" s="14" t="n">
        <x:v>2234424</x:v>
      </x:c>
      <x:c r="G827" s="14" t="n">
        <x:v>2055350</x:v>
      </x:c>
      <x:c r="H827" s="14" t="n">
        <x:f>INT((F827-D827)*(A827-C827)/(E827-C827))+D827</x:f>
        <x:v>2055350</x:v>
      </x:c>
      <x:c r="I827" s="68" t="n">
        <x:f>H827-G827</x:f>
        <x:v>0</x:v>
      </x:c>
      <x:c r="J827" s="14" t="n">
        <x:v>13380908</x:v>
      </x:c>
      <x:c r="K827" s="14" t="n">
        <x:f>INT(H827*'공식·설정'!$B$10/'공식·설정'!$B$15)</x:f>
        <x:v>13380908</x:v>
      </x:c>
      <x:c r="L827" s="68" t="n">
        <x:f>K827-J827</x:f>
        <x:v>0</x:v>
      </x:c>
      <x:c r="M827" s="65" t="n">
        <x:f>J827/'공식·설정'!$B$7</x:f>
        <x:v>52269.171875</x:v>
      </x:c>
      <x:c r="N827" s="65" t="n">
        <x:f>K827/'공식·설정'!$B$7</x:f>
        <x:v>52269.171875</x:v>
      </x:c>
      <x:c r="O827" s="14" t="n">
        <x:v>5227</x:v>
      </x:c>
      <x:c r="P827" s="14" t="n">
        <x:f>MIN(32767,MAX(0,INT((K827+INT('공식·설정'!$B$12/2))/'공식·설정'!$B$12)))</x:f>
        <x:v>5227</x:v>
      </x:c>
      <x:c r="Q827" s="68" t="n">
        <x:f>P827-O827</x:f>
        <x:v>0</x:v>
      </x:c>
      <x:c r="R827" s="14" t="n">
        <x:v>13389568</x:v>
      </x:c>
      <x:c r="S827" s="14" t="n">
        <x:f>P827*'공식·설정'!$B$12+'공식·설정'!$B$14</x:f>
        <x:v>13389568</x:v>
      </x:c>
      <x:c r="T827" s="68" t="n">
        <x:f>S827-R827</x:f>
        <x:v>0</x:v>
      </x:c>
      <x:c r="U827" s="65" t="n">
        <x:f>R827/'공식·설정'!$B$7</x:f>
        <x:v>52303</x:v>
      </x:c>
      <x:c r="V827" s="65" t="n">
        <x:f>S827/'공식·설정'!$B$7</x:f>
        <x:v>52303</x:v>
      </x:c>
      <x:c r="W827" s="14" t="n">
        <x:v>713</x:v>
      </x:c>
      <x:c r="X827" s="14" t="n">
        <x:f>INT(ABS(K828-K827)*'공식·설정'!$B$8/K827)</x:f>
        <x:v>713</x:v>
      </x:c>
      <x:c r="Y827" s="68" t="n">
        <x:f>X827-W827</x:f>
        <x:v>0</x:v>
      </x:c>
      <x:c r="Z827" s="66" t="n">
        <x:f>W827/'공식·설정'!$B$8</x:f>
        <x:v>0.0108795166015625</x:v>
      </x:c>
      <x:c r="AA827" s="66" t="n">
        <x:f>X827/'공식·설정'!$B$8</x:f>
        <x:v>0.0108795166015625</x:v>
      </x:c>
      <x:c r="AB827" s="67" t="str">
        <x:f>IF(AND(I827=0,L827=0,Q827=0,T827=0,Y827=0),"PASS","FAIL")</x:f>
        <x:v>PASS</x:v>
      </x:c>
    </x:row>
    <x:row r="828" ht="18" customHeight="1">
      <x:c r="A828" s="14" t="n">
        <x:v>931</x:v>
      </x:c>
      <x:c r="B828" s="14" t="n">
        <x:v>823</x:v>
      </x:c>
      <x:c r="C828" s="14" t="n">
        <x:v>924</x:v>
      </x:c>
      <x:c r="D828" s="14" t="n">
        <x:v>1921046</x:v>
      </x:c>
      <x:c r="E828" s="14" t="n">
        <x:v>938</x:v>
      </x:c>
      <x:c r="F828" s="14" t="n">
        <x:v>2234424</x:v>
      </x:c>
      <x:c r="G828" s="14" t="n">
        <x:v>2077735</x:v>
      </x:c>
      <x:c r="H828" s="14" t="n">
        <x:f>INT((F828-D828)*(A828-C828)/(E828-C828))+D828</x:f>
        <x:v>2077735</x:v>
      </x:c>
      <x:c r="I828" s="68" t="n">
        <x:f>H828-G828</x:f>
        <x:v>0</x:v>
      </x:c>
      <x:c r="J828" s="14" t="n">
        <x:v>13526640</x:v>
      </x:c>
      <x:c r="K828" s="14" t="n">
        <x:f>INT(H828*'공식·설정'!$B$10/'공식·설정'!$B$15)</x:f>
        <x:v>13526640</x:v>
      </x:c>
      <x:c r="L828" s="68" t="n">
        <x:f>K828-J828</x:f>
        <x:v>0</x:v>
      </x:c>
      <x:c r="M828" s="65" t="n">
        <x:f>J828/'공식·설정'!$B$7</x:f>
        <x:v>52838.4375</x:v>
      </x:c>
      <x:c r="N828" s="65" t="n">
        <x:f>K828/'공식·설정'!$B$7</x:f>
        <x:v>52838.4375</x:v>
      </x:c>
      <x:c r="O828" s="14" t="n">
        <x:v>5284</x:v>
      </x:c>
      <x:c r="P828" s="14" t="n">
        <x:f>MIN(32767,MAX(0,INT((K828+INT('공식·설정'!$B$12/2))/'공식·설정'!$B$12)))</x:f>
        <x:v>5284</x:v>
      </x:c>
      <x:c r="Q828" s="68" t="n">
        <x:f>P828-O828</x:f>
        <x:v>0</x:v>
      </x:c>
      <x:c r="R828" s="14" t="n">
        <x:v>13535488</x:v>
      </x:c>
      <x:c r="S828" s="14" t="n">
        <x:f>P828*'공식·설정'!$B$12+'공식·설정'!$B$14</x:f>
        <x:v>13535488</x:v>
      </x:c>
      <x:c r="T828" s="68" t="n">
        <x:f>S828-R828</x:f>
        <x:v>0</x:v>
      </x:c>
      <x:c r="U828" s="65" t="n">
        <x:f>R828/'공식·설정'!$B$7</x:f>
        <x:v>52873</x:v>
      </x:c>
      <x:c r="V828" s="65" t="n">
        <x:f>S828/'공식·설정'!$B$7</x:f>
        <x:v>52873</x:v>
      </x:c>
      <x:c r="W828" s="14" t="n">
        <x:v>706</x:v>
      </x:c>
      <x:c r="X828" s="14" t="n">
        <x:f>INT(ABS(K829-K828)*'공식·설정'!$B$8/K828)</x:f>
        <x:v>706</x:v>
      </x:c>
      <x:c r="Y828" s="68" t="n">
        <x:f>X828-W828</x:f>
        <x:v>0</x:v>
      </x:c>
      <x:c r="Z828" s="66" t="n">
        <x:f>W828/'공식·설정'!$B$8</x:f>
        <x:v>0.010772705078125</x:v>
      </x:c>
      <x:c r="AA828" s="66" t="n">
        <x:f>X828/'공식·설정'!$B$8</x:f>
        <x:v>0.010772705078125</x:v>
      </x:c>
      <x:c r="AB828" s="67" t="str">
        <x:f>IF(AND(I828=0,L828=0,Q828=0,T828=0,Y828=0),"PASS","FAIL")</x:f>
        <x:v>PASS</x:v>
      </x:c>
    </x:row>
    <x:row r="829" ht="18" customHeight="1">
      <x:c r="A829" s="14" t="n">
        <x:v>932</x:v>
      </x:c>
      <x:c r="B829" s="14" t="n">
        <x:v>824</x:v>
      </x:c>
      <x:c r="C829" s="14" t="n">
        <x:v>924</x:v>
      </x:c>
      <x:c r="D829" s="14" t="n">
        <x:v>1921046</x:v>
      </x:c>
      <x:c r="E829" s="14" t="n">
        <x:v>938</x:v>
      </x:c>
      <x:c r="F829" s="14" t="n">
        <x:v>2234424</x:v>
      </x:c>
      <x:c r="G829" s="14" t="n">
        <x:v>2100119</x:v>
      </x:c>
      <x:c r="H829" s="14" t="n">
        <x:f>INT((F829-D829)*(A829-C829)/(E829-C829))+D829</x:f>
        <x:v>2100119</x:v>
      </x:c>
      <x:c r="I829" s="68" t="n">
        <x:f>H829-G829</x:f>
        <x:v>0</x:v>
      </x:c>
      <x:c r="J829" s="14" t="n">
        <x:v>13672366</x:v>
      </x:c>
      <x:c r="K829" s="14" t="n">
        <x:f>INT(H829*'공식·설정'!$B$10/'공식·설정'!$B$15)</x:f>
        <x:v>13672366</x:v>
      </x:c>
      <x:c r="L829" s="68" t="n">
        <x:f>K829-J829</x:f>
        <x:v>0</x:v>
      </x:c>
      <x:c r="M829" s="65" t="n">
        <x:f>J829/'공식·설정'!$B$7</x:f>
        <x:v>53407.6796875</x:v>
      </x:c>
      <x:c r="N829" s="65" t="n">
        <x:f>K829/'공식·설정'!$B$7</x:f>
        <x:v>53407.6796875</x:v>
      </x:c>
      <x:c r="O829" s="14" t="n">
        <x:v>5341</x:v>
      </x:c>
      <x:c r="P829" s="14" t="n">
        <x:f>MIN(32767,MAX(0,INT((K829+INT('공식·설정'!$B$12/2))/'공식·설정'!$B$12)))</x:f>
        <x:v>5341</x:v>
      </x:c>
      <x:c r="Q829" s="68" t="n">
        <x:f>P829-O829</x:f>
        <x:v>0</x:v>
      </x:c>
      <x:c r="R829" s="14" t="n">
        <x:v>13681408</x:v>
      </x:c>
      <x:c r="S829" s="14" t="n">
        <x:f>P829*'공식·설정'!$B$12+'공식·설정'!$B$14</x:f>
        <x:v>13681408</x:v>
      </x:c>
      <x:c r="T829" s="68" t="n">
        <x:f>S829-R829</x:f>
        <x:v>0</x:v>
      </x:c>
      <x:c r="U829" s="65" t="n">
        <x:f>R829/'공식·설정'!$B$7</x:f>
        <x:v>53443</x:v>
      </x:c>
      <x:c r="V829" s="65" t="n">
        <x:f>S829/'공식·설정'!$B$7</x:f>
        <x:v>53443</x:v>
      </x:c>
      <x:c r="W829" s="14" t="n">
        <x:v>698</x:v>
      </x:c>
      <x:c r="X829" s="14" t="n">
        <x:f>INT(ABS(K830-K829)*'공식·설정'!$B$8/K829)</x:f>
        <x:v>698</x:v>
      </x:c>
      <x:c r="Y829" s="68" t="n">
        <x:f>X829-W829</x:f>
        <x:v>0</x:v>
      </x:c>
      <x:c r="Z829" s="66" t="n">
        <x:f>W829/'공식·설정'!$B$8</x:f>
        <x:v>0.010650634765625</x:v>
      </x:c>
      <x:c r="AA829" s="66" t="n">
        <x:f>X829/'공식·설정'!$B$8</x:f>
        <x:v>0.010650634765625</x:v>
      </x:c>
      <x:c r="AB829" s="67" t="str">
        <x:f>IF(AND(I829=0,L829=0,Q829=0,T829=0,Y829=0),"PASS","FAIL")</x:f>
        <x:v>PASS</x:v>
      </x:c>
    </x:row>
    <x:row r="830" ht="18" customHeight="1">
      <x:c r="A830" s="14" t="n">
        <x:v>933</x:v>
      </x:c>
      <x:c r="B830" s="14" t="n">
        <x:v>825</x:v>
      </x:c>
      <x:c r="C830" s="14" t="n">
        <x:v>924</x:v>
      </x:c>
      <x:c r="D830" s="14" t="n">
        <x:v>1921046</x:v>
      </x:c>
      <x:c r="E830" s="14" t="n">
        <x:v>938</x:v>
      </x:c>
      <x:c r="F830" s="14" t="n">
        <x:v>2234424</x:v>
      </x:c>
      <x:c r="G830" s="14" t="n">
        <x:v>2122503</x:v>
      </x:c>
      <x:c r="H830" s="14" t="n">
        <x:f>INT((F830-D830)*(A830-C830)/(E830-C830))+D830</x:f>
        <x:v>2122503</x:v>
      </x:c>
      <x:c r="I830" s="68" t="n">
        <x:f>H830-G830</x:f>
        <x:v>0</x:v>
      </x:c>
      <x:c r="J830" s="14" t="n">
        <x:v>13818093</x:v>
      </x:c>
      <x:c r="K830" s="14" t="n">
        <x:f>INT(H830*'공식·설정'!$B$10/'공식·설정'!$B$15)</x:f>
        <x:v>13818093</x:v>
      </x:c>
      <x:c r="L830" s="68" t="n">
        <x:f>K830-J830</x:f>
        <x:v>0</x:v>
      </x:c>
      <x:c r="M830" s="65" t="n">
        <x:f>J830/'공식·설정'!$B$7</x:f>
        <x:v>53976.92578125</x:v>
      </x:c>
      <x:c r="N830" s="65" t="n">
        <x:f>K830/'공식·설정'!$B$7</x:f>
        <x:v>53976.92578125</x:v>
      </x:c>
      <x:c r="O830" s="14" t="n">
        <x:v>5398</x:v>
      </x:c>
      <x:c r="P830" s="14" t="n">
        <x:f>MIN(32767,MAX(0,INT((K830+INT('공식·설정'!$B$12/2))/'공식·설정'!$B$12)))</x:f>
        <x:v>5398</x:v>
      </x:c>
      <x:c r="Q830" s="68" t="n">
        <x:f>P830-O830</x:f>
        <x:v>0</x:v>
      </x:c>
      <x:c r="R830" s="14" t="n">
        <x:v>13827328</x:v>
      </x:c>
      <x:c r="S830" s="14" t="n">
        <x:f>P830*'공식·설정'!$B$12+'공식·설정'!$B$14</x:f>
        <x:v>13827328</x:v>
      </x:c>
      <x:c r="T830" s="68" t="n">
        <x:f>S830-R830</x:f>
        <x:v>0</x:v>
      </x:c>
      <x:c r="U830" s="65" t="n">
        <x:f>R830/'공식·설정'!$B$7</x:f>
        <x:v>54013</x:v>
      </x:c>
      <x:c r="V830" s="65" t="n">
        <x:f>S830/'공식·설정'!$B$7</x:f>
        <x:v>54013</x:v>
      </x:c>
      <x:c r="W830" s="14" t="n">
        <x:v>691</x:v>
      </x:c>
      <x:c r="X830" s="14" t="n">
        <x:f>INT(ABS(K831-K830)*'공식·설정'!$B$8/K830)</x:f>
        <x:v>691</x:v>
      </x:c>
      <x:c r="Y830" s="68" t="n">
        <x:f>X830-W830</x:f>
        <x:v>0</x:v>
      </x:c>
      <x:c r="Z830" s="66" t="n">
        <x:f>W830/'공식·설정'!$B$8</x:f>
        <x:v>0.0105438232421875</x:v>
      </x:c>
      <x:c r="AA830" s="66" t="n">
        <x:f>X830/'공식·설정'!$B$8</x:f>
        <x:v>0.0105438232421875</x:v>
      </x:c>
      <x:c r="AB830" s="67" t="str">
        <x:f>IF(AND(I830=0,L830=0,Q830=0,T830=0,Y830=0),"PASS","FAIL")</x:f>
        <x:v>PASS</x:v>
      </x:c>
    </x:row>
    <x:row r="831" ht="18" customHeight="1">
      <x:c r="A831" s="14" t="n">
        <x:v>934</x:v>
      </x:c>
      <x:c r="B831" s="14" t="n">
        <x:v>826</x:v>
      </x:c>
      <x:c r="C831" s="14" t="n">
        <x:v>924</x:v>
      </x:c>
      <x:c r="D831" s="14" t="n">
        <x:v>1921046</x:v>
      </x:c>
      <x:c r="E831" s="14" t="n">
        <x:v>938</x:v>
      </x:c>
      <x:c r="F831" s="14" t="n">
        <x:v>2234424</x:v>
      </x:c>
      <x:c r="G831" s="14" t="n">
        <x:v>2144887</x:v>
      </x:c>
      <x:c r="H831" s="14" t="n">
        <x:f>INT((F831-D831)*(A831-C831)/(E831-C831))+D831</x:f>
        <x:v>2144887</x:v>
      </x:c>
      <x:c r="I831" s="68" t="n">
        <x:f>H831-G831</x:f>
        <x:v>0</x:v>
      </x:c>
      <x:c r="J831" s="14" t="n">
        <x:v>13963819</x:v>
      </x:c>
      <x:c r="K831" s="14" t="n">
        <x:f>INT(H831*'공식·설정'!$B$10/'공식·설정'!$B$15)</x:f>
        <x:v>13963819</x:v>
      </x:c>
      <x:c r="L831" s="68" t="n">
        <x:f>K831-J831</x:f>
        <x:v>0</x:v>
      </x:c>
      <x:c r="M831" s="65" t="n">
        <x:f>J831/'공식·설정'!$B$7</x:f>
        <x:v>54546.16796875</x:v>
      </x:c>
      <x:c r="N831" s="65" t="n">
        <x:f>K831/'공식·설정'!$B$7</x:f>
        <x:v>54546.16796875</x:v>
      </x:c>
      <x:c r="O831" s="14" t="n">
        <x:v>5455</x:v>
      </x:c>
      <x:c r="P831" s="14" t="n">
        <x:f>MIN(32767,MAX(0,INT((K831+INT('공식·설정'!$B$12/2))/'공식·설정'!$B$12)))</x:f>
        <x:v>5455</x:v>
      </x:c>
      <x:c r="Q831" s="68" t="n">
        <x:f>P831-O831</x:f>
        <x:v>0</x:v>
      </x:c>
      <x:c r="R831" s="14" t="n">
        <x:v>13973248</x:v>
      </x:c>
      <x:c r="S831" s="14" t="n">
        <x:f>P831*'공식·설정'!$B$12+'공식·설정'!$B$14</x:f>
        <x:v>13973248</x:v>
      </x:c>
      <x:c r="T831" s="68" t="n">
        <x:f>S831-R831</x:f>
        <x:v>0</x:v>
      </x:c>
      <x:c r="U831" s="65" t="n">
        <x:f>R831/'공식·설정'!$B$7</x:f>
        <x:v>54583</x:v>
      </x:c>
      <x:c r="V831" s="65" t="n">
        <x:f>S831/'공식·설정'!$B$7</x:f>
        <x:v>54583</x:v>
      </x:c>
      <x:c r="W831" s="14" t="n">
        <x:v>683</x:v>
      </x:c>
      <x:c r="X831" s="14" t="n">
        <x:f>INT(ABS(K832-K831)*'공식·설정'!$B$8/K831)</x:f>
        <x:v>683</x:v>
      </x:c>
      <x:c r="Y831" s="68" t="n">
        <x:f>X831-W831</x:f>
        <x:v>0</x:v>
      </x:c>
      <x:c r="Z831" s="66" t="n">
        <x:f>W831/'공식·설정'!$B$8</x:f>
        <x:v>0.0104217529296875</x:v>
      </x:c>
      <x:c r="AA831" s="66" t="n">
        <x:f>X831/'공식·설정'!$B$8</x:f>
        <x:v>0.0104217529296875</x:v>
      </x:c>
      <x:c r="AB831" s="67" t="str">
        <x:f>IF(AND(I831=0,L831=0,Q831=0,T831=0,Y831=0),"PASS","FAIL")</x:f>
        <x:v>PASS</x:v>
      </x:c>
    </x:row>
    <x:row r="832" ht="18" customHeight="1">
      <x:c r="A832" s="14" t="n">
        <x:v>935</x:v>
      </x:c>
      <x:c r="B832" s="14" t="n">
        <x:v>827</x:v>
      </x:c>
      <x:c r="C832" s="14" t="n">
        <x:v>924</x:v>
      </x:c>
      <x:c r="D832" s="14" t="n">
        <x:v>1921046</x:v>
      </x:c>
      <x:c r="E832" s="14" t="n">
        <x:v>938</x:v>
      </x:c>
      <x:c r="F832" s="14" t="n">
        <x:v>2234424</x:v>
      </x:c>
      <x:c r="G832" s="14" t="n">
        <x:v>2167271</x:v>
      </x:c>
      <x:c r="H832" s="14" t="n">
        <x:f>INT((F832-D832)*(A832-C832)/(E832-C832))+D832</x:f>
        <x:v>2167271</x:v>
      </x:c>
      <x:c r="I832" s="68" t="n">
        <x:f>H832-G832</x:f>
        <x:v>0</x:v>
      </x:c>
      <x:c r="J832" s="14" t="n">
        <x:v>14109545</x:v>
      </x:c>
      <x:c r="K832" s="14" t="n">
        <x:f>INT(H832*'공식·설정'!$B$10/'공식·설정'!$B$15)</x:f>
        <x:v>14109545</x:v>
      </x:c>
      <x:c r="L832" s="68" t="n">
        <x:f>K832-J832</x:f>
        <x:v>0</x:v>
      </x:c>
      <x:c r="M832" s="65" t="n">
        <x:f>J832/'공식·설정'!$B$7</x:f>
        <x:v>55115.41015625</x:v>
      </x:c>
      <x:c r="N832" s="65" t="n">
        <x:f>K832/'공식·설정'!$B$7</x:f>
        <x:v>55115.41015625</x:v>
      </x:c>
      <x:c r="O832" s="14" t="n">
        <x:v>5512</x:v>
      </x:c>
      <x:c r="P832" s="14" t="n">
        <x:f>MIN(32767,MAX(0,INT((K832+INT('공식·설정'!$B$12/2))/'공식·설정'!$B$12)))</x:f>
        <x:v>5512</x:v>
      </x:c>
      <x:c r="Q832" s="68" t="n">
        <x:f>P832-O832</x:f>
        <x:v>0</x:v>
      </x:c>
      <x:c r="R832" s="14" t="n">
        <x:v>14119168</x:v>
      </x:c>
      <x:c r="S832" s="14" t="n">
        <x:f>P832*'공식·설정'!$B$12+'공식·설정'!$B$14</x:f>
        <x:v>14119168</x:v>
      </x:c>
      <x:c r="T832" s="68" t="n">
        <x:f>S832-R832</x:f>
        <x:v>0</x:v>
      </x:c>
      <x:c r="U832" s="65" t="n">
        <x:f>R832/'공식·설정'!$B$7</x:f>
        <x:v>55153</x:v>
      </x:c>
      <x:c r="V832" s="65" t="n">
        <x:f>S832/'공식·설정'!$B$7</x:f>
        <x:v>55153</x:v>
      </x:c>
      <x:c r="W832" s="14" t="n">
        <x:v>676</x:v>
      </x:c>
      <x:c r="X832" s="14" t="n">
        <x:f>INT(ABS(K833-K832)*'공식·설정'!$B$8/K832)</x:f>
        <x:v>676</x:v>
      </x:c>
      <x:c r="Y832" s="68" t="n">
        <x:f>X832-W832</x:f>
        <x:v>0</x:v>
      </x:c>
      <x:c r="Z832" s="66" t="n">
        <x:f>W832/'공식·설정'!$B$8</x:f>
        <x:v>0.01031494140625</x:v>
      </x:c>
      <x:c r="AA832" s="66" t="n">
        <x:f>X832/'공식·설정'!$B$8</x:f>
        <x:v>0.01031494140625</x:v>
      </x:c>
      <x:c r="AB832" s="67" t="str">
        <x:f>IF(AND(I832=0,L832=0,Q832=0,T832=0,Y832=0),"PASS","FAIL")</x:f>
        <x:v>PASS</x:v>
      </x:c>
    </x:row>
    <x:row r="833" ht="18" customHeight="1">
      <x:c r="A833" s="14" t="n">
        <x:v>936</x:v>
      </x:c>
      <x:c r="B833" s="14" t="n">
        <x:v>828</x:v>
      </x:c>
      <x:c r="C833" s="14" t="n">
        <x:v>924</x:v>
      </x:c>
      <x:c r="D833" s="14" t="n">
        <x:v>1921046</x:v>
      </x:c>
      <x:c r="E833" s="14" t="n">
        <x:v>938</x:v>
      </x:c>
      <x:c r="F833" s="14" t="n">
        <x:v>2234424</x:v>
      </x:c>
      <x:c r="G833" s="14" t="n">
        <x:v>2189655</x:v>
      </x:c>
      <x:c r="H833" s="14" t="n">
        <x:f>INT((F833-D833)*(A833-C833)/(E833-C833))+D833</x:f>
        <x:v>2189655</x:v>
      </x:c>
      <x:c r="I833" s="68" t="n">
        <x:f>H833-G833</x:f>
        <x:v>0</x:v>
      </x:c>
      <x:c r="J833" s="14" t="n">
        <x:v>14255271</x:v>
      </x:c>
      <x:c r="K833" s="14" t="n">
        <x:f>INT(H833*'공식·설정'!$B$10/'공식·설정'!$B$15)</x:f>
        <x:v>14255271</x:v>
      </x:c>
      <x:c r="L833" s="68" t="n">
        <x:f>K833-J833</x:f>
        <x:v>0</x:v>
      </x:c>
      <x:c r="M833" s="65" t="n">
        <x:f>J833/'공식·설정'!$B$7</x:f>
        <x:v>55684.65234375</x:v>
      </x:c>
      <x:c r="N833" s="65" t="n">
        <x:f>K833/'공식·설정'!$B$7</x:f>
        <x:v>55684.65234375</x:v>
      </x:c>
      <x:c r="O833" s="14" t="n">
        <x:v>5568</x:v>
      </x:c>
      <x:c r="P833" s="14" t="n">
        <x:f>MIN(32767,MAX(0,INT((K833+INT('공식·설정'!$B$12/2))/'공식·설정'!$B$12)))</x:f>
        <x:v>5568</x:v>
      </x:c>
      <x:c r="Q833" s="68" t="n">
        <x:f>P833-O833</x:f>
        <x:v>0</x:v>
      </x:c>
      <x:c r="R833" s="14" t="n">
        <x:v>14262528</x:v>
      </x:c>
      <x:c r="S833" s="14" t="n">
        <x:f>P833*'공식·설정'!$B$12+'공식·설정'!$B$14</x:f>
        <x:v>14262528</x:v>
      </x:c>
      <x:c r="T833" s="68" t="n">
        <x:f>S833-R833</x:f>
        <x:v>0</x:v>
      </x:c>
      <x:c r="U833" s="65" t="n">
        <x:f>R833/'공식·설정'!$B$7</x:f>
        <x:v>55713</x:v>
      </x:c>
      <x:c r="V833" s="65" t="n">
        <x:f>S833/'공식·설정'!$B$7</x:f>
        <x:v>55713</x:v>
      </x:c>
      <x:c r="W833" s="14" t="n">
        <x:v>669</x:v>
      </x:c>
      <x:c r="X833" s="14" t="n">
        <x:f>INT(ABS(K834-K833)*'공식·설정'!$B$8/K833)</x:f>
        <x:v>669</x:v>
      </x:c>
      <x:c r="Y833" s="68" t="n">
        <x:f>X833-W833</x:f>
        <x:v>0</x:v>
      </x:c>
      <x:c r="Z833" s="66" t="n">
        <x:f>W833/'공식·설정'!$B$8</x:f>
        <x:v>0.0102081298828125</x:v>
      </x:c>
      <x:c r="AA833" s="66" t="n">
        <x:f>X833/'공식·설정'!$B$8</x:f>
        <x:v>0.0102081298828125</x:v>
      </x:c>
      <x:c r="AB833" s="67" t="str">
        <x:f>IF(AND(I833=0,L833=0,Q833=0,T833=0,Y833=0),"PASS","FAIL")</x:f>
        <x:v>PASS</x:v>
      </x:c>
    </x:row>
    <x:row r="834" ht="18" customHeight="1">
      <x:c r="A834" s="14" t="n">
        <x:v>937</x:v>
      </x:c>
      <x:c r="B834" s="14" t="n">
        <x:v>829</x:v>
      </x:c>
      <x:c r="C834" s="14" t="n">
        <x:v>924</x:v>
      </x:c>
      <x:c r="D834" s="14" t="n">
        <x:v>1921046</x:v>
      </x:c>
      <x:c r="E834" s="14" t="n">
        <x:v>938</x:v>
      </x:c>
      <x:c r="F834" s="14" t="n">
        <x:v>2234424</x:v>
      </x:c>
      <x:c r="G834" s="14" t="n">
        <x:v>2212039</x:v>
      </x:c>
      <x:c r="H834" s="14" t="n">
        <x:f>INT((F834-D834)*(A834-C834)/(E834-C834))+D834</x:f>
        <x:v>2212039</x:v>
      </x:c>
      <x:c r="I834" s="68" t="n">
        <x:f>H834-G834</x:f>
        <x:v>0</x:v>
      </x:c>
      <x:c r="J834" s="14" t="n">
        <x:v>14400997</x:v>
      </x:c>
      <x:c r="K834" s="14" t="n">
        <x:f>INT(H834*'공식·설정'!$B$10/'공식·설정'!$B$15)</x:f>
        <x:v>14400997</x:v>
      </x:c>
      <x:c r="L834" s="68" t="n">
        <x:f>K834-J834</x:f>
        <x:v>0</x:v>
      </x:c>
      <x:c r="M834" s="65" t="n">
        <x:f>J834/'공식·설정'!$B$7</x:f>
        <x:v>56253.89453125</x:v>
      </x:c>
      <x:c r="N834" s="65" t="n">
        <x:f>K834/'공식·설정'!$B$7</x:f>
        <x:v>56253.89453125</x:v>
      </x:c>
      <x:c r="O834" s="14" t="n">
        <x:v>5625</x:v>
      </x:c>
      <x:c r="P834" s="14" t="n">
        <x:f>MIN(32767,MAX(0,INT((K834+INT('공식·설정'!$B$12/2))/'공식·설정'!$B$12)))</x:f>
        <x:v>5625</x:v>
      </x:c>
      <x:c r="Q834" s="68" t="n">
        <x:f>P834-O834</x:f>
        <x:v>0</x:v>
      </x:c>
      <x:c r="R834" s="14" t="n">
        <x:v>14408448</x:v>
      </x:c>
      <x:c r="S834" s="14" t="n">
        <x:f>P834*'공식·설정'!$B$12+'공식·설정'!$B$14</x:f>
        <x:v>14408448</x:v>
      </x:c>
      <x:c r="T834" s="68" t="n">
        <x:f>S834-R834</x:f>
        <x:v>0</x:v>
      </x:c>
      <x:c r="U834" s="65" t="n">
        <x:f>R834/'공식·설정'!$B$7</x:f>
        <x:v>56283</x:v>
      </x:c>
      <x:c r="V834" s="65" t="n">
        <x:f>S834/'공식·설정'!$B$7</x:f>
        <x:v>56283</x:v>
      </x:c>
      <x:c r="W834" s="14" t="n">
        <x:v>663</x:v>
      </x:c>
      <x:c r="X834" s="14" t="n">
        <x:f>INT(ABS(K835-K834)*'공식·설정'!$B$8/K834)</x:f>
        <x:v>663</x:v>
      </x:c>
      <x:c r="Y834" s="68" t="n">
        <x:f>X834-W834</x:f>
        <x:v>0</x:v>
      </x:c>
      <x:c r="Z834" s="66" t="n">
        <x:f>W834/'공식·설정'!$B$8</x:f>
        <x:v>0.0101165771484375</x:v>
      </x:c>
      <x:c r="AA834" s="66" t="n">
        <x:f>X834/'공식·설정'!$B$8</x:f>
        <x:v>0.0101165771484375</x:v>
      </x:c>
      <x:c r="AB834" s="67" t="str">
        <x:f>IF(AND(I834=0,L834=0,Q834=0,T834=0,Y834=0),"PASS","FAIL")</x:f>
        <x:v>PASS</x:v>
      </x:c>
    </x:row>
    <x:row r="835" ht="18" customHeight="1">
      <x:c r="A835" s="14" t="n">
        <x:v>938</x:v>
      </x:c>
      <x:c r="B835" s="14" t="n">
        <x:v>830</x:v>
      </x:c>
      <x:c r="C835" s="14" t="n">
        <x:v>938</x:v>
      </x:c>
      <x:c r="D835" s="14" t="n">
        <x:v>2234424</x:v>
      </x:c>
      <x:c r="E835" s="14" t="n">
        <x:v>952</x:v>
      </x:c>
      <x:c r="F835" s="14" t="n">
        <x:v>2598921</x:v>
      </x:c>
      <x:c r="G835" s="14" t="n">
        <x:v>2234424</x:v>
      </x:c>
      <x:c r="H835" s="14" t="n">
        <x:f>INT((F835-D835)*(A835-C835)/(E835-C835))+D835</x:f>
        <x:v>2234424</x:v>
      </x:c>
      <x:c r="I835" s="68" t="n">
        <x:f>H835-G835</x:f>
        <x:v>0</x:v>
      </x:c>
      <x:c r="J835" s="14" t="n">
        <x:v>14546730</x:v>
      </x:c>
      <x:c r="K835" s="14" t="n">
        <x:f>INT(H835*'공식·설정'!$B$10/'공식·설정'!$B$15)</x:f>
        <x:v>14546730</x:v>
      </x:c>
      <x:c r="L835" s="68" t="n">
        <x:f>K835-J835</x:f>
        <x:v>0</x:v>
      </x:c>
      <x:c r="M835" s="65" t="n">
        <x:f>J835/'공식·설정'!$B$7</x:f>
        <x:v>56823.1640625</x:v>
      </x:c>
      <x:c r="N835" s="65" t="n">
        <x:f>K835/'공식·설정'!$B$7</x:f>
        <x:v>56823.1640625</x:v>
      </x:c>
      <x:c r="O835" s="14" t="n">
        <x:v>5682</x:v>
      </x:c>
      <x:c r="P835" s="14" t="n">
        <x:f>MIN(32767,MAX(0,INT((K835+INT('공식·설정'!$B$12/2))/'공식·설정'!$B$12)))</x:f>
        <x:v>5682</x:v>
      </x:c>
      <x:c r="Q835" s="68" t="n">
        <x:f>P835-O835</x:f>
        <x:v>0</x:v>
      </x:c>
      <x:c r="R835" s="14" t="n">
        <x:v>14554368</x:v>
      </x:c>
      <x:c r="S835" s="14" t="n">
        <x:f>P835*'공식·설정'!$B$12+'공식·설정'!$B$14</x:f>
        <x:v>14554368</x:v>
      </x:c>
      <x:c r="T835" s="68" t="n">
        <x:f>S835-R835</x:f>
        <x:v>0</x:v>
      </x:c>
      <x:c r="U835" s="65" t="n">
        <x:f>R835/'공식·설정'!$B$7</x:f>
        <x:v>56853</x:v>
      </x:c>
      <x:c r="V835" s="65" t="n">
        <x:f>S835/'공식·설정'!$B$7</x:f>
        <x:v>56853</x:v>
      </x:c>
      <x:c r="W835" s="14" t="n">
        <x:v>763</x:v>
      </x:c>
      <x:c r="X835" s="14" t="n">
        <x:f>INT(ABS(K836-K835)*'공식·설정'!$B$8/K835)</x:f>
        <x:v>763</x:v>
      </x:c>
      <x:c r="Y835" s="68" t="n">
        <x:f>X835-W835</x:f>
        <x:v>0</x:v>
      </x:c>
      <x:c r="Z835" s="66" t="n">
        <x:f>W835/'공식·설정'!$B$8</x:f>
        <x:v>0.0116424560546875</x:v>
      </x:c>
      <x:c r="AA835" s="66" t="n">
        <x:f>X835/'공식·설정'!$B$8</x:f>
        <x:v>0.0116424560546875</x:v>
      </x:c>
      <x:c r="AB835" s="67" t="str">
        <x:f>IF(AND(I835=0,L835=0,Q835=0,T835=0,Y835=0),"PASS","FAIL")</x:f>
        <x:v>PASS</x:v>
      </x:c>
    </x:row>
    <x:row r="836" ht="18" customHeight="1">
      <x:c r="A836" s="14" t="n">
        <x:v>939</x:v>
      </x:c>
      <x:c r="B836" s="14" t="n">
        <x:v>831</x:v>
      </x:c>
      <x:c r="C836" s="14" t="n">
        <x:v>938</x:v>
      </x:c>
      <x:c r="D836" s="14" t="n">
        <x:v>2234424</x:v>
      </x:c>
      <x:c r="E836" s="14" t="n">
        <x:v>952</x:v>
      </x:c>
      <x:c r="F836" s="14" t="n">
        <x:v>2598921</x:v>
      </x:c>
      <x:c r="G836" s="14" t="n">
        <x:v>2260459</x:v>
      </x:c>
      <x:c r="H836" s="14" t="n">
        <x:f>INT((F836-D836)*(A836-C836)/(E836-C836))+D836</x:f>
        <x:v>2260459</x:v>
      </x:c>
      <x:c r="I836" s="68" t="n">
        <x:f>H836-G836</x:f>
        <x:v>0</x:v>
      </x:c>
      <x:c r="J836" s="14" t="n">
        <x:v>14716225</x:v>
      </x:c>
      <x:c r="K836" s="14" t="n">
        <x:f>INT(H836*'공식·설정'!$B$10/'공식·설정'!$B$15)</x:f>
        <x:v>14716225</x:v>
      </x:c>
      <x:c r="L836" s="68" t="n">
        <x:f>K836-J836</x:f>
        <x:v>0</x:v>
      </x:c>
      <x:c r="M836" s="65" t="n">
        <x:f>J836/'공식·설정'!$B$7</x:f>
        <x:v>57485.25390625</x:v>
      </x:c>
      <x:c r="N836" s="65" t="n">
        <x:f>K836/'공식·설정'!$B$7</x:f>
        <x:v>57485.25390625</x:v>
      </x:c>
      <x:c r="O836" s="14" t="n">
        <x:v>5749</x:v>
      </x:c>
      <x:c r="P836" s="14" t="n">
        <x:f>MIN(32767,MAX(0,INT((K836+INT('공식·설정'!$B$12/2))/'공식·설정'!$B$12)))</x:f>
        <x:v>5749</x:v>
      </x:c>
      <x:c r="Q836" s="68" t="n">
        <x:f>P836-O836</x:f>
        <x:v>0</x:v>
      </x:c>
      <x:c r="R836" s="14" t="n">
        <x:v>14725888</x:v>
      </x:c>
      <x:c r="S836" s="14" t="n">
        <x:f>P836*'공식·설정'!$B$12+'공식·설정'!$B$14</x:f>
        <x:v>14725888</x:v>
      </x:c>
      <x:c r="T836" s="68" t="n">
        <x:f>S836-R836</x:f>
        <x:v>0</x:v>
      </x:c>
      <x:c r="U836" s="65" t="n">
        <x:f>R836/'공식·설정'!$B$7</x:f>
        <x:v>57523</x:v>
      </x:c>
      <x:c r="V836" s="65" t="n">
        <x:f>S836/'공식·설정'!$B$7</x:f>
        <x:v>57523</x:v>
      </x:c>
      <x:c r="W836" s="14" t="n">
        <x:v>754</x:v>
      </x:c>
      <x:c r="X836" s="14" t="n">
        <x:f>INT(ABS(K837-K836)*'공식·설정'!$B$8/K836)</x:f>
        <x:v>754</x:v>
      </x:c>
      <x:c r="Y836" s="68" t="n">
        <x:f>X836-W836</x:f>
        <x:v>0</x:v>
      </x:c>
      <x:c r="Z836" s="66" t="n">
        <x:f>W836/'공식·설정'!$B$8</x:f>
        <x:v>0.011505126953125</x:v>
      </x:c>
      <x:c r="AA836" s="66" t="n">
        <x:f>X836/'공식·설정'!$B$8</x:f>
        <x:v>0.011505126953125</x:v>
      </x:c>
      <x:c r="AB836" s="67" t="str">
        <x:f>IF(AND(I836=0,L836=0,Q836=0,T836=0,Y836=0),"PASS","FAIL")</x:f>
        <x:v>PASS</x:v>
      </x:c>
    </x:row>
    <x:row r="837" ht="18" customHeight="1">
      <x:c r="A837" s="14" t="n">
        <x:v>940</x:v>
      </x:c>
      <x:c r="B837" s="14" t="n">
        <x:v>832</x:v>
      </x:c>
      <x:c r="C837" s="14" t="n">
        <x:v>938</x:v>
      </x:c>
      <x:c r="D837" s="14" t="n">
        <x:v>2234424</x:v>
      </x:c>
      <x:c r="E837" s="14" t="n">
        <x:v>952</x:v>
      </x:c>
      <x:c r="F837" s="14" t="n">
        <x:v>2598921</x:v>
      </x:c>
      <x:c r="G837" s="14" t="n">
        <x:v>2286495</x:v>
      </x:c>
      <x:c r="H837" s="14" t="n">
        <x:f>INT((F837-D837)*(A837-C837)/(E837-C837))+D837</x:f>
        <x:v>2286495</x:v>
      </x:c>
      <x:c r="I837" s="68" t="n">
        <x:f>H837-G837</x:f>
        <x:v>0</x:v>
      </x:c>
      <x:c r="J837" s="14" t="n">
        <x:v>14885727</x:v>
      </x:c>
      <x:c r="K837" s="14" t="n">
        <x:f>INT(H837*'공식·설정'!$B$10/'공식·설정'!$B$15)</x:f>
        <x:v>14885727</x:v>
      </x:c>
      <x:c r="L837" s="68" t="n">
        <x:f>K837-J837</x:f>
        <x:v>0</x:v>
      </x:c>
      <x:c r="M837" s="65" t="n">
        <x:f>J837/'공식·설정'!$B$7</x:f>
        <x:v>58147.37109375</x:v>
      </x:c>
      <x:c r="N837" s="65" t="n">
        <x:f>K837/'공식·설정'!$B$7</x:f>
        <x:v>58147.37109375</x:v>
      </x:c>
      <x:c r="O837" s="14" t="n">
        <x:v>5815</x:v>
      </x:c>
      <x:c r="P837" s="14" t="n">
        <x:f>MIN(32767,MAX(0,INT((K837+INT('공식·설정'!$B$12/2))/'공식·설정'!$B$12)))</x:f>
        <x:v>5815</x:v>
      </x:c>
      <x:c r="Q837" s="68" t="n">
        <x:f>P837-O837</x:f>
        <x:v>0</x:v>
      </x:c>
      <x:c r="R837" s="14" t="n">
        <x:v>14894848</x:v>
      </x:c>
      <x:c r="S837" s="14" t="n">
        <x:f>P837*'공식·설정'!$B$12+'공식·설정'!$B$14</x:f>
        <x:v>14894848</x:v>
      </x:c>
      <x:c r="T837" s="68" t="n">
        <x:f>S837-R837</x:f>
        <x:v>0</x:v>
      </x:c>
      <x:c r="U837" s="65" t="n">
        <x:f>R837/'공식·설정'!$B$7</x:f>
        <x:v>58183</x:v>
      </x:c>
      <x:c r="V837" s="65" t="n">
        <x:f>S837/'공식·설정'!$B$7</x:f>
        <x:v>58183</x:v>
      </x:c>
      <x:c r="W837" s="14" t="n">
        <x:v>746</x:v>
      </x:c>
      <x:c r="X837" s="14" t="n">
        <x:f>INT(ABS(K838-K837)*'공식·설정'!$B$8/K837)</x:f>
        <x:v>746</x:v>
      </x:c>
      <x:c r="Y837" s="68" t="n">
        <x:f>X837-W837</x:f>
        <x:v>0</x:v>
      </x:c>
      <x:c r="Z837" s="66" t="n">
        <x:f>W837/'공식·설정'!$B$8</x:f>
        <x:v>0.011383056640625</x:v>
      </x:c>
      <x:c r="AA837" s="66" t="n">
        <x:f>X837/'공식·설정'!$B$8</x:f>
        <x:v>0.011383056640625</x:v>
      </x:c>
      <x:c r="AB837" s="67" t="str">
        <x:f>IF(AND(I837=0,L837=0,Q837=0,T837=0,Y837=0),"PASS","FAIL")</x:f>
        <x:v>PASS</x:v>
      </x:c>
    </x:row>
    <x:row r="838" ht="18" customHeight="1">
      <x:c r="A838" s="14" t="n">
        <x:v>941</x:v>
      </x:c>
      <x:c r="B838" s="14" t="n">
        <x:v>833</x:v>
      </x:c>
      <x:c r="C838" s="14" t="n">
        <x:v>938</x:v>
      </x:c>
      <x:c r="D838" s="14" t="n">
        <x:v>2234424</x:v>
      </x:c>
      <x:c r="E838" s="14" t="n">
        <x:v>952</x:v>
      </x:c>
      <x:c r="F838" s="14" t="n">
        <x:v>2598921</x:v>
      </x:c>
      <x:c r="G838" s="14" t="n">
        <x:v>2312530</x:v>
      </x:c>
      <x:c r="H838" s="14" t="n">
        <x:f>INT((F838-D838)*(A838-C838)/(E838-C838))+D838</x:f>
        <x:v>2312530</x:v>
      </x:c>
      <x:c r="I838" s="68" t="n">
        <x:f>H838-G838</x:f>
        <x:v>0</x:v>
      </x:c>
      <x:c r="J838" s="14" t="n">
        <x:v>15055222</x:v>
      </x:c>
      <x:c r="K838" s="14" t="n">
        <x:f>INT(H838*'공식·설정'!$B$10/'공식·설정'!$B$15)</x:f>
        <x:v>15055222</x:v>
      </x:c>
      <x:c r="L838" s="68" t="n">
        <x:f>K838-J838</x:f>
        <x:v>0</x:v>
      </x:c>
      <x:c r="M838" s="65" t="n">
        <x:f>J838/'공식·설정'!$B$7</x:f>
        <x:v>58809.4609375</x:v>
      </x:c>
      <x:c r="N838" s="65" t="n">
        <x:f>K838/'공식·설정'!$B$7</x:f>
        <x:v>58809.4609375</x:v>
      </x:c>
      <x:c r="O838" s="14" t="n">
        <x:v>5881</x:v>
      </x:c>
      <x:c r="P838" s="14" t="n">
        <x:f>MIN(32767,MAX(0,INT((K838+INT('공식·설정'!$B$12/2))/'공식·설정'!$B$12)))</x:f>
        <x:v>5881</x:v>
      </x:c>
      <x:c r="Q838" s="68" t="n">
        <x:f>P838-O838</x:f>
        <x:v>0</x:v>
      </x:c>
      <x:c r="R838" s="14" t="n">
        <x:v>15063808</x:v>
      </x:c>
      <x:c r="S838" s="14" t="n">
        <x:f>P838*'공식·설정'!$B$12+'공식·설정'!$B$14</x:f>
        <x:v>15063808</x:v>
      </x:c>
      <x:c r="T838" s="68" t="n">
        <x:f>S838-R838</x:f>
        <x:v>0</x:v>
      </x:c>
      <x:c r="U838" s="65" t="n">
        <x:f>R838/'공식·설정'!$B$7</x:f>
        <x:v>58843</x:v>
      </x:c>
      <x:c r="V838" s="65" t="n">
        <x:f>S838/'공식·설정'!$B$7</x:f>
        <x:v>58843</x:v>
      </x:c>
      <x:c r="W838" s="14" t="n">
        <x:v>737</x:v>
      </x:c>
      <x:c r="X838" s="14" t="n">
        <x:f>INT(ABS(K839-K838)*'공식·설정'!$B$8/K838)</x:f>
        <x:v>737</x:v>
      </x:c>
      <x:c r="Y838" s="68" t="n">
        <x:f>X838-W838</x:f>
        <x:v>0</x:v>
      </x:c>
      <x:c r="Z838" s="66" t="n">
        <x:f>W838/'공식·설정'!$B$8</x:f>
        <x:v>0.0112457275390625</x:v>
      </x:c>
      <x:c r="AA838" s="66" t="n">
        <x:f>X838/'공식·설정'!$B$8</x:f>
        <x:v>0.0112457275390625</x:v>
      </x:c>
      <x:c r="AB838" s="67" t="str">
        <x:f>IF(AND(I838=0,L838=0,Q838=0,T838=0,Y838=0),"PASS","FAIL")</x:f>
        <x:v>PASS</x:v>
      </x:c>
    </x:row>
    <x:row r="839" ht="18" customHeight="1">
      <x:c r="A839" s="14" t="n">
        <x:v>942</x:v>
      </x:c>
      <x:c r="B839" s="14" t="n">
        <x:v>834</x:v>
      </x:c>
      <x:c r="C839" s="14" t="n">
        <x:v>938</x:v>
      </x:c>
      <x:c r="D839" s="14" t="n">
        <x:v>2234424</x:v>
      </x:c>
      <x:c r="E839" s="14" t="n">
        <x:v>952</x:v>
      </x:c>
      <x:c r="F839" s="14" t="n">
        <x:v>2598921</x:v>
      </x:c>
      <x:c r="G839" s="14" t="n">
        <x:v>2338566</x:v>
      </x:c>
      <x:c r="H839" s="14" t="n">
        <x:f>INT((F839-D839)*(A839-C839)/(E839-C839))+D839</x:f>
        <x:v>2338566</x:v>
      </x:c>
      <x:c r="I839" s="68" t="n">
        <x:f>H839-G839</x:f>
        <x:v>0</x:v>
      </x:c>
      <x:c r="J839" s="14" t="n">
        <x:v>15224724</x:v>
      </x:c>
      <x:c r="K839" s="14" t="n">
        <x:f>INT(H839*'공식·설정'!$B$10/'공식·설정'!$B$15)</x:f>
        <x:v>15224724</x:v>
      </x:c>
      <x:c r="L839" s="68" t="n">
        <x:f>K839-J839</x:f>
        <x:v>0</x:v>
      </x:c>
      <x:c r="M839" s="65" t="n">
        <x:f>J839/'공식·설정'!$B$7</x:f>
        <x:v>59471.578125</x:v>
      </x:c>
      <x:c r="N839" s="65" t="n">
        <x:f>K839/'공식·설정'!$B$7</x:f>
        <x:v>59471.578125</x:v>
      </x:c>
      <x:c r="O839" s="14" t="n">
        <x:v>5947</x:v>
      </x:c>
      <x:c r="P839" s="14" t="n">
        <x:f>MIN(32767,MAX(0,INT((K839+INT('공식·설정'!$B$12/2))/'공식·설정'!$B$12)))</x:f>
        <x:v>5947</x:v>
      </x:c>
      <x:c r="Q839" s="68" t="n">
        <x:f>P839-O839</x:f>
        <x:v>0</x:v>
      </x:c>
      <x:c r="R839" s="14" t="n">
        <x:v>15232768</x:v>
      </x:c>
      <x:c r="S839" s="14" t="n">
        <x:f>P839*'공식·설정'!$B$12+'공식·설정'!$B$14</x:f>
        <x:v>15232768</x:v>
      </x:c>
      <x:c r="T839" s="68" t="n">
        <x:f>S839-R839</x:f>
        <x:v>0</x:v>
      </x:c>
      <x:c r="U839" s="65" t="n">
        <x:f>R839/'공식·설정'!$B$7</x:f>
        <x:v>59503</x:v>
      </x:c>
      <x:c r="V839" s="65" t="n">
        <x:f>S839/'공식·설정'!$B$7</x:f>
        <x:v>59503</x:v>
      </x:c>
      <x:c r="W839" s="14" t="n">
        <x:v>729</x:v>
      </x:c>
      <x:c r="X839" s="14" t="n">
        <x:f>INT(ABS(K840-K839)*'공식·설정'!$B$8/K839)</x:f>
        <x:v>729</x:v>
      </x:c>
      <x:c r="Y839" s="68" t="n">
        <x:f>X839-W839</x:f>
        <x:v>0</x:v>
      </x:c>
      <x:c r="Z839" s="66" t="n">
        <x:f>W839/'공식·설정'!$B$8</x:f>
        <x:v>0.0111236572265625</x:v>
      </x:c>
      <x:c r="AA839" s="66" t="n">
        <x:f>X839/'공식·설정'!$B$8</x:f>
        <x:v>0.0111236572265625</x:v>
      </x:c>
      <x:c r="AB839" s="67" t="str">
        <x:f>IF(AND(I839=0,L839=0,Q839=0,T839=0,Y839=0),"PASS","FAIL")</x:f>
        <x:v>PASS</x:v>
      </x:c>
    </x:row>
    <x:row r="840" ht="18" customHeight="1">
      <x:c r="A840" s="14" t="n">
        <x:v>943</x:v>
      </x:c>
      <x:c r="B840" s="14" t="n">
        <x:v>835</x:v>
      </x:c>
      <x:c r="C840" s="14" t="n">
        <x:v>938</x:v>
      </x:c>
      <x:c r="D840" s="14" t="n">
        <x:v>2234424</x:v>
      </x:c>
      <x:c r="E840" s="14" t="n">
        <x:v>952</x:v>
      </x:c>
      <x:c r="F840" s="14" t="n">
        <x:v>2598921</x:v>
      </x:c>
      <x:c r="G840" s="14" t="n">
        <x:v>2364601</x:v>
      </x:c>
      <x:c r="H840" s="14" t="n">
        <x:f>INT((F840-D840)*(A840-C840)/(E840-C840))+D840</x:f>
        <x:v>2364601</x:v>
      </x:c>
      <x:c r="I840" s="68" t="n">
        <x:f>H840-G840</x:f>
        <x:v>0</x:v>
      </x:c>
      <x:c r="J840" s="14" t="n">
        <x:v>15394219</x:v>
      </x:c>
      <x:c r="K840" s="14" t="n">
        <x:f>INT(H840*'공식·설정'!$B$10/'공식·설정'!$B$15)</x:f>
        <x:v>15394219</x:v>
      </x:c>
      <x:c r="L840" s="68" t="n">
        <x:f>K840-J840</x:f>
        <x:v>0</x:v>
      </x:c>
      <x:c r="M840" s="65" t="n">
        <x:f>J840/'공식·설정'!$B$7</x:f>
        <x:v>60133.66796875</x:v>
      </x:c>
      <x:c r="N840" s="65" t="n">
        <x:f>K840/'공식·설정'!$B$7</x:f>
        <x:v>60133.66796875</x:v>
      </x:c>
      <x:c r="O840" s="14" t="n">
        <x:v>6013</x:v>
      </x:c>
      <x:c r="P840" s="14" t="n">
        <x:f>MIN(32767,MAX(0,INT((K840+INT('공식·설정'!$B$12/2))/'공식·설정'!$B$12)))</x:f>
        <x:v>6013</x:v>
      </x:c>
      <x:c r="Q840" s="68" t="n">
        <x:f>P840-O840</x:f>
        <x:v>0</x:v>
      </x:c>
      <x:c r="R840" s="14" t="n">
        <x:v>15401728</x:v>
      </x:c>
      <x:c r="S840" s="14" t="n">
        <x:f>P840*'공식·설정'!$B$12+'공식·설정'!$B$14</x:f>
        <x:v>15401728</x:v>
      </x:c>
      <x:c r="T840" s="68" t="n">
        <x:f>S840-R840</x:f>
        <x:v>0</x:v>
      </x:c>
      <x:c r="U840" s="65" t="n">
        <x:f>R840/'공식·설정'!$B$7</x:f>
        <x:v>60163</x:v>
      </x:c>
      <x:c r="V840" s="65" t="n">
        <x:f>S840/'공식·설정'!$B$7</x:f>
        <x:v>60163</x:v>
      </x:c>
      <x:c r="W840" s="14" t="n">
        <x:v>721</x:v>
      </x:c>
      <x:c r="X840" s="14" t="n">
        <x:f>INT(ABS(K841-K840)*'공식·설정'!$B$8/K840)</x:f>
        <x:v>721</x:v>
      </x:c>
      <x:c r="Y840" s="68" t="n">
        <x:f>X840-W840</x:f>
        <x:v>0</x:v>
      </x:c>
      <x:c r="Z840" s="66" t="n">
        <x:f>W840/'공식·설정'!$B$8</x:f>
        <x:v>0.0110015869140625</x:v>
      </x:c>
      <x:c r="AA840" s="66" t="n">
        <x:f>X840/'공식·설정'!$B$8</x:f>
        <x:v>0.0110015869140625</x:v>
      </x:c>
      <x:c r="AB840" s="67" t="str">
        <x:f>IF(AND(I840=0,L840=0,Q840=0,T840=0,Y840=0),"PASS","FAIL")</x:f>
        <x:v>PASS</x:v>
      </x:c>
    </x:row>
    <x:row r="841" ht="18" customHeight="1">
      <x:c r="A841" s="14" t="n">
        <x:v>944</x:v>
      </x:c>
      <x:c r="B841" s="14" t="n">
        <x:v>836</x:v>
      </x:c>
      <x:c r="C841" s="14" t="n">
        <x:v>938</x:v>
      </x:c>
      <x:c r="D841" s="14" t="n">
        <x:v>2234424</x:v>
      </x:c>
      <x:c r="E841" s="14" t="n">
        <x:v>952</x:v>
      </x:c>
      <x:c r="F841" s="14" t="n">
        <x:v>2598921</x:v>
      </x:c>
      <x:c r="G841" s="14" t="n">
        <x:v>2390637</x:v>
      </x:c>
      <x:c r="H841" s="14" t="n">
        <x:f>INT((F841-D841)*(A841-C841)/(E841-C841))+D841</x:f>
        <x:v>2390637</x:v>
      </x:c>
      <x:c r="I841" s="68" t="n">
        <x:f>H841-G841</x:f>
        <x:v>0</x:v>
      </x:c>
      <x:c r="J841" s="14" t="n">
        <x:v>15563720</x:v>
      </x:c>
      <x:c r="K841" s="14" t="n">
        <x:f>INT(H841*'공식·설정'!$B$10/'공식·설정'!$B$15)</x:f>
        <x:v>15563720</x:v>
      </x:c>
      <x:c r="L841" s="68" t="n">
        <x:f>K841-J841</x:f>
        <x:v>0</x:v>
      </x:c>
      <x:c r="M841" s="65" t="n">
        <x:f>J841/'공식·설정'!$B$7</x:f>
        <x:v>60795.78125</x:v>
      </x:c>
      <x:c r="N841" s="65" t="n">
        <x:f>K841/'공식·설정'!$B$7</x:f>
        <x:v>60795.78125</x:v>
      </x:c>
      <x:c r="O841" s="14" t="n">
        <x:v>6080</x:v>
      </x:c>
      <x:c r="P841" s="14" t="n">
        <x:f>MIN(32767,MAX(0,INT((K841+INT('공식·설정'!$B$12/2))/'공식·설정'!$B$12)))</x:f>
        <x:v>6080</x:v>
      </x:c>
      <x:c r="Q841" s="68" t="n">
        <x:f>P841-O841</x:f>
        <x:v>0</x:v>
      </x:c>
      <x:c r="R841" s="14" t="n">
        <x:v>15573248</x:v>
      </x:c>
      <x:c r="S841" s="14" t="n">
        <x:f>P841*'공식·설정'!$B$12+'공식·설정'!$B$14</x:f>
        <x:v>15573248</x:v>
      </x:c>
      <x:c r="T841" s="68" t="n">
        <x:f>S841-R841</x:f>
        <x:v>0</x:v>
      </x:c>
      <x:c r="U841" s="65" t="n">
        <x:f>R841/'공식·설정'!$B$7</x:f>
        <x:v>60833</x:v>
      </x:c>
      <x:c r="V841" s="65" t="n">
        <x:f>S841/'공식·설정'!$B$7</x:f>
        <x:v>60833</x:v>
      </x:c>
      <x:c r="W841" s="14" t="n">
        <x:v>713</x:v>
      </x:c>
      <x:c r="X841" s="14" t="n">
        <x:f>INT(ABS(K842-K841)*'공식·설정'!$B$8/K841)</x:f>
        <x:v>713</x:v>
      </x:c>
      <x:c r="Y841" s="68" t="n">
        <x:f>X841-W841</x:f>
        <x:v>0</x:v>
      </x:c>
      <x:c r="Z841" s="66" t="n">
        <x:f>W841/'공식·설정'!$B$8</x:f>
        <x:v>0.0108795166015625</x:v>
      </x:c>
      <x:c r="AA841" s="66" t="n">
        <x:f>X841/'공식·설정'!$B$8</x:f>
        <x:v>0.0108795166015625</x:v>
      </x:c>
      <x:c r="AB841" s="67" t="str">
        <x:f>IF(AND(I841=0,L841=0,Q841=0,T841=0,Y841=0),"PASS","FAIL")</x:f>
        <x:v>PASS</x:v>
      </x:c>
    </x:row>
    <x:row r="842" ht="18" customHeight="1">
      <x:c r="A842" s="14" t="n">
        <x:v>945</x:v>
      </x:c>
      <x:c r="B842" s="14" t="n">
        <x:v>837</x:v>
      </x:c>
      <x:c r="C842" s="14" t="n">
        <x:v>938</x:v>
      </x:c>
      <x:c r="D842" s="14" t="n">
        <x:v>2234424</x:v>
      </x:c>
      <x:c r="E842" s="14" t="n">
        <x:v>952</x:v>
      </x:c>
      <x:c r="F842" s="14" t="n">
        <x:v>2598921</x:v>
      </x:c>
      <x:c r="G842" s="14" t="n">
        <x:v>2416672</x:v>
      </x:c>
      <x:c r="H842" s="14" t="n">
        <x:f>INT((F842-D842)*(A842-C842)/(E842-C842))+D842</x:f>
        <x:v>2416672</x:v>
      </x:c>
      <x:c r="I842" s="68" t="n">
        <x:f>H842-G842</x:f>
        <x:v>0</x:v>
      </x:c>
      <x:c r="J842" s="14" t="n">
        <x:v>15733216</x:v>
      </x:c>
      <x:c r="K842" s="14" t="n">
        <x:f>INT(H842*'공식·설정'!$B$10/'공식·설정'!$B$15)</x:f>
        <x:v>15733216</x:v>
      </x:c>
      <x:c r="L842" s="68" t="n">
        <x:f>K842-J842</x:f>
        <x:v>0</x:v>
      </x:c>
      <x:c r="M842" s="65" t="n">
        <x:f>J842/'공식·설정'!$B$7</x:f>
        <x:v>61457.875</x:v>
      </x:c>
      <x:c r="N842" s="65" t="n">
        <x:f>K842/'공식·설정'!$B$7</x:f>
        <x:v>61457.875</x:v>
      </x:c>
      <x:c r="O842" s="14" t="n">
        <x:v>6146</x:v>
      </x:c>
      <x:c r="P842" s="14" t="n">
        <x:f>MIN(32767,MAX(0,INT((K842+INT('공식·설정'!$B$12/2))/'공식·설정'!$B$12)))</x:f>
        <x:v>6146</x:v>
      </x:c>
      <x:c r="Q842" s="68" t="n">
        <x:f>P842-O842</x:f>
        <x:v>0</x:v>
      </x:c>
      <x:c r="R842" s="14" t="n">
        <x:v>15742208</x:v>
      </x:c>
      <x:c r="S842" s="14" t="n">
        <x:f>P842*'공식·설정'!$B$12+'공식·설정'!$B$14</x:f>
        <x:v>15742208</x:v>
      </x:c>
      <x:c r="T842" s="68" t="n">
        <x:f>S842-R842</x:f>
        <x:v>0</x:v>
      </x:c>
      <x:c r="U842" s="65" t="n">
        <x:f>R842/'공식·설정'!$B$7</x:f>
        <x:v>61493</x:v>
      </x:c>
      <x:c r="V842" s="65" t="n">
        <x:f>S842/'공식·설정'!$B$7</x:f>
        <x:v>61493</x:v>
      </x:c>
      <x:c r="W842" s="14" t="n">
        <x:v>706</x:v>
      </x:c>
      <x:c r="X842" s="14" t="n">
        <x:f>INT(ABS(K843-K842)*'공식·설정'!$B$8/K842)</x:f>
        <x:v>706</x:v>
      </x:c>
      <x:c r="Y842" s="68" t="n">
        <x:f>X842-W842</x:f>
        <x:v>0</x:v>
      </x:c>
      <x:c r="Z842" s="66" t="n">
        <x:f>W842/'공식·설정'!$B$8</x:f>
        <x:v>0.010772705078125</x:v>
      </x:c>
      <x:c r="AA842" s="66" t="n">
        <x:f>X842/'공식·설정'!$B$8</x:f>
        <x:v>0.010772705078125</x:v>
      </x:c>
      <x:c r="AB842" s="67" t="str">
        <x:f>IF(AND(I842=0,L842=0,Q842=0,T842=0,Y842=0),"PASS","FAIL")</x:f>
        <x:v>PASS</x:v>
      </x:c>
    </x:row>
    <x:row r="843" ht="18" customHeight="1">
      <x:c r="A843" s="14" t="n">
        <x:v>946</x:v>
      </x:c>
      <x:c r="B843" s="14" t="n">
        <x:v>838</x:v>
      </x:c>
      <x:c r="C843" s="14" t="n">
        <x:v>938</x:v>
      </x:c>
      <x:c r="D843" s="14" t="n">
        <x:v>2234424</x:v>
      </x:c>
      <x:c r="E843" s="14" t="n">
        <x:v>952</x:v>
      </x:c>
      <x:c r="F843" s="14" t="n">
        <x:v>2598921</x:v>
      </x:c>
      <x:c r="G843" s="14" t="n">
        <x:v>2442708</x:v>
      </x:c>
      <x:c r="H843" s="14" t="n">
        <x:f>INT((F843-D843)*(A843-C843)/(E843-C843))+D843</x:f>
        <x:v>2442708</x:v>
      </x:c>
      <x:c r="I843" s="68" t="n">
        <x:f>H843-G843</x:f>
        <x:v>0</x:v>
      </x:c>
      <x:c r="J843" s="14" t="n">
        <x:v>15902717</x:v>
      </x:c>
      <x:c r="K843" s="14" t="n">
        <x:f>INT(H843*'공식·설정'!$B$10/'공식·설정'!$B$15)</x:f>
        <x:v>15902717</x:v>
      </x:c>
      <x:c r="L843" s="68" t="n">
        <x:f>K843-J843</x:f>
        <x:v>0</x:v>
      </x:c>
      <x:c r="M843" s="65" t="n">
        <x:f>J843/'공식·설정'!$B$7</x:f>
        <x:v>62119.98828125</x:v>
      </x:c>
      <x:c r="N843" s="65" t="n">
        <x:f>K843/'공식·설정'!$B$7</x:f>
        <x:v>62119.98828125</x:v>
      </x:c>
      <x:c r="O843" s="14" t="n">
        <x:v>6212</x:v>
      </x:c>
      <x:c r="P843" s="14" t="n">
        <x:f>MIN(32767,MAX(0,INT((K843+INT('공식·설정'!$B$12/2))/'공식·설정'!$B$12)))</x:f>
        <x:v>6212</x:v>
      </x:c>
      <x:c r="Q843" s="68" t="n">
        <x:f>P843-O843</x:f>
        <x:v>0</x:v>
      </x:c>
      <x:c r="R843" s="14" t="n">
        <x:v>15911168</x:v>
      </x:c>
      <x:c r="S843" s="14" t="n">
        <x:f>P843*'공식·설정'!$B$12+'공식·설정'!$B$14</x:f>
        <x:v>15911168</x:v>
      </x:c>
      <x:c r="T843" s="68" t="n">
        <x:f>S843-R843</x:f>
        <x:v>0</x:v>
      </x:c>
      <x:c r="U843" s="65" t="n">
        <x:f>R843/'공식·설정'!$B$7</x:f>
        <x:v>62153</x:v>
      </x:c>
      <x:c r="V843" s="65" t="n">
        <x:f>S843/'공식·설정'!$B$7</x:f>
        <x:v>62153</x:v>
      </x:c>
      <x:c r="W843" s="14" t="n">
        <x:v>698</x:v>
      </x:c>
      <x:c r="X843" s="14" t="n">
        <x:f>INT(ABS(K844-K843)*'공식·설정'!$B$8/K843)</x:f>
        <x:v>698</x:v>
      </x:c>
      <x:c r="Y843" s="68" t="n">
        <x:f>X843-W843</x:f>
        <x:v>0</x:v>
      </x:c>
      <x:c r="Z843" s="66" t="n">
        <x:f>W843/'공식·설정'!$B$8</x:f>
        <x:v>0.010650634765625</x:v>
      </x:c>
      <x:c r="AA843" s="66" t="n">
        <x:f>X843/'공식·설정'!$B$8</x:f>
        <x:v>0.010650634765625</x:v>
      </x:c>
      <x:c r="AB843" s="67" t="str">
        <x:f>IF(AND(I843=0,L843=0,Q843=0,T843=0,Y843=0),"PASS","FAIL")</x:f>
        <x:v>PASS</x:v>
      </x:c>
    </x:row>
    <x:row r="844" ht="18" customHeight="1">
      <x:c r="A844" s="14" t="n">
        <x:v>947</x:v>
      </x:c>
      <x:c r="B844" s="14" t="n">
        <x:v>839</x:v>
      </x:c>
      <x:c r="C844" s="14" t="n">
        <x:v>938</x:v>
      </x:c>
      <x:c r="D844" s="14" t="n">
        <x:v>2234424</x:v>
      </x:c>
      <x:c r="E844" s="14" t="n">
        <x:v>952</x:v>
      </x:c>
      <x:c r="F844" s="14" t="n">
        <x:v>2598921</x:v>
      </x:c>
      <x:c r="G844" s="14" t="n">
        <x:v>2468743</x:v>
      </x:c>
      <x:c r="H844" s="14" t="n">
        <x:f>INT((F844-D844)*(A844-C844)/(E844-C844))+D844</x:f>
        <x:v>2468743</x:v>
      </x:c>
      <x:c r="I844" s="68" t="n">
        <x:f>H844-G844</x:f>
        <x:v>0</x:v>
      </x:c>
      <x:c r="J844" s="14" t="n">
        <x:v>16072213</x:v>
      </x:c>
      <x:c r="K844" s="14" t="n">
        <x:f>INT(H844*'공식·설정'!$B$10/'공식·설정'!$B$15)</x:f>
        <x:v>16072213</x:v>
      </x:c>
      <x:c r="L844" s="68" t="n">
        <x:f>K844-J844</x:f>
        <x:v>0</x:v>
      </x:c>
      <x:c r="M844" s="65" t="n">
        <x:f>J844/'공식·설정'!$B$7</x:f>
        <x:v>62782.08203125</x:v>
      </x:c>
      <x:c r="N844" s="65" t="n">
        <x:f>K844/'공식·설정'!$B$7</x:f>
        <x:v>62782.08203125</x:v>
      </x:c>
      <x:c r="O844" s="14" t="n">
        <x:v>6278</x:v>
      </x:c>
      <x:c r="P844" s="14" t="n">
        <x:f>MIN(32767,MAX(0,INT((K844+INT('공식·설정'!$B$12/2))/'공식·설정'!$B$12)))</x:f>
        <x:v>6278</x:v>
      </x:c>
      <x:c r="Q844" s="68" t="n">
        <x:f>P844-O844</x:f>
        <x:v>0</x:v>
      </x:c>
      <x:c r="R844" s="14" t="n">
        <x:v>16080128</x:v>
      </x:c>
      <x:c r="S844" s="14" t="n">
        <x:f>P844*'공식·설정'!$B$12+'공식·설정'!$B$14</x:f>
        <x:v>16080128</x:v>
      </x:c>
      <x:c r="T844" s="68" t="n">
        <x:f>S844-R844</x:f>
        <x:v>0</x:v>
      </x:c>
      <x:c r="U844" s="65" t="n">
        <x:f>R844/'공식·설정'!$B$7</x:f>
        <x:v>62813</x:v>
      </x:c>
      <x:c r="V844" s="65" t="n">
        <x:f>S844/'공식·설정'!$B$7</x:f>
        <x:v>62813</x:v>
      </x:c>
      <x:c r="W844" s="14" t="n">
        <x:v>691</x:v>
      </x:c>
      <x:c r="X844" s="14" t="n">
        <x:f>INT(ABS(K845-K844)*'공식·설정'!$B$8/K844)</x:f>
        <x:v>691</x:v>
      </x:c>
      <x:c r="Y844" s="68" t="n">
        <x:f>X844-W844</x:f>
        <x:v>0</x:v>
      </x:c>
      <x:c r="Z844" s="66" t="n">
        <x:f>W844/'공식·설정'!$B$8</x:f>
        <x:v>0.0105438232421875</x:v>
      </x:c>
      <x:c r="AA844" s="66" t="n">
        <x:f>X844/'공식·설정'!$B$8</x:f>
        <x:v>0.0105438232421875</x:v>
      </x:c>
      <x:c r="AB844" s="67" t="str">
        <x:f>IF(AND(I844=0,L844=0,Q844=0,T844=0,Y844=0),"PASS","FAIL")</x:f>
        <x:v>PASS</x:v>
      </x:c>
    </x:row>
    <x:row r="845" ht="18" customHeight="1">
      <x:c r="A845" s="14" t="n">
        <x:v>948</x:v>
      </x:c>
      <x:c r="B845" s="14" t="n">
        <x:v>840</x:v>
      </x:c>
      <x:c r="C845" s="14" t="n">
        <x:v>938</x:v>
      </x:c>
      <x:c r="D845" s="14" t="n">
        <x:v>2234424</x:v>
      </x:c>
      <x:c r="E845" s="14" t="n">
        <x:v>952</x:v>
      </x:c>
      <x:c r="F845" s="14" t="n">
        <x:v>2598921</x:v>
      </x:c>
      <x:c r="G845" s="14" t="n">
        <x:v>2494779</x:v>
      </x:c>
      <x:c r="H845" s="14" t="n">
        <x:f>INT((F845-D845)*(A845-C845)/(E845-C845))+D845</x:f>
        <x:v>2494779</x:v>
      </x:c>
      <x:c r="I845" s="68" t="n">
        <x:f>H845-G845</x:f>
        <x:v>0</x:v>
      </x:c>
      <x:c r="J845" s="14" t="n">
        <x:v>16241714</x:v>
      </x:c>
      <x:c r="K845" s="14" t="n">
        <x:f>INT(H845*'공식·설정'!$B$10/'공식·설정'!$B$15)</x:f>
        <x:v>16241714</x:v>
      </x:c>
      <x:c r="L845" s="68" t="n">
        <x:f>K845-J845</x:f>
        <x:v>0</x:v>
      </x:c>
      <x:c r="M845" s="65" t="n">
        <x:f>J845/'공식·설정'!$B$7</x:f>
        <x:v>63444.1953125</x:v>
      </x:c>
      <x:c r="N845" s="65" t="n">
        <x:f>K845/'공식·설정'!$B$7</x:f>
        <x:v>63444.1953125</x:v>
      </x:c>
      <x:c r="O845" s="14" t="n">
        <x:v>6344</x:v>
      </x:c>
      <x:c r="P845" s="14" t="n">
        <x:f>MIN(32767,MAX(0,INT((K845+INT('공식·설정'!$B$12/2))/'공식·설정'!$B$12)))</x:f>
        <x:v>6344</x:v>
      </x:c>
      <x:c r="Q845" s="68" t="n">
        <x:f>P845-O845</x:f>
        <x:v>0</x:v>
      </x:c>
      <x:c r="R845" s="14" t="n">
        <x:v>16249088</x:v>
      </x:c>
      <x:c r="S845" s="14" t="n">
        <x:f>P845*'공식·설정'!$B$12+'공식·설정'!$B$14</x:f>
        <x:v>16249088</x:v>
      </x:c>
      <x:c r="T845" s="68" t="n">
        <x:f>S845-R845</x:f>
        <x:v>0</x:v>
      </x:c>
      <x:c r="U845" s="65" t="n">
        <x:f>R845/'공식·설정'!$B$7</x:f>
        <x:v>63473</x:v>
      </x:c>
      <x:c r="V845" s="65" t="n">
        <x:f>S845/'공식·설정'!$B$7</x:f>
        <x:v>63473</x:v>
      </x:c>
      <x:c r="W845" s="14" t="n">
        <x:v>683</x:v>
      </x:c>
      <x:c r="X845" s="14" t="n">
        <x:f>INT(ABS(K846-K845)*'공식·설정'!$B$8/K845)</x:f>
        <x:v>683</x:v>
      </x:c>
      <x:c r="Y845" s="68" t="n">
        <x:f>X845-W845</x:f>
        <x:v>0</x:v>
      </x:c>
      <x:c r="Z845" s="66" t="n">
        <x:f>W845/'공식·설정'!$B$8</x:f>
        <x:v>0.0104217529296875</x:v>
      </x:c>
      <x:c r="AA845" s="66" t="n">
        <x:f>X845/'공식·설정'!$B$8</x:f>
        <x:v>0.0104217529296875</x:v>
      </x:c>
      <x:c r="AB845" s="67" t="str">
        <x:f>IF(AND(I845=0,L845=0,Q845=0,T845=0,Y845=0),"PASS","FAIL")</x:f>
        <x:v>PASS</x:v>
      </x:c>
    </x:row>
    <x:row r="846" ht="18" customHeight="1">
      <x:c r="A846" s="14" t="n">
        <x:v>949</x:v>
      </x:c>
      <x:c r="B846" s="14" t="n">
        <x:v>841</x:v>
      </x:c>
      <x:c r="C846" s="14" t="n">
        <x:v>938</x:v>
      </x:c>
      <x:c r="D846" s="14" t="n">
        <x:v>2234424</x:v>
      </x:c>
      <x:c r="E846" s="14" t="n">
        <x:v>952</x:v>
      </x:c>
      <x:c r="F846" s="14" t="n">
        <x:v>2598921</x:v>
      </x:c>
      <x:c r="G846" s="14" t="n">
        <x:v>2520814</x:v>
      </x:c>
      <x:c r="H846" s="14" t="n">
        <x:f>INT((F846-D846)*(A846-C846)/(E846-C846))+D846</x:f>
        <x:v>2520814</x:v>
      </x:c>
      <x:c r="I846" s="68" t="n">
        <x:f>H846-G846</x:f>
        <x:v>0</x:v>
      </x:c>
      <x:c r="J846" s="14" t="n">
        <x:v>16411209</x:v>
      </x:c>
      <x:c r="K846" s="14" t="n">
        <x:f>INT(H846*'공식·설정'!$B$10/'공식·설정'!$B$15)</x:f>
        <x:v>16411209</x:v>
      </x:c>
      <x:c r="L846" s="68" t="n">
        <x:f>K846-J846</x:f>
        <x:v>0</x:v>
      </x:c>
      <x:c r="M846" s="65" t="n">
        <x:f>J846/'공식·설정'!$B$7</x:f>
        <x:v>64106.28515625</x:v>
      </x:c>
      <x:c r="N846" s="65" t="n">
        <x:f>K846/'공식·설정'!$B$7</x:f>
        <x:v>64106.28515625</x:v>
      </x:c>
      <x:c r="O846" s="14" t="n">
        <x:v>6411</x:v>
      </x:c>
      <x:c r="P846" s="14" t="n">
        <x:f>MIN(32767,MAX(0,INT((K846+INT('공식·설정'!$B$12/2))/'공식·설정'!$B$12)))</x:f>
        <x:v>6411</x:v>
      </x:c>
      <x:c r="Q846" s="68" t="n">
        <x:f>P846-O846</x:f>
        <x:v>0</x:v>
      </x:c>
      <x:c r="R846" s="14" t="n">
        <x:v>16420608</x:v>
      </x:c>
      <x:c r="S846" s="14" t="n">
        <x:f>P846*'공식·설정'!$B$12+'공식·설정'!$B$14</x:f>
        <x:v>16420608</x:v>
      </x:c>
      <x:c r="T846" s="68" t="n">
        <x:f>S846-R846</x:f>
        <x:v>0</x:v>
      </x:c>
      <x:c r="U846" s="65" t="n">
        <x:f>R846/'공식·설정'!$B$7</x:f>
        <x:v>64143</x:v>
      </x:c>
      <x:c r="V846" s="65" t="n">
        <x:f>S846/'공식·설정'!$B$7</x:f>
        <x:v>64143</x:v>
      </x:c>
      <x:c r="W846" s="14" t="n">
        <x:v>676</x:v>
      </x:c>
      <x:c r="X846" s="14" t="n">
        <x:f>INT(ABS(K847-K846)*'공식·설정'!$B$8/K846)</x:f>
        <x:v>676</x:v>
      </x:c>
      <x:c r="Y846" s="68" t="n">
        <x:f>X846-W846</x:f>
        <x:v>0</x:v>
      </x:c>
      <x:c r="Z846" s="66" t="n">
        <x:f>W846/'공식·설정'!$B$8</x:f>
        <x:v>0.01031494140625</x:v>
      </x:c>
      <x:c r="AA846" s="66" t="n">
        <x:f>X846/'공식·설정'!$B$8</x:f>
        <x:v>0.01031494140625</x:v>
      </x:c>
      <x:c r="AB846" s="67" t="str">
        <x:f>IF(AND(I846=0,L846=0,Q846=0,T846=0,Y846=0),"PASS","FAIL")</x:f>
        <x:v>PASS</x:v>
      </x:c>
    </x:row>
    <x:row r="847" ht="18" customHeight="1">
      <x:c r="A847" s="14" t="n">
        <x:v>950</x:v>
      </x:c>
      <x:c r="B847" s="14" t="n">
        <x:v>842</x:v>
      </x:c>
      <x:c r="C847" s="14" t="n">
        <x:v>938</x:v>
      </x:c>
      <x:c r="D847" s="14" t="n">
        <x:v>2234424</x:v>
      </x:c>
      <x:c r="E847" s="14" t="n">
        <x:v>952</x:v>
      </x:c>
      <x:c r="F847" s="14" t="n">
        <x:v>2598921</x:v>
      </x:c>
      <x:c r="G847" s="14" t="n">
        <x:v>2546850</x:v>
      </x:c>
      <x:c r="H847" s="14" t="n">
        <x:f>INT((F847-D847)*(A847-C847)/(E847-C847))+D847</x:f>
        <x:v>2546850</x:v>
      </x:c>
      <x:c r="I847" s="68" t="n">
        <x:f>H847-G847</x:f>
        <x:v>0</x:v>
      </x:c>
      <x:c r="J847" s="14" t="n">
        <x:v>16580711</x:v>
      </x:c>
      <x:c r="K847" s="14" t="n">
        <x:f>INT(H847*'공식·설정'!$B$10/'공식·설정'!$B$15)</x:f>
        <x:v>16580711</x:v>
      </x:c>
      <x:c r="L847" s="68" t="n">
        <x:f>K847-J847</x:f>
        <x:v>0</x:v>
      </x:c>
      <x:c r="M847" s="65" t="n">
        <x:f>J847/'공식·설정'!$B$7</x:f>
        <x:v>64768.40234375</x:v>
      </x:c>
      <x:c r="N847" s="65" t="n">
        <x:f>K847/'공식·설정'!$B$7</x:f>
        <x:v>64768.40234375</x:v>
      </x:c>
      <x:c r="O847" s="14" t="n">
        <x:v>6477</x:v>
      </x:c>
      <x:c r="P847" s="14" t="n">
        <x:f>MIN(32767,MAX(0,INT((K847+INT('공식·설정'!$B$12/2))/'공식·설정'!$B$12)))</x:f>
        <x:v>6477</x:v>
      </x:c>
      <x:c r="Q847" s="68" t="n">
        <x:f>P847-O847</x:f>
        <x:v>0</x:v>
      </x:c>
      <x:c r="R847" s="14" t="n">
        <x:v>16589568</x:v>
      </x:c>
      <x:c r="S847" s="14" t="n">
        <x:f>P847*'공식·설정'!$B$12+'공식·설정'!$B$14</x:f>
        <x:v>16589568</x:v>
      </x:c>
      <x:c r="T847" s="68" t="n">
        <x:f>S847-R847</x:f>
        <x:v>0</x:v>
      </x:c>
      <x:c r="U847" s="65" t="n">
        <x:f>R847/'공식·설정'!$B$7</x:f>
        <x:v>64803</x:v>
      </x:c>
      <x:c r="V847" s="65" t="n">
        <x:f>S847/'공식·설정'!$B$7</x:f>
        <x:v>64803</x:v>
      </x:c>
      <x:c r="W847" s="14" t="n">
        <x:v>669</x:v>
      </x:c>
      <x:c r="X847" s="14" t="n">
        <x:f>INT(ABS(K848-K847)*'공식·설정'!$B$8/K847)</x:f>
        <x:v>669</x:v>
      </x:c>
      <x:c r="Y847" s="68" t="n">
        <x:f>X847-W847</x:f>
        <x:v>0</x:v>
      </x:c>
      <x:c r="Z847" s="66" t="n">
        <x:f>W847/'공식·설정'!$B$8</x:f>
        <x:v>0.0102081298828125</x:v>
      </x:c>
      <x:c r="AA847" s="66" t="n">
        <x:f>X847/'공식·설정'!$B$8</x:f>
        <x:v>0.0102081298828125</x:v>
      </x:c>
      <x:c r="AB847" s="67" t="str">
        <x:f>IF(AND(I847=0,L847=0,Q847=0,T847=0,Y847=0),"PASS","FAIL")</x:f>
        <x:v>PASS</x:v>
      </x:c>
    </x:row>
    <x:row r="848" ht="18" customHeight="1">
      <x:c r="A848" s="14" t="n">
        <x:v>951</x:v>
      </x:c>
      <x:c r="B848" s="14" t="n">
        <x:v>843</x:v>
      </x:c>
      <x:c r="C848" s="14" t="n">
        <x:v>938</x:v>
      </x:c>
      <x:c r="D848" s="14" t="n">
        <x:v>2234424</x:v>
      </x:c>
      <x:c r="E848" s="14" t="n">
        <x:v>952</x:v>
      </x:c>
      <x:c r="F848" s="14" t="n">
        <x:v>2598921</x:v>
      </x:c>
      <x:c r="G848" s="14" t="n">
        <x:v>2572885</x:v>
      </x:c>
      <x:c r="H848" s="14" t="n">
        <x:f>INT((F848-D848)*(A848-C848)/(E848-C848))+D848</x:f>
        <x:v>2572885</x:v>
      </x:c>
      <x:c r="I848" s="68" t="n">
        <x:f>H848-G848</x:f>
        <x:v>0</x:v>
      </x:c>
      <x:c r="J848" s="14" t="n">
        <x:v>16750206</x:v>
      </x:c>
      <x:c r="K848" s="14" t="n">
        <x:f>INT(H848*'공식·설정'!$B$10/'공식·설정'!$B$15)</x:f>
        <x:v>16750206</x:v>
      </x:c>
      <x:c r="L848" s="68" t="n">
        <x:f>K848-J848</x:f>
        <x:v>0</x:v>
      </x:c>
      <x:c r="M848" s="65" t="n">
        <x:f>J848/'공식·설정'!$B$7</x:f>
        <x:v>65430.4921875</x:v>
      </x:c>
      <x:c r="N848" s="65" t="n">
        <x:f>K848/'공식·설정'!$B$7</x:f>
        <x:v>65430.4921875</x:v>
      </x:c>
      <x:c r="O848" s="14" t="n">
        <x:v>6543</x:v>
      </x:c>
      <x:c r="P848" s="14" t="n">
        <x:f>MIN(32767,MAX(0,INT((K848+INT('공식·설정'!$B$12/2))/'공식·설정'!$B$12)))</x:f>
        <x:v>6543</x:v>
      </x:c>
      <x:c r="Q848" s="68" t="n">
        <x:f>P848-O848</x:f>
        <x:v>0</x:v>
      </x:c>
      <x:c r="R848" s="14" t="n">
        <x:v>16758528</x:v>
      </x:c>
      <x:c r="S848" s="14" t="n">
        <x:f>P848*'공식·설정'!$B$12+'공식·설정'!$B$14</x:f>
        <x:v>16758528</x:v>
      </x:c>
      <x:c r="T848" s="68" t="n">
        <x:f>S848-R848</x:f>
        <x:v>0</x:v>
      </x:c>
      <x:c r="U848" s="65" t="n">
        <x:f>R848/'공식·설정'!$B$7</x:f>
        <x:v>65463</x:v>
      </x:c>
      <x:c r="V848" s="65" t="n">
        <x:f>S848/'공식·설정'!$B$7</x:f>
        <x:v>65463</x:v>
      </x:c>
      <x:c r="W848" s="14" t="n">
        <x:v>663</x:v>
      </x:c>
      <x:c r="X848" s="14" t="n">
        <x:f>INT(ABS(K849-K848)*'공식·설정'!$B$8/K848)</x:f>
        <x:v>663</x:v>
      </x:c>
      <x:c r="Y848" s="68" t="n">
        <x:f>X848-W848</x:f>
        <x:v>0</x:v>
      </x:c>
      <x:c r="Z848" s="66" t="n">
        <x:f>W848/'공식·설정'!$B$8</x:f>
        <x:v>0.0101165771484375</x:v>
      </x:c>
      <x:c r="AA848" s="66" t="n">
        <x:f>X848/'공식·설정'!$B$8</x:f>
        <x:v>0.0101165771484375</x:v>
      </x:c>
      <x:c r="AB848" s="67" t="str">
        <x:f>IF(AND(I848=0,L848=0,Q848=0,T848=0,Y848=0),"PASS","FAIL")</x:f>
        <x:v>PASS</x:v>
      </x:c>
    </x:row>
    <x:row r="849" ht="18" customHeight="1">
      <x:c r="A849" s="14" t="n">
        <x:v>952</x:v>
      </x:c>
      <x:c r="B849" s="14" t="n">
        <x:v>844</x:v>
      </x:c>
      <x:c r="C849" s="14" t="n">
        <x:v>952</x:v>
      </x:c>
      <x:c r="D849" s="14" t="n">
        <x:v>2598921</x:v>
      </x:c>
      <x:c r="E849" s="14" t="n">
        <x:v>966</x:v>
      </x:c>
      <x:c r="F849" s="14" t="n">
        <x:v>3022875</x:v>
      </x:c>
      <x:c r="G849" s="14" t="n">
        <x:v>2598921</x:v>
      </x:c>
      <x:c r="H849" s="14" t="n">
        <x:f>INT((F849-D849)*(A849-C849)/(E849-C849))+D849</x:f>
        <x:v>2598921</x:v>
      </x:c>
      <x:c r="I849" s="68" t="n">
        <x:f>H849-G849</x:f>
        <x:v>0</x:v>
      </x:c>
      <x:c r="J849" s="14" t="n">
        <x:v>16919708</x:v>
      </x:c>
      <x:c r="K849" s="14" t="n">
        <x:f>INT(H849*'공식·설정'!$B$10/'공식·설정'!$B$15)</x:f>
        <x:v>16919708</x:v>
      </x:c>
      <x:c r="L849" s="68" t="n">
        <x:f>K849-J849</x:f>
        <x:v>0</x:v>
      </x:c>
      <x:c r="M849" s="65" t="n">
        <x:f>J849/'공식·설정'!$B$7</x:f>
        <x:v>66092.609375</x:v>
      </x:c>
      <x:c r="N849" s="65" t="n">
        <x:f>K849/'공식·설정'!$B$7</x:f>
        <x:v>66092.609375</x:v>
      </x:c>
      <x:c r="O849" s="14" t="n">
        <x:v>6609</x:v>
      </x:c>
      <x:c r="P849" s="14" t="n">
        <x:f>MIN(32767,MAX(0,INT((K849+INT('공식·설정'!$B$12/2))/'공식·설정'!$B$12)))</x:f>
        <x:v>6609</x:v>
      </x:c>
      <x:c r="Q849" s="68" t="n">
        <x:f>P849-O849</x:f>
        <x:v>0</x:v>
      </x:c>
      <x:c r="R849" s="14" t="n">
        <x:v>16927488</x:v>
      </x:c>
      <x:c r="S849" s="14" t="n">
        <x:f>P849*'공식·설정'!$B$12+'공식·설정'!$B$14</x:f>
        <x:v>16927488</x:v>
      </x:c>
      <x:c r="T849" s="68" t="n">
        <x:f>S849-R849</x:f>
        <x:v>0</x:v>
      </x:c>
      <x:c r="U849" s="65" t="n">
        <x:f>R849/'공식·설정'!$B$7</x:f>
        <x:v>66123</x:v>
      </x:c>
      <x:c r="V849" s="65" t="n">
        <x:f>S849/'공식·설정'!$B$7</x:f>
        <x:v>66123</x:v>
      </x:c>
      <x:c r="W849" s="14" t="n">
        <x:v>763</x:v>
      </x:c>
      <x:c r="X849" s="14" t="n">
        <x:f>INT(ABS(K850-K849)*'공식·설정'!$B$8/K849)</x:f>
        <x:v>763</x:v>
      </x:c>
      <x:c r="Y849" s="68" t="n">
        <x:f>X849-W849</x:f>
        <x:v>0</x:v>
      </x:c>
      <x:c r="Z849" s="66" t="n">
        <x:f>W849/'공식·설정'!$B$8</x:f>
        <x:v>0.0116424560546875</x:v>
      </x:c>
      <x:c r="AA849" s="66" t="n">
        <x:f>X849/'공식·설정'!$B$8</x:f>
        <x:v>0.0116424560546875</x:v>
      </x:c>
      <x:c r="AB849" s="67" t="str">
        <x:f>IF(AND(I849=0,L849=0,Q849=0,T849=0,Y849=0),"PASS","FAIL")</x:f>
        <x:v>PASS</x:v>
      </x:c>
    </x:row>
    <x:row r="850" ht="18" customHeight="1">
      <x:c r="A850" s="14" t="n">
        <x:v>953</x:v>
      </x:c>
      <x:c r="B850" s="14" t="n">
        <x:v>845</x:v>
      </x:c>
      <x:c r="C850" s="14" t="n">
        <x:v>952</x:v>
      </x:c>
      <x:c r="D850" s="14" t="n">
        <x:v>2598921</x:v>
      </x:c>
      <x:c r="E850" s="14" t="n">
        <x:v>966</x:v>
      </x:c>
      <x:c r="F850" s="14" t="n">
        <x:v>3022875</x:v>
      </x:c>
      <x:c r="G850" s="14" t="n">
        <x:v>2629203</x:v>
      </x:c>
      <x:c r="H850" s="14" t="n">
        <x:f>INT((F850-D850)*(A850-C850)/(E850-C850))+D850</x:f>
        <x:v>2629203</x:v>
      </x:c>
      <x:c r="I850" s="68" t="n">
        <x:f>H850-G850</x:f>
        <x:v>0</x:v>
      </x:c>
      <x:c r="J850" s="14" t="n">
        <x:v>17116852</x:v>
      </x:c>
      <x:c r="K850" s="14" t="n">
        <x:f>INT(H850*'공식·설정'!$B$10/'공식·설정'!$B$15)</x:f>
        <x:v>17116852</x:v>
      </x:c>
      <x:c r="L850" s="68" t="n">
        <x:f>K850-J850</x:f>
        <x:v>0</x:v>
      </x:c>
      <x:c r="M850" s="65" t="n">
        <x:f>J850/'공식·설정'!$B$7</x:f>
        <x:v>66862.703125</x:v>
      </x:c>
      <x:c r="N850" s="65" t="n">
        <x:f>K850/'공식·설정'!$B$7</x:f>
        <x:v>66862.703125</x:v>
      </x:c>
      <x:c r="O850" s="14" t="n">
        <x:v>6686</x:v>
      </x:c>
      <x:c r="P850" s="14" t="n">
        <x:f>MIN(32767,MAX(0,INT((K850+INT('공식·설정'!$B$12/2))/'공식·설정'!$B$12)))</x:f>
        <x:v>6686</x:v>
      </x:c>
      <x:c r="Q850" s="68" t="n">
        <x:f>P850-O850</x:f>
        <x:v>0</x:v>
      </x:c>
      <x:c r="R850" s="14" t="n">
        <x:v>17124608</x:v>
      </x:c>
      <x:c r="S850" s="14" t="n">
        <x:f>P850*'공식·설정'!$B$12+'공식·설정'!$B$14</x:f>
        <x:v>17124608</x:v>
      </x:c>
      <x:c r="T850" s="68" t="n">
        <x:f>S850-R850</x:f>
        <x:v>0</x:v>
      </x:c>
      <x:c r="U850" s="65" t="n">
        <x:f>R850/'공식·설정'!$B$7</x:f>
        <x:v>66893</x:v>
      </x:c>
      <x:c r="V850" s="65" t="n">
        <x:f>S850/'공식·설정'!$B$7</x:f>
        <x:v>66893</x:v>
      </x:c>
      <x:c r="W850" s="14" t="n">
        <x:v>754</x:v>
      </x:c>
      <x:c r="X850" s="14" t="n">
        <x:f>INT(ABS(K851-K850)*'공식·설정'!$B$8/K850)</x:f>
        <x:v>754</x:v>
      </x:c>
      <x:c r="Y850" s="68" t="n">
        <x:f>X850-W850</x:f>
        <x:v>0</x:v>
      </x:c>
      <x:c r="Z850" s="66" t="n">
        <x:f>W850/'공식·설정'!$B$8</x:f>
        <x:v>0.011505126953125</x:v>
      </x:c>
      <x:c r="AA850" s="66" t="n">
        <x:f>X850/'공식·설정'!$B$8</x:f>
        <x:v>0.011505126953125</x:v>
      </x:c>
      <x:c r="AB850" s="67" t="str">
        <x:f>IF(AND(I850=0,L850=0,Q850=0,T850=0,Y850=0),"PASS","FAIL")</x:f>
        <x:v>PASS</x:v>
      </x:c>
    </x:row>
    <x:row r="851" ht="18" customHeight="1">
      <x:c r="A851" s="14" t="n">
        <x:v>954</x:v>
      </x:c>
      <x:c r="B851" s="14" t="n">
        <x:v>846</x:v>
      </x:c>
      <x:c r="C851" s="14" t="n">
        <x:v>952</x:v>
      </x:c>
      <x:c r="D851" s="14" t="n">
        <x:v>2598921</x:v>
      </x:c>
      <x:c r="E851" s="14" t="n">
        <x:v>966</x:v>
      </x:c>
      <x:c r="F851" s="14" t="n">
        <x:v>3022875</x:v>
      </x:c>
      <x:c r="G851" s="14" t="n">
        <x:v>2659485</x:v>
      </x:c>
      <x:c r="H851" s="14" t="n">
        <x:f>INT((F851-D851)*(A851-C851)/(E851-C851))+D851</x:f>
        <x:v>2659485</x:v>
      </x:c>
      <x:c r="I851" s="68" t="n">
        <x:f>H851-G851</x:f>
        <x:v>0</x:v>
      </x:c>
      <x:c r="J851" s="14" t="n">
        <x:v>17313997</x:v>
      </x:c>
      <x:c r="K851" s="14" t="n">
        <x:f>INT(H851*'공식·설정'!$B$10/'공식·설정'!$B$15)</x:f>
        <x:v>17313997</x:v>
      </x:c>
      <x:c r="L851" s="68" t="n">
        <x:f>K851-J851</x:f>
        <x:v>0</x:v>
      </x:c>
      <x:c r="M851" s="65" t="n">
        <x:f>J851/'공식·설정'!$B$7</x:f>
        <x:v>67632.80078125</x:v>
      </x:c>
      <x:c r="N851" s="65" t="n">
        <x:f>K851/'공식·설정'!$B$7</x:f>
        <x:v>67632.80078125</x:v>
      </x:c>
      <x:c r="O851" s="14" t="n">
        <x:v>6763</x:v>
      </x:c>
      <x:c r="P851" s="14" t="n">
        <x:f>MIN(32767,MAX(0,INT((K851+INT('공식·설정'!$B$12/2))/'공식·설정'!$B$12)))</x:f>
        <x:v>6763</x:v>
      </x:c>
      <x:c r="Q851" s="68" t="n">
        <x:f>P851-O851</x:f>
        <x:v>0</x:v>
      </x:c>
      <x:c r="R851" s="14" t="n">
        <x:v>17321728</x:v>
      </x:c>
      <x:c r="S851" s="14" t="n">
        <x:f>P851*'공식·설정'!$B$12+'공식·설정'!$B$14</x:f>
        <x:v>17321728</x:v>
      </x:c>
      <x:c r="T851" s="68" t="n">
        <x:f>S851-R851</x:f>
        <x:v>0</x:v>
      </x:c>
      <x:c r="U851" s="65" t="n">
        <x:f>R851/'공식·설정'!$B$7</x:f>
        <x:v>67663</x:v>
      </x:c>
      <x:c r="V851" s="65" t="n">
        <x:f>S851/'공식·설정'!$B$7</x:f>
        <x:v>67663</x:v>
      </x:c>
      <x:c r="W851" s="14" t="n">
        <x:v>746</x:v>
      </x:c>
      <x:c r="X851" s="14" t="n">
        <x:f>INT(ABS(K852-K851)*'공식·설정'!$B$8/K851)</x:f>
        <x:v>746</x:v>
      </x:c>
      <x:c r="Y851" s="68" t="n">
        <x:f>X851-W851</x:f>
        <x:v>0</x:v>
      </x:c>
      <x:c r="Z851" s="66" t="n">
        <x:f>W851/'공식·설정'!$B$8</x:f>
        <x:v>0.011383056640625</x:v>
      </x:c>
      <x:c r="AA851" s="66" t="n">
        <x:f>X851/'공식·설정'!$B$8</x:f>
        <x:v>0.011383056640625</x:v>
      </x:c>
      <x:c r="AB851" s="67" t="str">
        <x:f>IF(AND(I851=0,L851=0,Q851=0,T851=0,Y851=0),"PASS","FAIL")</x:f>
        <x:v>PASS</x:v>
      </x:c>
    </x:row>
    <x:row r="852" ht="18" customHeight="1">
      <x:c r="A852" s="14" t="n">
        <x:v>955</x:v>
      </x:c>
      <x:c r="B852" s="14" t="n">
        <x:v>847</x:v>
      </x:c>
      <x:c r="C852" s="14" t="n">
        <x:v>952</x:v>
      </x:c>
      <x:c r="D852" s="14" t="n">
        <x:v>2598921</x:v>
      </x:c>
      <x:c r="E852" s="14" t="n">
        <x:v>966</x:v>
      </x:c>
      <x:c r="F852" s="14" t="n">
        <x:v>3022875</x:v>
      </x:c>
      <x:c r="G852" s="14" t="n">
        <x:v>2689768</x:v>
      </x:c>
      <x:c r="H852" s="14" t="n">
        <x:f>INT((F852-D852)*(A852-C852)/(E852-C852))+D852</x:f>
        <x:v>2689768</x:v>
      </x:c>
      <x:c r="I852" s="68" t="n">
        <x:f>H852-G852</x:f>
        <x:v>0</x:v>
      </x:c>
      <x:c r="J852" s="14" t="n">
        <x:v>17511148</x:v>
      </x:c>
      <x:c r="K852" s="14" t="n">
        <x:f>INT(H852*'공식·설정'!$B$10/'공식·설정'!$B$15)</x:f>
        <x:v>17511148</x:v>
      </x:c>
      <x:c r="L852" s="68" t="n">
        <x:f>K852-J852</x:f>
        <x:v>0</x:v>
      </x:c>
      <x:c r="M852" s="65" t="n">
        <x:f>J852/'공식·설정'!$B$7</x:f>
        <x:v>68402.921875</x:v>
      </x:c>
      <x:c r="N852" s="65" t="n">
        <x:f>K852/'공식·설정'!$B$7</x:f>
        <x:v>68402.921875</x:v>
      </x:c>
      <x:c r="O852" s="14" t="n">
        <x:v>6840</x:v>
      </x:c>
      <x:c r="P852" s="14" t="n">
        <x:f>MIN(32767,MAX(0,INT((K852+INT('공식·설정'!$B$12/2))/'공식·설정'!$B$12)))</x:f>
        <x:v>6840</x:v>
      </x:c>
      <x:c r="Q852" s="68" t="n">
        <x:f>P852-O852</x:f>
        <x:v>0</x:v>
      </x:c>
      <x:c r="R852" s="14" t="n">
        <x:v>17518848</x:v>
      </x:c>
      <x:c r="S852" s="14" t="n">
        <x:f>P852*'공식·설정'!$B$12+'공식·설정'!$B$14</x:f>
        <x:v>17518848</x:v>
      </x:c>
      <x:c r="T852" s="68" t="n">
        <x:f>S852-R852</x:f>
        <x:v>0</x:v>
      </x:c>
      <x:c r="U852" s="65" t="n">
        <x:f>R852/'공식·설정'!$B$7</x:f>
        <x:v>68433</x:v>
      </x:c>
      <x:c r="V852" s="65" t="n">
        <x:f>S852/'공식·설정'!$B$7</x:f>
        <x:v>68433</x:v>
      </x:c>
      <x:c r="W852" s="14" t="n">
        <x:v>737</x:v>
      </x:c>
      <x:c r="X852" s="14" t="n">
        <x:f>INT(ABS(K853-K852)*'공식·설정'!$B$8/K852)</x:f>
        <x:v>737</x:v>
      </x:c>
      <x:c r="Y852" s="68" t="n">
        <x:f>X852-W852</x:f>
        <x:v>0</x:v>
      </x:c>
      <x:c r="Z852" s="66" t="n">
        <x:f>W852/'공식·설정'!$B$8</x:f>
        <x:v>0.0112457275390625</x:v>
      </x:c>
      <x:c r="AA852" s="66" t="n">
        <x:f>X852/'공식·설정'!$B$8</x:f>
        <x:v>0.0112457275390625</x:v>
      </x:c>
      <x:c r="AB852" s="67" t="str">
        <x:f>IF(AND(I852=0,L852=0,Q852=0,T852=0,Y852=0),"PASS","FAIL")</x:f>
        <x:v>PASS</x:v>
      </x:c>
    </x:row>
    <x:row r="853" ht="18" customHeight="1">
      <x:c r="A853" s="14" t="n">
        <x:v>956</x:v>
      </x:c>
      <x:c r="B853" s="14" t="n">
        <x:v>848</x:v>
      </x:c>
      <x:c r="C853" s="14" t="n">
        <x:v>952</x:v>
      </x:c>
      <x:c r="D853" s="14" t="n">
        <x:v>2598921</x:v>
      </x:c>
      <x:c r="E853" s="14" t="n">
        <x:v>966</x:v>
      </x:c>
      <x:c r="F853" s="14" t="n">
        <x:v>3022875</x:v>
      </x:c>
      <x:c r="G853" s="14" t="n">
        <x:v>2720050</x:v>
      </x:c>
      <x:c r="H853" s="14" t="n">
        <x:f>INT((F853-D853)*(A853-C853)/(E853-C853))+D853</x:f>
        <x:v>2720050</x:v>
      </x:c>
      <x:c r="I853" s="68" t="n">
        <x:f>H853-G853</x:f>
        <x:v>0</x:v>
      </x:c>
      <x:c r="J853" s="14" t="n">
        <x:v>17708292</x:v>
      </x:c>
      <x:c r="K853" s="14" t="n">
        <x:f>INT(H853*'공식·설정'!$B$10/'공식·설정'!$B$15)</x:f>
        <x:v>17708292</x:v>
      </x:c>
      <x:c r="L853" s="68" t="n">
        <x:f>K853-J853</x:f>
        <x:v>0</x:v>
      </x:c>
      <x:c r="M853" s="65" t="n">
        <x:f>J853/'공식·설정'!$B$7</x:f>
        <x:v>69173.015625</x:v>
      </x:c>
      <x:c r="N853" s="65" t="n">
        <x:f>K853/'공식·설정'!$B$7</x:f>
        <x:v>69173.015625</x:v>
      </x:c>
      <x:c r="O853" s="14" t="n">
        <x:v>6917</x:v>
      </x:c>
      <x:c r="P853" s="14" t="n">
        <x:f>MIN(32767,MAX(0,INT((K853+INT('공식·설정'!$B$12/2))/'공식·설정'!$B$12)))</x:f>
        <x:v>6917</x:v>
      </x:c>
      <x:c r="Q853" s="68" t="n">
        <x:f>P853-O853</x:f>
        <x:v>0</x:v>
      </x:c>
      <x:c r="R853" s="14" t="n">
        <x:v>17715968</x:v>
      </x:c>
      <x:c r="S853" s="14" t="n">
        <x:f>P853*'공식·설정'!$B$12+'공식·설정'!$B$14</x:f>
        <x:v>17715968</x:v>
      </x:c>
      <x:c r="T853" s="68" t="n">
        <x:f>S853-R853</x:f>
        <x:v>0</x:v>
      </x:c>
      <x:c r="U853" s="65" t="n">
        <x:f>R853/'공식·설정'!$B$7</x:f>
        <x:v>69203</x:v>
      </x:c>
      <x:c r="V853" s="65" t="n">
        <x:f>S853/'공식·설정'!$B$7</x:f>
        <x:v>69203</x:v>
      </x:c>
      <x:c r="W853" s="14" t="n">
        <x:v>729</x:v>
      </x:c>
      <x:c r="X853" s="14" t="n">
        <x:f>INT(ABS(K854-K853)*'공식·설정'!$B$8/K853)</x:f>
        <x:v>729</x:v>
      </x:c>
      <x:c r="Y853" s="68" t="n">
        <x:f>X853-W853</x:f>
        <x:v>0</x:v>
      </x:c>
      <x:c r="Z853" s="66" t="n">
        <x:f>W853/'공식·설정'!$B$8</x:f>
        <x:v>0.0111236572265625</x:v>
      </x:c>
      <x:c r="AA853" s="66" t="n">
        <x:f>X853/'공식·설정'!$B$8</x:f>
        <x:v>0.0111236572265625</x:v>
      </x:c>
      <x:c r="AB853" s="67" t="str">
        <x:f>IF(AND(I853=0,L853=0,Q853=0,T853=0,Y853=0),"PASS","FAIL")</x:f>
        <x:v>PASS</x:v>
      </x:c>
    </x:row>
    <x:row r="854" ht="18" customHeight="1">
      <x:c r="A854" s="14" t="n">
        <x:v>957</x:v>
      </x:c>
      <x:c r="B854" s="14" t="n">
        <x:v>849</x:v>
      </x:c>
      <x:c r="C854" s="14" t="n">
        <x:v>952</x:v>
      </x:c>
      <x:c r="D854" s="14" t="n">
        <x:v>2598921</x:v>
      </x:c>
      <x:c r="E854" s="14" t="n">
        <x:v>966</x:v>
      </x:c>
      <x:c r="F854" s="14" t="n">
        <x:v>3022875</x:v>
      </x:c>
      <x:c r="G854" s="14" t="n">
        <x:v>2750333</x:v>
      </x:c>
      <x:c r="H854" s="14" t="n">
        <x:f>INT((F854-D854)*(A854-C854)/(E854-C854))+D854</x:f>
        <x:v>2750333</x:v>
      </x:c>
      <x:c r="I854" s="68" t="n">
        <x:f>H854-G854</x:f>
        <x:v>0</x:v>
      </x:c>
      <x:c r="J854" s="14" t="n">
        <x:v>17905443</x:v>
      </x:c>
      <x:c r="K854" s="14" t="n">
        <x:f>INT(H854*'공식·설정'!$B$10/'공식·설정'!$B$15)</x:f>
        <x:v>17905443</x:v>
      </x:c>
      <x:c r="L854" s="68" t="n">
        <x:f>K854-J854</x:f>
        <x:v>0</x:v>
      </x:c>
      <x:c r="M854" s="65" t="n">
        <x:f>J854/'공식·설정'!$B$7</x:f>
        <x:v>69943.13671875</x:v>
      </x:c>
      <x:c r="N854" s="65" t="n">
        <x:f>K854/'공식·설정'!$B$7</x:f>
        <x:v>69943.13671875</x:v>
      </x:c>
      <x:c r="O854" s="14" t="n">
        <x:v>6994</x:v>
      </x:c>
      <x:c r="P854" s="14" t="n">
        <x:f>MIN(32767,MAX(0,INT((K854+INT('공식·설정'!$B$12/2))/'공식·설정'!$B$12)))</x:f>
        <x:v>6994</x:v>
      </x:c>
      <x:c r="Q854" s="68" t="n">
        <x:f>P854-O854</x:f>
        <x:v>0</x:v>
      </x:c>
      <x:c r="R854" s="14" t="n">
        <x:v>17913088</x:v>
      </x:c>
      <x:c r="S854" s="14" t="n">
        <x:f>P854*'공식·설정'!$B$12+'공식·설정'!$B$14</x:f>
        <x:v>17913088</x:v>
      </x:c>
      <x:c r="T854" s="68" t="n">
        <x:f>S854-R854</x:f>
        <x:v>0</x:v>
      </x:c>
      <x:c r="U854" s="65" t="n">
        <x:f>R854/'공식·설정'!$B$7</x:f>
        <x:v>69973</x:v>
      </x:c>
      <x:c r="V854" s="65" t="n">
        <x:f>S854/'공식·설정'!$B$7</x:f>
        <x:v>69973</x:v>
      </x:c>
      <x:c r="W854" s="14" t="n">
        <x:v>721</x:v>
      </x:c>
      <x:c r="X854" s="14" t="n">
        <x:f>INT(ABS(K855-K854)*'공식·설정'!$B$8/K854)</x:f>
        <x:v>721</x:v>
      </x:c>
      <x:c r="Y854" s="68" t="n">
        <x:f>X854-W854</x:f>
        <x:v>0</x:v>
      </x:c>
      <x:c r="Z854" s="66" t="n">
        <x:f>W854/'공식·설정'!$B$8</x:f>
        <x:v>0.0110015869140625</x:v>
      </x:c>
      <x:c r="AA854" s="66" t="n">
        <x:f>X854/'공식·설정'!$B$8</x:f>
        <x:v>0.0110015869140625</x:v>
      </x:c>
      <x:c r="AB854" s="67" t="str">
        <x:f>IF(AND(I854=0,L854=0,Q854=0,T854=0,Y854=0),"PASS","FAIL")</x:f>
        <x:v>PASS</x:v>
      </x:c>
    </x:row>
    <x:row r="855" ht="18" customHeight="1">
      <x:c r="A855" s="14" t="n">
        <x:v>958</x:v>
      </x:c>
      <x:c r="B855" s="14" t="n">
        <x:v>850</x:v>
      </x:c>
      <x:c r="C855" s="14" t="n">
        <x:v>952</x:v>
      </x:c>
      <x:c r="D855" s="14" t="n">
        <x:v>2598921</x:v>
      </x:c>
      <x:c r="E855" s="14" t="n">
        <x:v>966</x:v>
      </x:c>
      <x:c r="F855" s="14" t="n">
        <x:v>3022875</x:v>
      </x:c>
      <x:c r="G855" s="14" t="n">
        <x:v>2780615</x:v>
      </x:c>
      <x:c r="H855" s="14" t="n">
        <x:f>INT((F855-D855)*(A855-C855)/(E855-C855))+D855</x:f>
        <x:v>2780615</x:v>
      </x:c>
      <x:c r="I855" s="68" t="n">
        <x:f>H855-G855</x:f>
        <x:v>0</x:v>
      </x:c>
      <x:c r="J855" s="14" t="n">
        <x:v>18102587</x:v>
      </x:c>
      <x:c r="K855" s="14" t="n">
        <x:f>INT(H855*'공식·설정'!$B$10/'공식·설정'!$B$15)</x:f>
        <x:v>18102587</x:v>
      </x:c>
      <x:c r="L855" s="68" t="n">
        <x:f>K855-J855</x:f>
        <x:v>0</x:v>
      </x:c>
      <x:c r="M855" s="65" t="n">
        <x:f>J855/'공식·설정'!$B$7</x:f>
        <x:v>70713.23046875</x:v>
      </x:c>
      <x:c r="N855" s="65" t="n">
        <x:f>K855/'공식·설정'!$B$7</x:f>
        <x:v>70713.23046875</x:v>
      </x:c>
      <x:c r="O855" s="14" t="n">
        <x:v>7071</x:v>
      </x:c>
      <x:c r="P855" s="14" t="n">
        <x:f>MIN(32767,MAX(0,INT((K855+INT('공식·설정'!$B$12/2))/'공식·설정'!$B$12)))</x:f>
        <x:v>7071</x:v>
      </x:c>
      <x:c r="Q855" s="68" t="n">
        <x:f>P855-O855</x:f>
        <x:v>0</x:v>
      </x:c>
      <x:c r="R855" s="14" t="n">
        <x:v>18110208</x:v>
      </x:c>
      <x:c r="S855" s="14" t="n">
        <x:f>P855*'공식·설정'!$B$12+'공식·설정'!$B$14</x:f>
        <x:v>18110208</x:v>
      </x:c>
      <x:c r="T855" s="68" t="n">
        <x:f>S855-R855</x:f>
        <x:v>0</x:v>
      </x:c>
      <x:c r="U855" s="65" t="n">
        <x:f>R855/'공식·설정'!$B$7</x:f>
        <x:v>70743</x:v>
      </x:c>
      <x:c r="V855" s="65" t="n">
        <x:f>S855/'공식·설정'!$B$7</x:f>
        <x:v>70743</x:v>
      </x:c>
      <x:c r="W855" s="14" t="n">
        <x:v>713</x:v>
      </x:c>
      <x:c r="X855" s="14" t="n">
        <x:f>INT(ABS(K856-K855)*'공식·설정'!$B$8/K855)</x:f>
        <x:v>713</x:v>
      </x:c>
      <x:c r="Y855" s="68" t="n">
        <x:f>X855-W855</x:f>
        <x:v>0</x:v>
      </x:c>
      <x:c r="Z855" s="66" t="n">
        <x:f>W855/'공식·설정'!$B$8</x:f>
        <x:v>0.0108795166015625</x:v>
      </x:c>
      <x:c r="AA855" s="66" t="n">
        <x:f>X855/'공식·설정'!$B$8</x:f>
        <x:v>0.0108795166015625</x:v>
      </x:c>
      <x:c r="AB855" s="67" t="str">
        <x:f>IF(AND(I855=0,L855=0,Q855=0,T855=0,Y855=0),"PASS","FAIL")</x:f>
        <x:v>PASS</x:v>
      </x:c>
    </x:row>
    <x:row r="856" ht="18" customHeight="1">
      <x:c r="A856" s="14" t="n">
        <x:v>959</x:v>
      </x:c>
      <x:c r="B856" s="14" t="n">
        <x:v>851</x:v>
      </x:c>
      <x:c r="C856" s="14" t="n">
        <x:v>952</x:v>
      </x:c>
      <x:c r="D856" s="14" t="n">
        <x:v>2598921</x:v>
      </x:c>
      <x:c r="E856" s="14" t="n">
        <x:v>966</x:v>
      </x:c>
      <x:c r="F856" s="14" t="n">
        <x:v>3022875</x:v>
      </x:c>
      <x:c r="G856" s="14" t="n">
        <x:v>2810898</x:v>
      </x:c>
      <x:c r="H856" s="14" t="n">
        <x:f>INT((F856-D856)*(A856-C856)/(E856-C856))+D856</x:f>
        <x:v>2810898</x:v>
      </x:c>
      <x:c r="I856" s="68" t="n">
        <x:f>H856-G856</x:f>
        <x:v>0</x:v>
      </x:c>
      <x:c r="J856" s="14" t="n">
        <x:v>18299738</x:v>
      </x:c>
      <x:c r="K856" s="14" t="n">
        <x:f>INT(H856*'공식·설정'!$B$10/'공식·설정'!$B$15)</x:f>
        <x:v>18299738</x:v>
      </x:c>
      <x:c r="L856" s="68" t="n">
        <x:f>K856-J856</x:f>
        <x:v>0</x:v>
      </x:c>
      <x:c r="M856" s="65" t="n">
        <x:f>J856/'공식·설정'!$B$7</x:f>
        <x:v>71483.3515625</x:v>
      </x:c>
      <x:c r="N856" s="65" t="n">
        <x:f>K856/'공식·설정'!$B$7</x:f>
        <x:v>71483.3515625</x:v>
      </x:c>
      <x:c r="O856" s="14" t="n">
        <x:v>7148</x:v>
      </x:c>
      <x:c r="P856" s="14" t="n">
        <x:f>MIN(32767,MAX(0,INT((K856+INT('공식·설정'!$B$12/2))/'공식·설정'!$B$12)))</x:f>
        <x:v>7148</x:v>
      </x:c>
      <x:c r="Q856" s="68" t="n">
        <x:f>P856-O856</x:f>
        <x:v>0</x:v>
      </x:c>
      <x:c r="R856" s="14" t="n">
        <x:v>18307328</x:v>
      </x:c>
      <x:c r="S856" s="14" t="n">
        <x:f>P856*'공식·설정'!$B$12+'공식·설정'!$B$14</x:f>
        <x:v>18307328</x:v>
      </x:c>
      <x:c r="T856" s="68" t="n">
        <x:f>S856-R856</x:f>
        <x:v>0</x:v>
      </x:c>
      <x:c r="U856" s="65" t="n">
        <x:f>R856/'공식·설정'!$B$7</x:f>
        <x:v>71513</x:v>
      </x:c>
      <x:c r="V856" s="65" t="n">
        <x:f>S856/'공식·설정'!$B$7</x:f>
        <x:v>71513</x:v>
      </x:c>
      <x:c r="W856" s="14" t="n">
        <x:v>706</x:v>
      </x:c>
      <x:c r="X856" s="14" t="n">
        <x:f>INT(ABS(K857-K856)*'공식·설정'!$B$8/K856)</x:f>
        <x:v>706</x:v>
      </x:c>
      <x:c r="Y856" s="68" t="n">
        <x:f>X856-W856</x:f>
        <x:v>0</x:v>
      </x:c>
      <x:c r="Z856" s="66" t="n">
        <x:f>W856/'공식·설정'!$B$8</x:f>
        <x:v>0.010772705078125</x:v>
      </x:c>
      <x:c r="AA856" s="66" t="n">
        <x:f>X856/'공식·설정'!$B$8</x:f>
        <x:v>0.010772705078125</x:v>
      </x:c>
      <x:c r="AB856" s="67" t="str">
        <x:f>IF(AND(I856=0,L856=0,Q856=0,T856=0,Y856=0),"PASS","FAIL")</x:f>
        <x:v>PASS</x:v>
      </x:c>
    </x:row>
    <x:row r="857" ht="18" customHeight="1">
      <x:c r="A857" s="14" t="n">
        <x:v>960</x:v>
      </x:c>
      <x:c r="B857" s="14" t="n">
        <x:v>852</x:v>
      </x:c>
      <x:c r="C857" s="14" t="n">
        <x:v>952</x:v>
      </x:c>
      <x:c r="D857" s="14" t="n">
        <x:v>2598921</x:v>
      </x:c>
      <x:c r="E857" s="14" t="n">
        <x:v>966</x:v>
      </x:c>
      <x:c r="F857" s="14" t="n">
        <x:v>3022875</x:v>
      </x:c>
      <x:c r="G857" s="14" t="n">
        <x:v>2841180</x:v>
      </x:c>
      <x:c r="H857" s="14" t="n">
        <x:f>INT((F857-D857)*(A857-C857)/(E857-C857))+D857</x:f>
        <x:v>2841180</x:v>
      </x:c>
      <x:c r="I857" s="68" t="n">
        <x:f>H857-G857</x:f>
        <x:v>0</x:v>
      </x:c>
      <x:c r="J857" s="14" t="n">
        <x:v>18496882</x:v>
      </x:c>
      <x:c r="K857" s="14" t="n">
        <x:f>INT(H857*'공식·설정'!$B$10/'공식·설정'!$B$15)</x:f>
        <x:v>18496882</x:v>
      </x:c>
      <x:c r="L857" s="68" t="n">
        <x:f>K857-J857</x:f>
        <x:v>0</x:v>
      </x:c>
      <x:c r="M857" s="65" t="n">
        <x:f>J857/'공식·설정'!$B$7</x:f>
        <x:v>72253.4453125</x:v>
      </x:c>
      <x:c r="N857" s="65" t="n">
        <x:f>K857/'공식·설정'!$B$7</x:f>
        <x:v>72253.4453125</x:v>
      </x:c>
      <x:c r="O857" s="14" t="n">
        <x:v>7225</x:v>
      </x:c>
      <x:c r="P857" s="14" t="n">
        <x:f>MIN(32767,MAX(0,INT((K857+INT('공식·설정'!$B$12/2))/'공식·설정'!$B$12)))</x:f>
        <x:v>7225</x:v>
      </x:c>
      <x:c r="Q857" s="68" t="n">
        <x:f>P857-O857</x:f>
        <x:v>0</x:v>
      </x:c>
      <x:c r="R857" s="14" t="n">
        <x:v>18504448</x:v>
      </x:c>
      <x:c r="S857" s="14" t="n">
        <x:f>P857*'공식·설정'!$B$12+'공식·설정'!$B$14</x:f>
        <x:v>18504448</x:v>
      </x:c>
      <x:c r="T857" s="68" t="n">
        <x:f>S857-R857</x:f>
        <x:v>0</x:v>
      </x:c>
      <x:c r="U857" s="65" t="n">
        <x:f>R857/'공식·설정'!$B$7</x:f>
        <x:v>72283</x:v>
      </x:c>
      <x:c r="V857" s="65" t="n">
        <x:f>S857/'공식·설정'!$B$7</x:f>
        <x:v>72283</x:v>
      </x:c>
      <x:c r="W857" s="14" t="n">
        <x:v>698</x:v>
      </x:c>
      <x:c r="X857" s="14" t="n">
        <x:f>INT(ABS(K858-K857)*'공식·설정'!$B$8/K857)</x:f>
        <x:v>698</x:v>
      </x:c>
      <x:c r="Y857" s="68" t="n">
        <x:f>X857-W857</x:f>
        <x:v>0</x:v>
      </x:c>
      <x:c r="Z857" s="66" t="n">
        <x:f>W857/'공식·설정'!$B$8</x:f>
        <x:v>0.010650634765625</x:v>
      </x:c>
      <x:c r="AA857" s="66" t="n">
        <x:f>X857/'공식·설정'!$B$8</x:f>
        <x:v>0.010650634765625</x:v>
      </x:c>
      <x:c r="AB857" s="67" t="str">
        <x:f>IF(AND(I857=0,L857=0,Q857=0,T857=0,Y857=0),"PASS","FAIL")</x:f>
        <x:v>PASS</x:v>
      </x:c>
    </x:row>
    <x:row r="858" ht="18" customHeight="1">
      <x:c r="A858" s="14" t="n">
        <x:v>961</x:v>
      </x:c>
      <x:c r="B858" s="14" t="n">
        <x:v>853</x:v>
      </x:c>
      <x:c r="C858" s="14" t="n">
        <x:v>952</x:v>
      </x:c>
      <x:c r="D858" s="14" t="n">
        <x:v>2598921</x:v>
      </x:c>
      <x:c r="E858" s="14" t="n">
        <x:v>966</x:v>
      </x:c>
      <x:c r="F858" s="14" t="n">
        <x:v>3022875</x:v>
      </x:c>
      <x:c r="G858" s="14" t="n">
        <x:v>2871462</x:v>
      </x:c>
      <x:c r="H858" s="14" t="n">
        <x:f>INT((F858-D858)*(A858-C858)/(E858-C858))+D858</x:f>
        <x:v>2871462</x:v>
      </x:c>
      <x:c r="I858" s="68" t="n">
        <x:f>H858-G858</x:f>
        <x:v>0</x:v>
      </x:c>
      <x:c r="J858" s="14" t="n">
        <x:v>18694027</x:v>
      </x:c>
      <x:c r="K858" s="14" t="n">
        <x:f>INT(H858*'공식·설정'!$B$10/'공식·설정'!$B$15)</x:f>
        <x:v>18694027</x:v>
      </x:c>
      <x:c r="L858" s="68" t="n">
        <x:f>K858-J858</x:f>
        <x:v>0</x:v>
      </x:c>
      <x:c r="M858" s="65" t="n">
        <x:f>J858/'공식·설정'!$B$7</x:f>
        <x:v>73023.54296875</x:v>
      </x:c>
      <x:c r="N858" s="65" t="n">
        <x:f>K858/'공식·설정'!$B$7</x:f>
        <x:v>73023.54296875</x:v>
      </x:c>
      <x:c r="O858" s="14" t="n">
        <x:v>7302</x:v>
      </x:c>
      <x:c r="P858" s="14" t="n">
        <x:f>MIN(32767,MAX(0,INT((K858+INT('공식·설정'!$B$12/2))/'공식·설정'!$B$12)))</x:f>
        <x:v>7302</x:v>
      </x:c>
      <x:c r="Q858" s="68" t="n">
        <x:f>P858-O858</x:f>
        <x:v>0</x:v>
      </x:c>
      <x:c r="R858" s="14" t="n">
        <x:v>18701568</x:v>
      </x:c>
      <x:c r="S858" s="14" t="n">
        <x:f>P858*'공식·설정'!$B$12+'공식·설정'!$B$14</x:f>
        <x:v>18701568</x:v>
      </x:c>
      <x:c r="T858" s="68" t="n">
        <x:f>S858-R858</x:f>
        <x:v>0</x:v>
      </x:c>
      <x:c r="U858" s="65" t="n">
        <x:f>R858/'공식·설정'!$B$7</x:f>
        <x:v>73053</x:v>
      </x:c>
      <x:c r="V858" s="65" t="n">
        <x:f>S858/'공식·설정'!$B$7</x:f>
        <x:v>73053</x:v>
      </x:c>
      <x:c r="W858" s="14" t="n">
        <x:v>691</x:v>
      </x:c>
      <x:c r="X858" s="14" t="n">
        <x:f>INT(ABS(K859-K858)*'공식·설정'!$B$8/K858)</x:f>
        <x:v>691</x:v>
      </x:c>
      <x:c r="Y858" s="68" t="n">
        <x:f>X858-W858</x:f>
        <x:v>0</x:v>
      </x:c>
      <x:c r="Z858" s="66" t="n">
        <x:f>W858/'공식·설정'!$B$8</x:f>
        <x:v>0.0105438232421875</x:v>
      </x:c>
      <x:c r="AA858" s="66" t="n">
        <x:f>X858/'공식·설정'!$B$8</x:f>
        <x:v>0.0105438232421875</x:v>
      </x:c>
      <x:c r="AB858" s="67" t="str">
        <x:f>IF(AND(I858=0,L858=0,Q858=0,T858=0,Y858=0),"PASS","FAIL")</x:f>
        <x:v>PASS</x:v>
      </x:c>
    </x:row>
    <x:row r="859" ht="18" customHeight="1">
      <x:c r="A859" s="14" t="n">
        <x:v>962</x:v>
      </x:c>
      <x:c r="B859" s="14" t="n">
        <x:v>854</x:v>
      </x:c>
      <x:c r="C859" s="14" t="n">
        <x:v>952</x:v>
      </x:c>
      <x:c r="D859" s="14" t="n">
        <x:v>2598921</x:v>
      </x:c>
      <x:c r="E859" s="14" t="n">
        <x:v>966</x:v>
      </x:c>
      <x:c r="F859" s="14" t="n">
        <x:v>3022875</x:v>
      </x:c>
      <x:c r="G859" s="14" t="n">
        <x:v>2901745</x:v>
      </x:c>
      <x:c r="H859" s="14" t="n">
        <x:f>INT((F859-D859)*(A859-C859)/(E859-C859))+D859</x:f>
        <x:v>2901745</x:v>
      </x:c>
      <x:c r="I859" s="68" t="n">
        <x:f>H859-G859</x:f>
        <x:v>0</x:v>
      </x:c>
      <x:c r="J859" s="14" t="n">
        <x:v>18891178</x:v>
      </x:c>
      <x:c r="K859" s="14" t="n">
        <x:f>INT(H859*'공식·설정'!$B$10/'공식·설정'!$B$15)</x:f>
        <x:v>18891178</x:v>
      </x:c>
      <x:c r="L859" s="68" t="n">
        <x:f>K859-J859</x:f>
        <x:v>0</x:v>
      </x:c>
      <x:c r="M859" s="65" t="n">
        <x:f>J859/'공식·설정'!$B$7</x:f>
        <x:v>73793.6640625</x:v>
      </x:c>
      <x:c r="N859" s="65" t="n">
        <x:f>K859/'공식·설정'!$B$7</x:f>
        <x:v>73793.6640625</x:v>
      </x:c>
      <x:c r="O859" s="14" t="n">
        <x:v>7379</x:v>
      </x:c>
      <x:c r="P859" s="14" t="n">
        <x:f>MIN(32767,MAX(0,INT((K859+INT('공식·설정'!$B$12/2))/'공식·설정'!$B$12)))</x:f>
        <x:v>7379</x:v>
      </x:c>
      <x:c r="Q859" s="68" t="n">
        <x:f>P859-O859</x:f>
        <x:v>0</x:v>
      </x:c>
      <x:c r="R859" s="14" t="n">
        <x:v>18898688</x:v>
      </x:c>
      <x:c r="S859" s="14" t="n">
        <x:f>P859*'공식·설정'!$B$12+'공식·설정'!$B$14</x:f>
        <x:v>18898688</x:v>
      </x:c>
      <x:c r="T859" s="68" t="n">
        <x:f>S859-R859</x:f>
        <x:v>0</x:v>
      </x:c>
      <x:c r="U859" s="65" t="n">
        <x:f>R859/'공식·설정'!$B$7</x:f>
        <x:v>73823</x:v>
      </x:c>
      <x:c r="V859" s="65" t="n">
        <x:f>S859/'공식·설정'!$B$7</x:f>
        <x:v>73823</x:v>
      </x:c>
      <x:c r="W859" s="14" t="n">
        <x:v>683</x:v>
      </x:c>
      <x:c r="X859" s="14" t="n">
        <x:f>INT(ABS(K860-K859)*'공식·설정'!$B$8/K859)</x:f>
        <x:v>683</x:v>
      </x:c>
      <x:c r="Y859" s="68" t="n">
        <x:f>X859-W859</x:f>
        <x:v>0</x:v>
      </x:c>
      <x:c r="Z859" s="66" t="n">
        <x:f>W859/'공식·설정'!$B$8</x:f>
        <x:v>0.0104217529296875</x:v>
      </x:c>
      <x:c r="AA859" s="66" t="n">
        <x:f>X859/'공식·설정'!$B$8</x:f>
        <x:v>0.0104217529296875</x:v>
      </x:c>
      <x:c r="AB859" s="67" t="str">
        <x:f>IF(AND(I859=0,L859=0,Q859=0,T859=0,Y859=0),"PASS","FAIL")</x:f>
        <x:v>PASS</x:v>
      </x:c>
    </x:row>
    <x:row r="860" ht="18" customHeight="1">
      <x:c r="A860" s="14" t="n">
        <x:v>963</x:v>
      </x:c>
      <x:c r="B860" s="14" t="n">
        <x:v>855</x:v>
      </x:c>
      <x:c r="C860" s="14" t="n">
        <x:v>952</x:v>
      </x:c>
      <x:c r="D860" s="14" t="n">
        <x:v>2598921</x:v>
      </x:c>
      <x:c r="E860" s="14" t="n">
        <x:v>966</x:v>
      </x:c>
      <x:c r="F860" s="14" t="n">
        <x:v>3022875</x:v>
      </x:c>
      <x:c r="G860" s="14" t="n">
        <x:v>2932027</x:v>
      </x:c>
      <x:c r="H860" s="14" t="n">
        <x:f>INT((F860-D860)*(A860-C860)/(E860-C860))+D860</x:f>
        <x:v>2932027</x:v>
      </x:c>
      <x:c r="I860" s="68" t="n">
        <x:f>H860-G860</x:f>
        <x:v>0</x:v>
      </x:c>
      <x:c r="J860" s="14" t="n">
        <x:v>19088322</x:v>
      </x:c>
      <x:c r="K860" s="14" t="n">
        <x:f>INT(H860*'공식·설정'!$B$10/'공식·설정'!$B$15)</x:f>
        <x:v>19088322</x:v>
      </x:c>
      <x:c r="L860" s="68" t="n">
        <x:f>K860-J860</x:f>
        <x:v>0</x:v>
      </x:c>
      <x:c r="M860" s="65" t="n">
        <x:f>J860/'공식·설정'!$B$7</x:f>
        <x:v>74563.7578125</x:v>
      </x:c>
      <x:c r="N860" s="65" t="n">
        <x:f>K860/'공식·설정'!$B$7</x:f>
        <x:v>74563.7578125</x:v>
      </x:c>
      <x:c r="O860" s="14" t="n">
        <x:v>7456</x:v>
      </x:c>
      <x:c r="P860" s="14" t="n">
        <x:f>MIN(32767,MAX(0,INT((K860+INT('공식·설정'!$B$12/2))/'공식·설정'!$B$12)))</x:f>
        <x:v>7456</x:v>
      </x:c>
      <x:c r="Q860" s="68" t="n">
        <x:f>P860-O860</x:f>
        <x:v>0</x:v>
      </x:c>
      <x:c r="R860" s="14" t="n">
        <x:v>19095808</x:v>
      </x:c>
      <x:c r="S860" s="14" t="n">
        <x:f>P860*'공식·설정'!$B$12+'공식·설정'!$B$14</x:f>
        <x:v>19095808</x:v>
      </x:c>
      <x:c r="T860" s="68" t="n">
        <x:f>S860-R860</x:f>
        <x:v>0</x:v>
      </x:c>
      <x:c r="U860" s="65" t="n">
        <x:f>R860/'공식·설정'!$B$7</x:f>
        <x:v>74593</x:v>
      </x:c>
      <x:c r="V860" s="65" t="n">
        <x:f>S860/'공식·설정'!$B$7</x:f>
        <x:v>74593</x:v>
      </x:c>
      <x:c r="W860" s="14" t="n">
        <x:v>676</x:v>
      </x:c>
      <x:c r="X860" s="14" t="n">
        <x:f>INT(ABS(K861-K860)*'공식·설정'!$B$8/K860)</x:f>
        <x:v>676</x:v>
      </x:c>
      <x:c r="Y860" s="68" t="n">
        <x:f>X860-W860</x:f>
        <x:v>0</x:v>
      </x:c>
      <x:c r="Z860" s="66" t="n">
        <x:f>W860/'공식·설정'!$B$8</x:f>
        <x:v>0.01031494140625</x:v>
      </x:c>
      <x:c r="AA860" s="66" t="n">
        <x:f>X860/'공식·설정'!$B$8</x:f>
        <x:v>0.01031494140625</x:v>
      </x:c>
      <x:c r="AB860" s="67" t="str">
        <x:f>IF(AND(I860=0,L860=0,Q860=0,T860=0,Y860=0),"PASS","FAIL")</x:f>
        <x:v>PASS</x:v>
      </x:c>
    </x:row>
    <x:row r="861" ht="18" customHeight="1">
      <x:c r="A861" s="14" t="n">
        <x:v>964</x:v>
      </x:c>
      <x:c r="B861" s="14" t="n">
        <x:v>856</x:v>
      </x:c>
      <x:c r="C861" s="14" t="n">
        <x:v>952</x:v>
      </x:c>
      <x:c r="D861" s="14" t="n">
        <x:v>2598921</x:v>
      </x:c>
      <x:c r="E861" s="14" t="n">
        <x:v>966</x:v>
      </x:c>
      <x:c r="F861" s="14" t="n">
        <x:v>3022875</x:v>
      </x:c>
      <x:c r="G861" s="14" t="n">
        <x:v>2962310</x:v>
      </x:c>
      <x:c r="H861" s="14" t="n">
        <x:f>INT((F861-D861)*(A861-C861)/(E861-C861))+D861</x:f>
        <x:v>2962310</x:v>
      </x:c>
      <x:c r="I861" s="68" t="n">
        <x:f>H861-G861</x:f>
        <x:v>0</x:v>
      </x:c>
      <x:c r="J861" s="14" t="n">
        <x:v>19285473</x:v>
      </x:c>
      <x:c r="K861" s="14" t="n">
        <x:f>INT(H861*'공식·설정'!$B$10/'공식·설정'!$B$15)</x:f>
        <x:v>19285473</x:v>
      </x:c>
      <x:c r="L861" s="68" t="n">
        <x:f>K861-J861</x:f>
        <x:v>0</x:v>
      </x:c>
      <x:c r="M861" s="65" t="n">
        <x:f>J861/'공식·설정'!$B$7</x:f>
        <x:v>75333.87890625</x:v>
      </x:c>
      <x:c r="N861" s="65" t="n">
        <x:f>K861/'공식·설정'!$B$7</x:f>
        <x:v>75333.87890625</x:v>
      </x:c>
      <x:c r="O861" s="14" t="n">
        <x:v>7533</x:v>
      </x:c>
      <x:c r="P861" s="14" t="n">
        <x:f>MIN(32767,MAX(0,INT((K861+INT('공식·설정'!$B$12/2))/'공식·설정'!$B$12)))</x:f>
        <x:v>7533</x:v>
      </x:c>
      <x:c r="Q861" s="68" t="n">
        <x:f>P861-O861</x:f>
        <x:v>0</x:v>
      </x:c>
      <x:c r="R861" s="14" t="n">
        <x:v>19292928</x:v>
      </x:c>
      <x:c r="S861" s="14" t="n">
        <x:f>P861*'공식·설정'!$B$12+'공식·설정'!$B$14</x:f>
        <x:v>19292928</x:v>
      </x:c>
      <x:c r="T861" s="68" t="n">
        <x:f>S861-R861</x:f>
        <x:v>0</x:v>
      </x:c>
      <x:c r="U861" s="65" t="n">
        <x:f>R861/'공식·설정'!$B$7</x:f>
        <x:v>75363</x:v>
      </x:c>
      <x:c r="V861" s="65" t="n">
        <x:f>S861/'공식·설정'!$B$7</x:f>
        <x:v>75363</x:v>
      </x:c>
      <x:c r="W861" s="14" t="n">
        <x:v>669</x:v>
      </x:c>
      <x:c r="X861" s="14" t="n">
        <x:f>INT(ABS(K862-K861)*'공식·설정'!$B$8/K861)</x:f>
        <x:v>669</x:v>
      </x:c>
      <x:c r="Y861" s="68" t="n">
        <x:f>X861-W861</x:f>
        <x:v>0</x:v>
      </x:c>
      <x:c r="Z861" s="66" t="n">
        <x:f>W861/'공식·설정'!$B$8</x:f>
        <x:v>0.0102081298828125</x:v>
      </x:c>
      <x:c r="AA861" s="66" t="n">
        <x:f>X861/'공식·설정'!$B$8</x:f>
        <x:v>0.0102081298828125</x:v>
      </x:c>
      <x:c r="AB861" s="67" t="str">
        <x:f>IF(AND(I861=0,L861=0,Q861=0,T861=0,Y861=0),"PASS","FAIL")</x:f>
        <x:v>PASS</x:v>
      </x:c>
    </x:row>
    <x:row r="862" ht="18" customHeight="1">
      <x:c r="A862" s="14" t="n">
        <x:v>965</x:v>
      </x:c>
      <x:c r="B862" s="14" t="n">
        <x:v>857</x:v>
      </x:c>
      <x:c r="C862" s="14" t="n">
        <x:v>952</x:v>
      </x:c>
      <x:c r="D862" s="14" t="n">
        <x:v>2598921</x:v>
      </x:c>
      <x:c r="E862" s="14" t="n">
        <x:v>966</x:v>
      </x:c>
      <x:c r="F862" s="14" t="n">
        <x:v>3022875</x:v>
      </x:c>
      <x:c r="G862" s="14" t="n">
        <x:v>2992592</x:v>
      </x:c>
      <x:c r="H862" s="14" t="n">
        <x:f>INT((F862-D862)*(A862-C862)/(E862-C862))+D862</x:f>
        <x:v>2992592</x:v>
      </x:c>
      <x:c r="I862" s="68" t="n">
        <x:f>H862-G862</x:f>
        <x:v>0</x:v>
      </x:c>
      <x:c r="J862" s="14" t="n">
        <x:v>19482617</x:v>
      </x:c>
      <x:c r="K862" s="14" t="n">
        <x:f>INT(H862*'공식·설정'!$B$10/'공식·설정'!$B$15)</x:f>
        <x:v>19482617</x:v>
      </x:c>
      <x:c r="L862" s="68" t="n">
        <x:f>K862-J862</x:f>
        <x:v>0</x:v>
      </x:c>
      <x:c r="M862" s="65" t="n">
        <x:f>J862/'공식·설정'!$B$7</x:f>
        <x:v>76103.97265625</x:v>
      </x:c>
      <x:c r="N862" s="65" t="n">
        <x:f>K862/'공식·설정'!$B$7</x:f>
        <x:v>76103.97265625</x:v>
      </x:c>
      <x:c r="O862" s="14" t="n">
        <x:v>7610</x:v>
      </x:c>
      <x:c r="P862" s="14" t="n">
        <x:f>MIN(32767,MAX(0,INT((K862+INT('공식·설정'!$B$12/2))/'공식·설정'!$B$12)))</x:f>
        <x:v>7610</x:v>
      </x:c>
      <x:c r="Q862" s="68" t="n">
        <x:f>P862-O862</x:f>
        <x:v>0</x:v>
      </x:c>
      <x:c r="R862" s="14" t="n">
        <x:v>19490048</x:v>
      </x:c>
      <x:c r="S862" s="14" t="n">
        <x:f>P862*'공식·설정'!$B$12+'공식·설정'!$B$14</x:f>
        <x:v>19490048</x:v>
      </x:c>
      <x:c r="T862" s="68" t="n">
        <x:f>S862-R862</x:f>
        <x:v>0</x:v>
      </x:c>
      <x:c r="U862" s="65" t="n">
        <x:f>R862/'공식·설정'!$B$7</x:f>
        <x:v>76133</x:v>
      </x:c>
      <x:c r="V862" s="65" t="n">
        <x:f>S862/'공식·설정'!$B$7</x:f>
        <x:v>76133</x:v>
      </x:c>
      <x:c r="W862" s="14" t="n">
        <x:v>663</x:v>
      </x:c>
      <x:c r="X862" s="14" t="n">
        <x:f>INT(ABS(K863-K862)*'공식·설정'!$B$8/K862)</x:f>
        <x:v>663</x:v>
      </x:c>
      <x:c r="Y862" s="68" t="n">
        <x:f>X862-W862</x:f>
        <x:v>0</x:v>
      </x:c>
      <x:c r="Z862" s="66" t="n">
        <x:f>W862/'공식·설정'!$B$8</x:f>
        <x:v>0.0101165771484375</x:v>
      </x:c>
      <x:c r="AA862" s="66" t="n">
        <x:f>X862/'공식·설정'!$B$8</x:f>
        <x:v>0.0101165771484375</x:v>
      </x:c>
      <x:c r="AB862" s="67" t="str">
        <x:f>IF(AND(I862=0,L862=0,Q862=0,T862=0,Y862=0),"PASS","FAIL")</x:f>
        <x:v>PASS</x:v>
      </x:c>
    </x:row>
    <x:row r="863" ht="18" customHeight="1">
      <x:c r="A863" s="14" t="n">
        <x:v>966</x:v>
      </x:c>
      <x:c r="B863" s="14" t="n">
        <x:v>858</x:v>
      </x:c>
      <x:c r="C863" s="14" t="n">
        <x:v>966</x:v>
      </x:c>
      <x:c r="D863" s="14" t="n">
        <x:v>3022875</x:v>
      </x:c>
      <x:c r="E863" s="14" t="n">
        <x:v>980</x:v>
      </x:c>
      <x:c r="F863" s="14" t="n">
        <x:v>3515984</x:v>
      </x:c>
      <x:c r="G863" s="14" t="n">
        <x:v>3022875</x:v>
      </x:c>
      <x:c r="H863" s="14" t="n">
        <x:f>INT((F863-D863)*(A863-C863)/(E863-C863))+D863</x:f>
        <x:v>3022875</x:v>
      </x:c>
      <x:c r="I863" s="68" t="n">
        <x:f>H863-G863</x:f>
        <x:v>0</x:v>
      </x:c>
      <x:c r="J863" s="14" t="n">
        <x:v>19679768</x:v>
      </x:c>
      <x:c r="K863" s="14" t="n">
        <x:f>INT(H863*'공식·설정'!$B$10/'공식·설정'!$B$15)</x:f>
        <x:v>19679768</x:v>
      </x:c>
      <x:c r="L863" s="68" t="n">
        <x:f>K863-J863</x:f>
        <x:v>0</x:v>
      </x:c>
      <x:c r="M863" s="65" t="n">
        <x:f>J863/'공식·설정'!$B$7</x:f>
        <x:v>76874.09375</x:v>
      </x:c>
      <x:c r="N863" s="65" t="n">
        <x:f>K863/'공식·설정'!$B$7</x:f>
        <x:v>76874.09375</x:v>
      </x:c>
      <x:c r="O863" s="14" t="n">
        <x:v>7687</x:v>
      </x:c>
      <x:c r="P863" s="14" t="n">
        <x:f>MIN(32767,MAX(0,INT((K863+INT('공식·설정'!$B$12/2))/'공식·설정'!$B$12)))</x:f>
        <x:v>7687</x:v>
      </x:c>
      <x:c r="Q863" s="68" t="n">
        <x:f>P863-O863</x:f>
        <x:v>0</x:v>
      </x:c>
      <x:c r="R863" s="14" t="n">
        <x:v>19687168</x:v>
      </x:c>
      <x:c r="S863" s="14" t="n">
        <x:f>P863*'공식·설정'!$B$12+'공식·설정'!$B$14</x:f>
        <x:v>19687168</x:v>
      </x:c>
      <x:c r="T863" s="68" t="n">
        <x:f>S863-R863</x:f>
        <x:v>0</x:v>
      </x:c>
      <x:c r="U863" s="65" t="n">
        <x:f>R863/'공식·설정'!$B$7</x:f>
        <x:v>76903</x:v>
      </x:c>
      <x:c r="V863" s="65" t="n">
        <x:f>S863/'공식·설정'!$B$7</x:f>
        <x:v>76903</x:v>
      </x:c>
      <x:c r="W863" s="14" t="n">
        <x:v>763</x:v>
      </x:c>
      <x:c r="X863" s="14" t="n">
        <x:f>INT(ABS(K864-K863)*'공식·설정'!$B$8/K863)</x:f>
        <x:v>763</x:v>
      </x:c>
      <x:c r="Y863" s="68" t="n">
        <x:f>X863-W863</x:f>
        <x:v>0</x:v>
      </x:c>
      <x:c r="Z863" s="66" t="n">
        <x:f>W863/'공식·설정'!$B$8</x:f>
        <x:v>0.0116424560546875</x:v>
      </x:c>
      <x:c r="AA863" s="66" t="n">
        <x:f>X863/'공식·설정'!$B$8</x:f>
        <x:v>0.0116424560546875</x:v>
      </x:c>
      <x:c r="AB863" s="67" t="str">
        <x:f>IF(AND(I863=0,L863=0,Q863=0,T863=0,Y863=0),"PASS","FAIL")</x:f>
        <x:v>PASS</x:v>
      </x:c>
    </x:row>
    <x:row r="864" ht="18" customHeight="1">
      <x:c r="A864" s="14" t="n">
        <x:v>967</x:v>
      </x:c>
      <x:c r="B864" s="14" t="n">
        <x:v>859</x:v>
      </x:c>
      <x:c r="C864" s="14" t="n">
        <x:v>966</x:v>
      </x:c>
      <x:c r="D864" s="14" t="n">
        <x:v>3022875</x:v>
      </x:c>
      <x:c r="E864" s="14" t="n">
        <x:v>980</x:v>
      </x:c>
      <x:c r="F864" s="14" t="n">
        <x:v>3515984</x:v>
      </x:c>
      <x:c r="G864" s="14" t="n">
        <x:v>3058097</x:v>
      </x:c>
      <x:c r="H864" s="14" t="n">
        <x:f>INT((F864-D864)*(A864-C864)/(E864-C864))+D864</x:f>
        <x:v>3058097</x:v>
      </x:c>
      <x:c r="I864" s="68" t="n">
        <x:f>H864-G864</x:f>
        <x:v>0</x:v>
      </x:c>
      <x:c r="J864" s="14" t="n">
        <x:v>19909073</x:v>
      </x:c>
      <x:c r="K864" s="14" t="n">
        <x:f>INT(H864*'공식·설정'!$B$10/'공식·설정'!$B$15)</x:f>
        <x:v>19909073</x:v>
      </x:c>
      <x:c r="L864" s="68" t="n">
        <x:f>K864-J864</x:f>
        <x:v>0</x:v>
      </x:c>
      <x:c r="M864" s="65" t="n">
        <x:f>J864/'공식·설정'!$B$7</x:f>
        <x:v>77769.81640625</x:v>
      </x:c>
      <x:c r="N864" s="65" t="n">
        <x:f>K864/'공식·설정'!$B$7</x:f>
        <x:v>77769.81640625</x:v>
      </x:c>
      <x:c r="O864" s="14" t="n">
        <x:v>7777</x:v>
      </x:c>
      <x:c r="P864" s="14" t="n">
        <x:f>MIN(32767,MAX(0,INT((K864+INT('공식·설정'!$B$12/2))/'공식·설정'!$B$12)))</x:f>
        <x:v>7777</x:v>
      </x:c>
      <x:c r="Q864" s="68" t="n">
        <x:f>P864-O864</x:f>
        <x:v>0</x:v>
      </x:c>
      <x:c r="R864" s="14" t="n">
        <x:v>19917568</x:v>
      </x:c>
      <x:c r="S864" s="14" t="n">
        <x:f>P864*'공식·설정'!$B$12+'공식·설정'!$B$14</x:f>
        <x:v>19917568</x:v>
      </x:c>
      <x:c r="T864" s="68" t="n">
        <x:f>S864-R864</x:f>
        <x:v>0</x:v>
      </x:c>
      <x:c r="U864" s="65" t="n">
        <x:f>R864/'공식·설정'!$B$7</x:f>
        <x:v>77803</x:v>
      </x:c>
      <x:c r="V864" s="65" t="n">
        <x:f>S864/'공식·설정'!$B$7</x:f>
        <x:v>77803</x:v>
      </x:c>
      <x:c r="W864" s="14" t="n">
        <x:v>754</x:v>
      </x:c>
      <x:c r="X864" s="14" t="n">
        <x:f>INT(ABS(K865-K864)*'공식·설정'!$B$8/K864)</x:f>
        <x:v>754</x:v>
      </x:c>
      <x:c r="Y864" s="68" t="n">
        <x:f>X864-W864</x:f>
        <x:v>0</x:v>
      </x:c>
      <x:c r="Z864" s="66" t="n">
        <x:f>W864/'공식·설정'!$B$8</x:f>
        <x:v>0.011505126953125</x:v>
      </x:c>
      <x:c r="AA864" s="66" t="n">
        <x:f>X864/'공식·설정'!$B$8</x:f>
        <x:v>0.011505126953125</x:v>
      </x:c>
      <x:c r="AB864" s="67" t="str">
        <x:f>IF(AND(I864=0,L864=0,Q864=0,T864=0,Y864=0),"PASS","FAIL")</x:f>
        <x:v>PASS</x:v>
      </x:c>
    </x:row>
    <x:row r="865" ht="18" customHeight="1">
      <x:c r="A865" s="14" t="n">
        <x:v>968</x:v>
      </x:c>
      <x:c r="B865" s="14" t="n">
        <x:v>860</x:v>
      </x:c>
      <x:c r="C865" s="14" t="n">
        <x:v>966</x:v>
      </x:c>
      <x:c r="D865" s="14" t="n">
        <x:v>3022875</x:v>
      </x:c>
      <x:c r="E865" s="14" t="n">
        <x:v>980</x:v>
      </x:c>
      <x:c r="F865" s="14" t="n">
        <x:v>3515984</x:v>
      </x:c>
      <x:c r="G865" s="14" t="n">
        <x:v>3093319</x:v>
      </x:c>
      <x:c r="H865" s="14" t="n">
        <x:f>INT((F865-D865)*(A865-C865)/(E865-C865))+D865</x:f>
        <x:v>3093319</x:v>
      </x:c>
      <x:c r="I865" s="68" t="n">
        <x:f>H865-G865</x:f>
        <x:v>0</x:v>
      </x:c>
      <x:c r="J865" s="14" t="n">
        <x:v>20138378</x:v>
      </x:c>
      <x:c r="K865" s="14" t="n">
        <x:f>INT(H865*'공식·설정'!$B$10/'공식·설정'!$B$15)</x:f>
        <x:v>20138378</x:v>
      </x:c>
      <x:c r="L865" s="68" t="n">
        <x:f>K865-J865</x:f>
        <x:v>0</x:v>
      </x:c>
      <x:c r="M865" s="65" t="n">
        <x:f>J865/'공식·설정'!$B$7</x:f>
        <x:v>78665.5390625</x:v>
      </x:c>
      <x:c r="N865" s="65" t="n">
        <x:f>K865/'공식·설정'!$B$7</x:f>
        <x:v>78665.5390625</x:v>
      </x:c>
      <x:c r="O865" s="14" t="n">
        <x:v>7867</x:v>
      </x:c>
      <x:c r="P865" s="14" t="n">
        <x:f>MIN(32767,MAX(0,INT((K865+INT('공식·설정'!$B$12/2))/'공식·설정'!$B$12)))</x:f>
        <x:v>7867</x:v>
      </x:c>
      <x:c r="Q865" s="68" t="n">
        <x:f>P865-O865</x:f>
        <x:v>0</x:v>
      </x:c>
      <x:c r="R865" s="14" t="n">
        <x:v>20147968</x:v>
      </x:c>
      <x:c r="S865" s="14" t="n">
        <x:f>P865*'공식·설정'!$B$12+'공식·설정'!$B$14</x:f>
        <x:v>20147968</x:v>
      </x:c>
      <x:c r="T865" s="68" t="n">
        <x:f>S865-R865</x:f>
        <x:v>0</x:v>
      </x:c>
      <x:c r="U865" s="65" t="n">
        <x:f>R865/'공식·설정'!$B$7</x:f>
        <x:v>78703</x:v>
      </x:c>
      <x:c r="V865" s="65" t="n">
        <x:f>S865/'공식·설정'!$B$7</x:f>
        <x:v>78703</x:v>
      </x:c>
      <x:c r="W865" s="14" t="n">
        <x:v>746</x:v>
      </x:c>
      <x:c r="X865" s="14" t="n">
        <x:f>INT(ABS(K866-K865)*'공식·설정'!$B$8/K865)</x:f>
        <x:v>746</x:v>
      </x:c>
      <x:c r="Y865" s="68" t="n">
        <x:f>X865-W865</x:f>
        <x:v>0</x:v>
      </x:c>
      <x:c r="Z865" s="66" t="n">
        <x:f>W865/'공식·설정'!$B$8</x:f>
        <x:v>0.011383056640625</x:v>
      </x:c>
      <x:c r="AA865" s="66" t="n">
        <x:f>X865/'공식·설정'!$B$8</x:f>
        <x:v>0.011383056640625</x:v>
      </x:c>
      <x:c r="AB865" s="67" t="str">
        <x:f>IF(AND(I865=0,L865=0,Q865=0,T865=0,Y865=0),"PASS","FAIL")</x:f>
        <x:v>PASS</x:v>
      </x:c>
    </x:row>
    <x:row r="866" ht="18" customHeight="1">
      <x:c r="A866" s="14" t="n">
        <x:v>969</x:v>
      </x:c>
      <x:c r="B866" s="14" t="n">
        <x:v>861</x:v>
      </x:c>
      <x:c r="C866" s="14" t="n">
        <x:v>966</x:v>
      </x:c>
      <x:c r="D866" s="14" t="n">
        <x:v>3022875</x:v>
      </x:c>
      <x:c r="E866" s="14" t="n">
        <x:v>980</x:v>
      </x:c>
      <x:c r="F866" s="14" t="n">
        <x:v>3515984</x:v>
      </x:c>
      <x:c r="G866" s="14" t="n">
        <x:v>3128541</x:v>
      </x:c>
      <x:c r="H866" s="14" t="n">
        <x:f>INT((F866-D866)*(A866-C866)/(E866-C866))+D866</x:f>
        <x:v>3128541</x:v>
      </x:c>
      <x:c r="I866" s="68" t="n">
        <x:f>H866-G866</x:f>
        <x:v>0</x:v>
      </x:c>
      <x:c r="J866" s="14" t="n">
        <x:v>20367684</x:v>
      </x:c>
      <x:c r="K866" s="14" t="n">
        <x:f>INT(H866*'공식·설정'!$B$10/'공식·설정'!$B$15)</x:f>
        <x:v>20367684</x:v>
      </x:c>
      <x:c r="L866" s="68" t="n">
        <x:f>K866-J866</x:f>
        <x:v>0</x:v>
      </x:c>
      <x:c r="M866" s="65" t="n">
        <x:f>J866/'공식·설정'!$B$7</x:f>
        <x:v>79561.265625</x:v>
      </x:c>
      <x:c r="N866" s="65" t="n">
        <x:f>K866/'공식·설정'!$B$7</x:f>
        <x:v>79561.265625</x:v>
      </x:c>
      <x:c r="O866" s="14" t="n">
        <x:v>7956</x:v>
      </x:c>
      <x:c r="P866" s="14" t="n">
        <x:f>MIN(32767,MAX(0,INT((K866+INT('공식·설정'!$B$12/2))/'공식·설정'!$B$12)))</x:f>
        <x:v>7956</x:v>
      </x:c>
      <x:c r="Q866" s="68" t="n">
        <x:f>P866-O866</x:f>
        <x:v>0</x:v>
      </x:c>
      <x:c r="R866" s="14" t="n">
        <x:v>20375808</x:v>
      </x:c>
      <x:c r="S866" s="14" t="n">
        <x:f>P866*'공식·설정'!$B$12+'공식·설정'!$B$14</x:f>
        <x:v>20375808</x:v>
      </x:c>
      <x:c r="T866" s="68" t="n">
        <x:f>S866-R866</x:f>
        <x:v>0</x:v>
      </x:c>
      <x:c r="U866" s="65" t="n">
        <x:f>R866/'공식·설정'!$B$7</x:f>
        <x:v>79593</x:v>
      </x:c>
      <x:c r="V866" s="65" t="n">
        <x:f>S866/'공식·설정'!$B$7</x:f>
        <x:v>79593</x:v>
      </x:c>
      <x:c r="W866" s="14" t="n">
        <x:v>737</x:v>
      </x:c>
      <x:c r="X866" s="14" t="n">
        <x:f>INT(ABS(K867-K866)*'공식·설정'!$B$8/K866)</x:f>
        <x:v>737</x:v>
      </x:c>
      <x:c r="Y866" s="68" t="n">
        <x:f>X866-W866</x:f>
        <x:v>0</x:v>
      </x:c>
      <x:c r="Z866" s="66" t="n">
        <x:f>W866/'공식·설정'!$B$8</x:f>
        <x:v>0.0112457275390625</x:v>
      </x:c>
      <x:c r="AA866" s="66" t="n">
        <x:f>X866/'공식·설정'!$B$8</x:f>
        <x:v>0.0112457275390625</x:v>
      </x:c>
      <x:c r="AB866" s="67" t="str">
        <x:f>IF(AND(I866=0,L866=0,Q866=0,T866=0,Y866=0),"PASS","FAIL")</x:f>
        <x:v>PASS</x:v>
      </x:c>
    </x:row>
    <x:row r="867" ht="18" customHeight="1">
      <x:c r="A867" s="14" t="n">
        <x:v>970</x:v>
      </x:c>
      <x:c r="B867" s="14" t="n">
        <x:v>862</x:v>
      </x:c>
      <x:c r="C867" s="14" t="n">
        <x:v>966</x:v>
      </x:c>
      <x:c r="D867" s="14" t="n">
        <x:v>3022875</x:v>
      </x:c>
      <x:c r="E867" s="14" t="n">
        <x:v>980</x:v>
      </x:c>
      <x:c r="F867" s="14" t="n">
        <x:v>3515984</x:v>
      </x:c>
      <x:c r="G867" s="14" t="n">
        <x:v>3163763</x:v>
      </x:c>
      <x:c r="H867" s="14" t="n">
        <x:f>INT((F867-D867)*(A867-C867)/(E867-C867))+D867</x:f>
        <x:v>3163763</x:v>
      </x:c>
      <x:c r="I867" s="68" t="n">
        <x:f>H867-G867</x:f>
        <x:v>0</x:v>
      </x:c>
      <x:c r="J867" s="14" t="n">
        <x:v>20596989</x:v>
      </x:c>
      <x:c r="K867" s="14" t="n">
        <x:f>INT(H867*'공식·설정'!$B$10/'공식·설정'!$B$15)</x:f>
        <x:v>20596989</x:v>
      </x:c>
      <x:c r="L867" s="68" t="n">
        <x:f>K867-J867</x:f>
        <x:v>0</x:v>
      </x:c>
      <x:c r="M867" s="65" t="n">
        <x:f>J867/'공식·설정'!$B$7</x:f>
        <x:v>80456.98828125</x:v>
      </x:c>
      <x:c r="N867" s="65" t="n">
        <x:f>K867/'공식·설정'!$B$7</x:f>
        <x:v>80456.98828125</x:v>
      </x:c>
      <x:c r="O867" s="14" t="n">
        <x:v>8046</x:v>
      </x:c>
      <x:c r="P867" s="14" t="n">
        <x:f>MIN(32767,MAX(0,INT((K867+INT('공식·설정'!$B$12/2))/'공식·설정'!$B$12)))</x:f>
        <x:v>8046</x:v>
      </x:c>
      <x:c r="Q867" s="68" t="n">
        <x:f>P867-O867</x:f>
        <x:v>0</x:v>
      </x:c>
      <x:c r="R867" s="14" t="n">
        <x:v>20606208</x:v>
      </x:c>
      <x:c r="S867" s="14" t="n">
        <x:f>P867*'공식·설정'!$B$12+'공식·설정'!$B$14</x:f>
        <x:v>20606208</x:v>
      </x:c>
      <x:c r="T867" s="68" t="n">
        <x:f>S867-R867</x:f>
        <x:v>0</x:v>
      </x:c>
      <x:c r="U867" s="65" t="n">
        <x:f>R867/'공식·설정'!$B$7</x:f>
        <x:v>80493</x:v>
      </x:c>
      <x:c r="V867" s="65" t="n">
        <x:f>S867/'공식·설정'!$B$7</x:f>
        <x:v>80493</x:v>
      </x:c>
      <x:c r="W867" s="14" t="n">
        <x:v>729</x:v>
      </x:c>
      <x:c r="X867" s="14" t="n">
        <x:f>INT(ABS(K868-K867)*'공식·설정'!$B$8/K867)</x:f>
        <x:v>729</x:v>
      </x:c>
      <x:c r="Y867" s="68" t="n">
        <x:f>X867-W867</x:f>
        <x:v>0</x:v>
      </x:c>
      <x:c r="Z867" s="66" t="n">
        <x:f>W867/'공식·설정'!$B$8</x:f>
        <x:v>0.0111236572265625</x:v>
      </x:c>
      <x:c r="AA867" s="66" t="n">
        <x:f>X867/'공식·설정'!$B$8</x:f>
        <x:v>0.0111236572265625</x:v>
      </x:c>
      <x:c r="AB867" s="67" t="str">
        <x:f>IF(AND(I867=0,L867=0,Q867=0,T867=0,Y867=0),"PASS","FAIL")</x:f>
        <x:v>PASS</x:v>
      </x:c>
    </x:row>
    <x:row r="868" ht="18" customHeight="1">
      <x:c r="A868" s="14" t="n">
        <x:v>971</x:v>
      </x:c>
      <x:c r="B868" s="14" t="n">
        <x:v>863</x:v>
      </x:c>
      <x:c r="C868" s="14" t="n">
        <x:v>966</x:v>
      </x:c>
      <x:c r="D868" s="14" t="n">
        <x:v>3022875</x:v>
      </x:c>
      <x:c r="E868" s="14" t="n">
        <x:v>980</x:v>
      </x:c>
      <x:c r="F868" s="14" t="n">
        <x:v>3515984</x:v>
      </x:c>
      <x:c r="G868" s="14" t="n">
        <x:v>3198985</x:v>
      </x:c>
      <x:c r="H868" s="14" t="n">
        <x:f>INT((F868-D868)*(A868-C868)/(E868-C868))+D868</x:f>
        <x:v>3198985</x:v>
      </x:c>
      <x:c r="I868" s="68" t="n">
        <x:f>H868-G868</x:f>
        <x:v>0</x:v>
      </x:c>
      <x:c r="J868" s="14" t="n">
        <x:v>20826294</x:v>
      </x:c>
      <x:c r="K868" s="14" t="n">
        <x:f>INT(H868*'공식·설정'!$B$10/'공식·설정'!$B$15)</x:f>
        <x:v>20826294</x:v>
      </x:c>
      <x:c r="L868" s="68" t="n">
        <x:f>K868-J868</x:f>
        <x:v>0</x:v>
      </x:c>
      <x:c r="M868" s="65" t="n">
        <x:f>J868/'공식·설정'!$B$7</x:f>
        <x:v>81352.7109375</x:v>
      </x:c>
      <x:c r="N868" s="65" t="n">
        <x:f>K868/'공식·설정'!$B$7</x:f>
        <x:v>81352.7109375</x:v>
      </x:c>
      <x:c r="O868" s="14" t="n">
        <x:v>8135</x:v>
      </x:c>
      <x:c r="P868" s="14" t="n">
        <x:f>MIN(32767,MAX(0,INT((K868+INT('공식·설정'!$B$12/2))/'공식·설정'!$B$12)))</x:f>
        <x:v>8135</x:v>
      </x:c>
      <x:c r="Q868" s="68" t="n">
        <x:f>P868-O868</x:f>
        <x:v>0</x:v>
      </x:c>
      <x:c r="R868" s="14" t="n">
        <x:v>20834048</x:v>
      </x:c>
      <x:c r="S868" s="14" t="n">
        <x:f>P868*'공식·설정'!$B$12+'공식·설정'!$B$14</x:f>
        <x:v>20834048</x:v>
      </x:c>
      <x:c r="T868" s="68" t="n">
        <x:f>S868-R868</x:f>
        <x:v>0</x:v>
      </x:c>
      <x:c r="U868" s="65" t="n">
        <x:f>R868/'공식·설정'!$B$7</x:f>
        <x:v>81383</x:v>
      </x:c>
      <x:c r="V868" s="65" t="n">
        <x:f>S868/'공식·설정'!$B$7</x:f>
        <x:v>81383</x:v>
      </x:c>
      <x:c r="W868" s="14" t="n">
        <x:v>721</x:v>
      </x:c>
      <x:c r="X868" s="14" t="n">
        <x:f>INT(ABS(K869-K868)*'공식·설정'!$B$8/K868)</x:f>
        <x:v>721</x:v>
      </x:c>
      <x:c r="Y868" s="68" t="n">
        <x:f>X868-W868</x:f>
        <x:v>0</x:v>
      </x:c>
      <x:c r="Z868" s="66" t="n">
        <x:f>W868/'공식·설정'!$B$8</x:f>
        <x:v>0.0110015869140625</x:v>
      </x:c>
      <x:c r="AA868" s="66" t="n">
        <x:f>X868/'공식·설정'!$B$8</x:f>
        <x:v>0.0110015869140625</x:v>
      </x:c>
      <x:c r="AB868" s="67" t="str">
        <x:f>IF(AND(I868=0,L868=0,Q868=0,T868=0,Y868=0),"PASS","FAIL")</x:f>
        <x:v>PASS</x:v>
      </x:c>
    </x:row>
    <x:row r="869" ht="18" customHeight="1">
      <x:c r="A869" s="14" t="n">
        <x:v>972</x:v>
      </x:c>
      <x:c r="B869" s="14" t="n">
        <x:v>864</x:v>
      </x:c>
      <x:c r="C869" s="14" t="n">
        <x:v>966</x:v>
      </x:c>
      <x:c r="D869" s="14" t="n">
        <x:v>3022875</x:v>
      </x:c>
      <x:c r="E869" s="14" t="n">
        <x:v>980</x:v>
      </x:c>
      <x:c r="F869" s="14" t="n">
        <x:v>3515984</x:v>
      </x:c>
      <x:c r="G869" s="14" t="n">
        <x:v>3234207</x:v>
      </x:c>
      <x:c r="H869" s="14" t="n">
        <x:f>INT((F869-D869)*(A869-C869)/(E869-C869))+D869</x:f>
        <x:v>3234207</x:v>
      </x:c>
      <x:c r="I869" s="68" t="n">
        <x:f>H869-G869</x:f>
        <x:v>0</x:v>
      </x:c>
      <x:c r="J869" s="14" t="n">
        <x:v>21055599</x:v>
      </x:c>
      <x:c r="K869" s="14" t="n">
        <x:f>INT(H869*'공식·설정'!$B$10/'공식·설정'!$B$15)</x:f>
        <x:v>21055599</x:v>
      </x:c>
      <x:c r="L869" s="68" t="n">
        <x:f>K869-J869</x:f>
        <x:v>0</x:v>
      </x:c>
      <x:c r="M869" s="65" t="n">
        <x:f>J869/'공식·설정'!$B$7</x:f>
        <x:v>82248.43359375</x:v>
      </x:c>
      <x:c r="N869" s="65" t="n">
        <x:f>K869/'공식·설정'!$B$7</x:f>
        <x:v>82248.43359375</x:v>
      </x:c>
      <x:c r="O869" s="14" t="n">
        <x:v>8225</x:v>
      </x:c>
      <x:c r="P869" s="14" t="n">
        <x:f>MIN(32767,MAX(0,INT((K869+INT('공식·설정'!$B$12/2))/'공식·설정'!$B$12)))</x:f>
        <x:v>8225</x:v>
      </x:c>
      <x:c r="Q869" s="68" t="n">
        <x:f>P869-O869</x:f>
        <x:v>0</x:v>
      </x:c>
      <x:c r="R869" s="14" t="n">
        <x:v>21064448</x:v>
      </x:c>
      <x:c r="S869" s="14" t="n">
        <x:f>P869*'공식·설정'!$B$12+'공식·설정'!$B$14</x:f>
        <x:v>21064448</x:v>
      </x:c>
      <x:c r="T869" s="68" t="n">
        <x:f>S869-R869</x:f>
        <x:v>0</x:v>
      </x:c>
      <x:c r="U869" s="65" t="n">
        <x:f>R869/'공식·설정'!$B$7</x:f>
        <x:v>82283</x:v>
      </x:c>
      <x:c r="V869" s="65" t="n">
        <x:f>S869/'공식·설정'!$B$7</x:f>
        <x:v>82283</x:v>
      </x:c>
      <x:c r="W869" s="14" t="n">
        <x:v>713</x:v>
      </x:c>
      <x:c r="X869" s="14" t="n">
        <x:f>INT(ABS(K870-K869)*'공식·설정'!$B$8/K869)</x:f>
        <x:v>713</x:v>
      </x:c>
      <x:c r="Y869" s="68" t="n">
        <x:f>X869-W869</x:f>
        <x:v>0</x:v>
      </x:c>
      <x:c r="Z869" s="66" t="n">
        <x:f>W869/'공식·설정'!$B$8</x:f>
        <x:v>0.0108795166015625</x:v>
      </x:c>
      <x:c r="AA869" s="66" t="n">
        <x:f>X869/'공식·설정'!$B$8</x:f>
        <x:v>0.0108795166015625</x:v>
      </x:c>
      <x:c r="AB869" s="67" t="str">
        <x:f>IF(AND(I869=0,L869=0,Q869=0,T869=0,Y869=0),"PASS","FAIL")</x:f>
        <x:v>PASS</x:v>
      </x:c>
    </x:row>
    <x:row r="870" ht="18" customHeight="1">
      <x:c r="A870" s="14" t="n">
        <x:v>973</x:v>
      </x:c>
      <x:c r="B870" s="14" t="n">
        <x:v>865</x:v>
      </x:c>
      <x:c r="C870" s="14" t="n">
        <x:v>966</x:v>
      </x:c>
      <x:c r="D870" s="14" t="n">
        <x:v>3022875</x:v>
      </x:c>
      <x:c r="E870" s="14" t="n">
        <x:v>980</x:v>
      </x:c>
      <x:c r="F870" s="14" t="n">
        <x:v>3515984</x:v>
      </x:c>
      <x:c r="G870" s="14" t="n">
        <x:v>3269429</x:v>
      </x:c>
      <x:c r="H870" s="14" t="n">
        <x:f>INT((F870-D870)*(A870-C870)/(E870-C870))+D870</x:f>
        <x:v>3269429</x:v>
      </x:c>
      <x:c r="I870" s="68" t="n">
        <x:f>H870-G870</x:f>
        <x:v>0</x:v>
      </x:c>
      <x:c r="J870" s="14" t="n">
        <x:v>21284904</x:v>
      </x:c>
      <x:c r="K870" s="14" t="n">
        <x:f>INT(H870*'공식·설정'!$B$10/'공식·설정'!$B$15)</x:f>
        <x:v>21284904</x:v>
      </x:c>
      <x:c r="L870" s="68" t="n">
        <x:f>K870-J870</x:f>
        <x:v>0</x:v>
      </x:c>
      <x:c r="M870" s="65" t="n">
        <x:f>J870/'공식·설정'!$B$7</x:f>
        <x:v>83144.15625</x:v>
      </x:c>
      <x:c r="N870" s="65" t="n">
        <x:f>K870/'공식·설정'!$B$7</x:f>
        <x:v>83144.15625</x:v>
      </x:c>
      <x:c r="O870" s="14" t="n">
        <x:v>8314</x:v>
      </x:c>
      <x:c r="P870" s="14" t="n">
        <x:f>MIN(32767,MAX(0,INT((K870+INT('공식·설정'!$B$12/2))/'공식·설정'!$B$12)))</x:f>
        <x:v>8314</x:v>
      </x:c>
      <x:c r="Q870" s="68" t="n">
        <x:f>P870-O870</x:f>
        <x:v>0</x:v>
      </x:c>
      <x:c r="R870" s="14" t="n">
        <x:v>21292288</x:v>
      </x:c>
      <x:c r="S870" s="14" t="n">
        <x:f>P870*'공식·설정'!$B$12+'공식·설정'!$B$14</x:f>
        <x:v>21292288</x:v>
      </x:c>
      <x:c r="T870" s="68" t="n">
        <x:f>S870-R870</x:f>
        <x:v>0</x:v>
      </x:c>
      <x:c r="U870" s="65" t="n">
        <x:f>R870/'공식·설정'!$B$7</x:f>
        <x:v>83173</x:v>
      </x:c>
      <x:c r="V870" s="65" t="n">
        <x:f>S870/'공식·설정'!$B$7</x:f>
        <x:v>83173</x:v>
      </x:c>
      <x:c r="W870" s="14" t="n">
        <x:v>706</x:v>
      </x:c>
      <x:c r="X870" s="14" t="n">
        <x:f>INT(ABS(K871-K870)*'공식·설정'!$B$8/K870)</x:f>
        <x:v>706</x:v>
      </x:c>
      <x:c r="Y870" s="68" t="n">
        <x:f>X870-W870</x:f>
        <x:v>0</x:v>
      </x:c>
      <x:c r="Z870" s="66" t="n">
        <x:f>W870/'공식·설정'!$B$8</x:f>
        <x:v>0.010772705078125</x:v>
      </x:c>
      <x:c r="AA870" s="66" t="n">
        <x:f>X870/'공식·설정'!$B$8</x:f>
        <x:v>0.010772705078125</x:v>
      </x:c>
      <x:c r="AB870" s="67" t="str">
        <x:f>IF(AND(I870=0,L870=0,Q870=0,T870=0,Y870=0),"PASS","FAIL")</x:f>
        <x:v>PASS</x:v>
      </x:c>
    </x:row>
    <x:row r="871" ht="18" customHeight="1">
      <x:c r="A871" s="14" t="n">
        <x:v>974</x:v>
      </x:c>
      <x:c r="B871" s="14" t="n">
        <x:v>866</x:v>
      </x:c>
      <x:c r="C871" s="14" t="n">
        <x:v>966</x:v>
      </x:c>
      <x:c r="D871" s="14" t="n">
        <x:v>3022875</x:v>
      </x:c>
      <x:c r="E871" s="14" t="n">
        <x:v>980</x:v>
      </x:c>
      <x:c r="F871" s="14" t="n">
        <x:v>3515984</x:v>
      </x:c>
      <x:c r="G871" s="14" t="n">
        <x:v>3304651</x:v>
      </x:c>
      <x:c r="H871" s="14" t="n">
        <x:f>INT((F871-D871)*(A871-C871)/(E871-C871))+D871</x:f>
        <x:v>3304651</x:v>
      </x:c>
      <x:c r="I871" s="68" t="n">
        <x:f>H871-G871</x:f>
        <x:v>0</x:v>
      </x:c>
      <x:c r="J871" s="14" t="n">
        <x:v>21514209</x:v>
      </x:c>
      <x:c r="K871" s="14" t="n">
        <x:f>INT(H871*'공식·설정'!$B$10/'공식·설정'!$B$15)</x:f>
        <x:v>21514209</x:v>
      </x:c>
      <x:c r="L871" s="68" t="n">
        <x:f>K871-J871</x:f>
        <x:v>0</x:v>
      </x:c>
      <x:c r="M871" s="65" t="n">
        <x:f>J871/'공식·설정'!$B$7</x:f>
        <x:v>84039.87890625</x:v>
      </x:c>
      <x:c r="N871" s="65" t="n">
        <x:f>K871/'공식·설정'!$B$7</x:f>
        <x:v>84039.87890625</x:v>
      </x:c>
      <x:c r="O871" s="14" t="n">
        <x:v>8404</x:v>
      </x:c>
      <x:c r="P871" s="14" t="n">
        <x:f>MIN(32767,MAX(0,INT((K871+INT('공식·설정'!$B$12/2))/'공식·설정'!$B$12)))</x:f>
        <x:v>8404</x:v>
      </x:c>
      <x:c r="Q871" s="68" t="n">
        <x:f>P871-O871</x:f>
        <x:v>0</x:v>
      </x:c>
      <x:c r="R871" s="14" t="n">
        <x:v>21522688</x:v>
      </x:c>
      <x:c r="S871" s="14" t="n">
        <x:f>P871*'공식·설정'!$B$12+'공식·설정'!$B$14</x:f>
        <x:v>21522688</x:v>
      </x:c>
      <x:c r="T871" s="68" t="n">
        <x:f>S871-R871</x:f>
        <x:v>0</x:v>
      </x:c>
      <x:c r="U871" s="65" t="n">
        <x:f>R871/'공식·설정'!$B$7</x:f>
        <x:v>84073</x:v>
      </x:c>
      <x:c r="V871" s="65" t="n">
        <x:f>S871/'공식·설정'!$B$7</x:f>
        <x:v>84073</x:v>
      </x:c>
      <x:c r="W871" s="14" t="n">
        <x:v>698</x:v>
      </x:c>
      <x:c r="X871" s="14" t="n">
        <x:f>INT(ABS(K872-K871)*'공식·설정'!$B$8/K871)</x:f>
        <x:v>698</x:v>
      </x:c>
      <x:c r="Y871" s="68" t="n">
        <x:f>X871-W871</x:f>
        <x:v>0</x:v>
      </x:c>
      <x:c r="Z871" s="66" t="n">
        <x:f>W871/'공식·설정'!$B$8</x:f>
        <x:v>0.010650634765625</x:v>
      </x:c>
      <x:c r="AA871" s="66" t="n">
        <x:f>X871/'공식·설정'!$B$8</x:f>
        <x:v>0.010650634765625</x:v>
      </x:c>
      <x:c r="AB871" s="67" t="str">
        <x:f>IF(AND(I871=0,L871=0,Q871=0,T871=0,Y871=0),"PASS","FAIL")</x:f>
        <x:v>PASS</x:v>
      </x:c>
    </x:row>
    <x:row r="872" ht="18" customHeight="1">
      <x:c r="A872" s="14" t="n">
        <x:v>975</x:v>
      </x:c>
      <x:c r="B872" s="14" t="n">
        <x:v>867</x:v>
      </x:c>
      <x:c r="C872" s="14" t="n">
        <x:v>966</x:v>
      </x:c>
      <x:c r="D872" s="14" t="n">
        <x:v>3022875</x:v>
      </x:c>
      <x:c r="E872" s="14" t="n">
        <x:v>980</x:v>
      </x:c>
      <x:c r="F872" s="14" t="n">
        <x:v>3515984</x:v>
      </x:c>
      <x:c r="G872" s="14" t="n">
        <x:v>3339873</x:v>
      </x:c>
      <x:c r="H872" s="14" t="n">
        <x:f>INT((F872-D872)*(A872-C872)/(E872-C872))+D872</x:f>
        <x:v>3339873</x:v>
      </x:c>
      <x:c r="I872" s="68" t="n">
        <x:f>H872-G872</x:f>
        <x:v>0</x:v>
      </x:c>
      <x:c r="J872" s="14" t="n">
        <x:v>21743515</x:v>
      </x:c>
      <x:c r="K872" s="14" t="n">
        <x:f>INT(H872*'공식·설정'!$B$10/'공식·설정'!$B$15)</x:f>
        <x:v>21743515</x:v>
      </x:c>
      <x:c r="L872" s="68" t="n">
        <x:f>K872-J872</x:f>
        <x:v>0</x:v>
      </x:c>
      <x:c r="M872" s="65" t="n">
        <x:f>J872/'공식·설정'!$B$7</x:f>
        <x:v>84935.60546875</x:v>
      </x:c>
      <x:c r="N872" s="65" t="n">
        <x:f>K872/'공식·설정'!$B$7</x:f>
        <x:v>84935.60546875</x:v>
      </x:c>
      <x:c r="O872" s="14" t="n">
        <x:v>8494</x:v>
      </x:c>
      <x:c r="P872" s="14" t="n">
        <x:f>MIN(32767,MAX(0,INT((K872+INT('공식·설정'!$B$12/2))/'공식·설정'!$B$12)))</x:f>
        <x:v>8494</x:v>
      </x:c>
      <x:c r="Q872" s="68" t="n">
        <x:f>P872-O872</x:f>
        <x:v>0</x:v>
      </x:c>
      <x:c r="R872" s="14" t="n">
        <x:v>21753088</x:v>
      </x:c>
      <x:c r="S872" s="14" t="n">
        <x:f>P872*'공식·설정'!$B$12+'공식·설정'!$B$14</x:f>
        <x:v>21753088</x:v>
      </x:c>
      <x:c r="T872" s="68" t="n">
        <x:f>S872-R872</x:f>
        <x:v>0</x:v>
      </x:c>
      <x:c r="U872" s="65" t="n">
        <x:f>R872/'공식·설정'!$B$7</x:f>
        <x:v>84973</x:v>
      </x:c>
      <x:c r="V872" s="65" t="n">
        <x:f>S872/'공식·설정'!$B$7</x:f>
        <x:v>84973</x:v>
      </x:c>
      <x:c r="W872" s="14" t="n">
        <x:v>691</x:v>
      </x:c>
      <x:c r="X872" s="14" t="n">
        <x:f>INT(ABS(K873-K872)*'공식·설정'!$B$8/K872)</x:f>
        <x:v>691</x:v>
      </x:c>
      <x:c r="Y872" s="68" t="n">
        <x:f>X872-W872</x:f>
        <x:v>0</x:v>
      </x:c>
      <x:c r="Z872" s="66" t="n">
        <x:f>W872/'공식·설정'!$B$8</x:f>
        <x:v>0.0105438232421875</x:v>
      </x:c>
      <x:c r="AA872" s="66" t="n">
        <x:f>X872/'공식·설정'!$B$8</x:f>
        <x:v>0.0105438232421875</x:v>
      </x:c>
      <x:c r="AB872" s="67" t="str">
        <x:f>IF(AND(I872=0,L872=0,Q872=0,T872=0,Y872=0),"PASS","FAIL")</x:f>
        <x:v>PASS</x:v>
      </x:c>
    </x:row>
    <x:row r="873" ht="18" customHeight="1">
      <x:c r="A873" s="14" t="n">
        <x:v>976</x:v>
      </x:c>
      <x:c r="B873" s="14" t="n">
        <x:v>868</x:v>
      </x:c>
      <x:c r="C873" s="14" t="n">
        <x:v>966</x:v>
      </x:c>
      <x:c r="D873" s="14" t="n">
        <x:v>3022875</x:v>
      </x:c>
      <x:c r="E873" s="14" t="n">
        <x:v>980</x:v>
      </x:c>
      <x:c r="F873" s="14" t="n">
        <x:v>3515984</x:v>
      </x:c>
      <x:c r="G873" s="14" t="n">
        <x:v>3375095</x:v>
      </x:c>
      <x:c r="H873" s="14" t="n">
        <x:f>INT((F873-D873)*(A873-C873)/(E873-C873))+D873</x:f>
        <x:v>3375095</x:v>
      </x:c>
      <x:c r="I873" s="68" t="n">
        <x:f>H873-G873</x:f>
        <x:v>0</x:v>
      </x:c>
      <x:c r="J873" s="14" t="n">
        <x:v>21972820</x:v>
      </x:c>
      <x:c r="K873" s="14" t="n">
        <x:f>INT(H873*'공식·설정'!$B$10/'공식·설정'!$B$15)</x:f>
        <x:v>21972820</x:v>
      </x:c>
      <x:c r="L873" s="68" t="n">
        <x:f>K873-J873</x:f>
        <x:v>0</x:v>
      </x:c>
      <x:c r="M873" s="65" t="n">
        <x:f>J873/'공식·설정'!$B$7</x:f>
        <x:v>85831.328125</x:v>
      </x:c>
      <x:c r="N873" s="65" t="n">
        <x:f>K873/'공식·설정'!$B$7</x:f>
        <x:v>85831.328125</x:v>
      </x:c>
      <x:c r="O873" s="14" t="n">
        <x:v>8583</x:v>
      </x:c>
      <x:c r="P873" s="14" t="n">
        <x:f>MIN(32767,MAX(0,INT((K873+INT('공식·설정'!$B$12/2))/'공식·설정'!$B$12)))</x:f>
        <x:v>8583</x:v>
      </x:c>
      <x:c r="Q873" s="68" t="n">
        <x:f>P873-O873</x:f>
        <x:v>0</x:v>
      </x:c>
      <x:c r="R873" s="14" t="n">
        <x:v>21980928</x:v>
      </x:c>
      <x:c r="S873" s="14" t="n">
        <x:f>P873*'공식·설정'!$B$12+'공식·설정'!$B$14</x:f>
        <x:v>21980928</x:v>
      </x:c>
      <x:c r="T873" s="68" t="n">
        <x:f>S873-R873</x:f>
        <x:v>0</x:v>
      </x:c>
      <x:c r="U873" s="65" t="n">
        <x:f>R873/'공식·설정'!$B$7</x:f>
        <x:v>85863</x:v>
      </x:c>
      <x:c r="V873" s="65" t="n">
        <x:f>S873/'공식·설정'!$B$7</x:f>
        <x:v>85863</x:v>
      </x:c>
      <x:c r="W873" s="14" t="n">
        <x:v>683</x:v>
      </x:c>
      <x:c r="X873" s="14" t="n">
        <x:f>INT(ABS(K874-K873)*'공식·설정'!$B$8/K873)</x:f>
        <x:v>683</x:v>
      </x:c>
      <x:c r="Y873" s="68" t="n">
        <x:f>X873-W873</x:f>
        <x:v>0</x:v>
      </x:c>
      <x:c r="Z873" s="66" t="n">
        <x:f>W873/'공식·설정'!$B$8</x:f>
        <x:v>0.0104217529296875</x:v>
      </x:c>
      <x:c r="AA873" s="66" t="n">
        <x:f>X873/'공식·설정'!$B$8</x:f>
        <x:v>0.0104217529296875</x:v>
      </x:c>
      <x:c r="AB873" s="67" t="str">
        <x:f>IF(AND(I873=0,L873=0,Q873=0,T873=0,Y873=0),"PASS","FAIL")</x:f>
        <x:v>PASS</x:v>
      </x:c>
    </x:row>
    <x:row r="874" ht="18" customHeight="1">
      <x:c r="A874" s="14" t="n">
        <x:v>977</x:v>
      </x:c>
      <x:c r="B874" s="14" t="n">
        <x:v>869</x:v>
      </x:c>
      <x:c r="C874" s="14" t="n">
        <x:v>966</x:v>
      </x:c>
      <x:c r="D874" s="14" t="n">
        <x:v>3022875</x:v>
      </x:c>
      <x:c r="E874" s="14" t="n">
        <x:v>980</x:v>
      </x:c>
      <x:c r="F874" s="14" t="n">
        <x:v>3515984</x:v>
      </x:c>
      <x:c r="G874" s="14" t="n">
        <x:v>3410317</x:v>
      </x:c>
      <x:c r="H874" s="14" t="n">
        <x:f>INT((F874-D874)*(A874-C874)/(E874-C874))+D874</x:f>
        <x:v>3410317</x:v>
      </x:c>
      <x:c r="I874" s="68" t="n">
        <x:f>H874-G874</x:f>
        <x:v>0</x:v>
      </x:c>
      <x:c r="J874" s="14" t="n">
        <x:v>22202125</x:v>
      </x:c>
      <x:c r="K874" s="14" t="n">
        <x:f>INT(H874*'공식·설정'!$B$10/'공식·설정'!$B$15)</x:f>
        <x:v>22202125</x:v>
      </x:c>
      <x:c r="L874" s="68" t="n">
        <x:f>K874-J874</x:f>
        <x:v>0</x:v>
      </x:c>
      <x:c r="M874" s="65" t="n">
        <x:f>J874/'공식·설정'!$B$7</x:f>
        <x:v>86727.05078125</x:v>
      </x:c>
      <x:c r="N874" s="65" t="n">
        <x:f>K874/'공식·설정'!$B$7</x:f>
        <x:v>86727.05078125</x:v>
      </x:c>
      <x:c r="O874" s="14" t="n">
        <x:v>8673</x:v>
      </x:c>
      <x:c r="P874" s="14" t="n">
        <x:f>MIN(32767,MAX(0,INT((K874+INT('공식·설정'!$B$12/2))/'공식·설정'!$B$12)))</x:f>
        <x:v>8673</x:v>
      </x:c>
      <x:c r="Q874" s="68" t="n">
        <x:f>P874-O874</x:f>
        <x:v>0</x:v>
      </x:c>
      <x:c r="R874" s="14" t="n">
        <x:v>22211328</x:v>
      </x:c>
      <x:c r="S874" s="14" t="n">
        <x:f>P874*'공식·설정'!$B$12+'공식·설정'!$B$14</x:f>
        <x:v>22211328</x:v>
      </x:c>
      <x:c r="T874" s="68" t="n">
        <x:f>S874-R874</x:f>
        <x:v>0</x:v>
      </x:c>
      <x:c r="U874" s="65" t="n">
        <x:f>R874/'공식·설정'!$B$7</x:f>
        <x:v>86763</x:v>
      </x:c>
      <x:c r="V874" s="65" t="n">
        <x:f>S874/'공식·설정'!$B$7</x:f>
        <x:v>86763</x:v>
      </x:c>
      <x:c r="W874" s="14" t="n">
        <x:v>676</x:v>
      </x:c>
      <x:c r="X874" s="14" t="n">
        <x:f>INT(ABS(K875-K874)*'공식·설정'!$B$8/K874)</x:f>
        <x:v>676</x:v>
      </x:c>
      <x:c r="Y874" s="68" t="n">
        <x:f>X874-W874</x:f>
        <x:v>0</x:v>
      </x:c>
      <x:c r="Z874" s="66" t="n">
        <x:f>W874/'공식·설정'!$B$8</x:f>
        <x:v>0.01031494140625</x:v>
      </x:c>
      <x:c r="AA874" s="66" t="n">
        <x:f>X874/'공식·설정'!$B$8</x:f>
        <x:v>0.01031494140625</x:v>
      </x:c>
      <x:c r="AB874" s="67" t="str">
        <x:f>IF(AND(I874=0,L874=0,Q874=0,T874=0,Y874=0),"PASS","FAIL")</x:f>
        <x:v>PASS</x:v>
      </x:c>
    </x:row>
    <x:row r="875" ht="18" customHeight="1">
      <x:c r="A875" s="14" t="n">
        <x:v>978</x:v>
      </x:c>
      <x:c r="B875" s="14" t="n">
        <x:v>870</x:v>
      </x:c>
      <x:c r="C875" s="14" t="n">
        <x:v>966</x:v>
      </x:c>
      <x:c r="D875" s="14" t="n">
        <x:v>3022875</x:v>
      </x:c>
      <x:c r="E875" s="14" t="n">
        <x:v>980</x:v>
      </x:c>
      <x:c r="F875" s="14" t="n">
        <x:v>3515984</x:v>
      </x:c>
      <x:c r="G875" s="14" t="n">
        <x:v>3445539</x:v>
      </x:c>
      <x:c r="H875" s="14" t="n">
        <x:f>INT((F875-D875)*(A875-C875)/(E875-C875))+D875</x:f>
        <x:v>3445539</x:v>
      </x:c>
      <x:c r="I875" s="68" t="n">
        <x:f>H875-G875</x:f>
        <x:v>0</x:v>
      </x:c>
      <x:c r="J875" s="14" t="n">
        <x:v>22431430</x:v>
      </x:c>
      <x:c r="K875" s="14" t="n">
        <x:f>INT(H875*'공식·설정'!$B$10/'공식·설정'!$B$15)</x:f>
        <x:v>22431430</x:v>
      </x:c>
      <x:c r="L875" s="68" t="n">
        <x:f>K875-J875</x:f>
        <x:v>0</x:v>
      </x:c>
      <x:c r="M875" s="65" t="n">
        <x:f>J875/'공식·설정'!$B$7</x:f>
        <x:v>87622.7734375</x:v>
      </x:c>
      <x:c r="N875" s="65" t="n">
        <x:f>K875/'공식·설정'!$B$7</x:f>
        <x:v>87622.7734375</x:v>
      </x:c>
      <x:c r="O875" s="14" t="n">
        <x:v>8762</x:v>
      </x:c>
      <x:c r="P875" s="14" t="n">
        <x:f>MIN(32767,MAX(0,INT((K875+INT('공식·설정'!$B$12/2))/'공식·설정'!$B$12)))</x:f>
        <x:v>8762</x:v>
      </x:c>
      <x:c r="Q875" s="68" t="n">
        <x:f>P875-O875</x:f>
        <x:v>0</x:v>
      </x:c>
      <x:c r="R875" s="14" t="n">
        <x:v>22439168</x:v>
      </x:c>
      <x:c r="S875" s="14" t="n">
        <x:f>P875*'공식·설정'!$B$12+'공식·설정'!$B$14</x:f>
        <x:v>22439168</x:v>
      </x:c>
      <x:c r="T875" s="68" t="n">
        <x:f>S875-R875</x:f>
        <x:v>0</x:v>
      </x:c>
      <x:c r="U875" s="65" t="n">
        <x:f>R875/'공식·설정'!$B$7</x:f>
        <x:v>87653</x:v>
      </x:c>
      <x:c r="V875" s="65" t="n">
        <x:f>S875/'공식·설정'!$B$7</x:f>
        <x:v>87653</x:v>
      </x:c>
      <x:c r="W875" s="14" t="n">
        <x:v>669</x:v>
      </x:c>
      <x:c r="X875" s="14" t="n">
        <x:f>INT(ABS(K876-K875)*'공식·설정'!$B$8/K875)</x:f>
        <x:v>669</x:v>
      </x:c>
      <x:c r="Y875" s="68" t="n">
        <x:f>X875-W875</x:f>
        <x:v>0</x:v>
      </x:c>
      <x:c r="Z875" s="66" t="n">
        <x:f>W875/'공식·설정'!$B$8</x:f>
        <x:v>0.0102081298828125</x:v>
      </x:c>
      <x:c r="AA875" s="66" t="n">
        <x:f>X875/'공식·설정'!$B$8</x:f>
        <x:v>0.0102081298828125</x:v>
      </x:c>
      <x:c r="AB875" s="67" t="str">
        <x:f>IF(AND(I875=0,L875=0,Q875=0,T875=0,Y875=0),"PASS","FAIL")</x:f>
        <x:v>PASS</x:v>
      </x:c>
    </x:row>
    <x:row r="876" ht="18" customHeight="1">
      <x:c r="A876" s="14" t="n">
        <x:v>979</x:v>
      </x:c>
      <x:c r="B876" s="14" t="n">
        <x:v>871</x:v>
      </x:c>
      <x:c r="C876" s="14" t="n">
        <x:v>966</x:v>
      </x:c>
      <x:c r="D876" s="14" t="n">
        <x:v>3022875</x:v>
      </x:c>
      <x:c r="E876" s="14" t="n">
        <x:v>980</x:v>
      </x:c>
      <x:c r="F876" s="14" t="n">
        <x:v>3515984</x:v>
      </x:c>
      <x:c r="G876" s="14" t="n">
        <x:v>3480761</x:v>
      </x:c>
      <x:c r="H876" s="14" t="n">
        <x:f>INT((F876-D876)*(A876-C876)/(E876-C876))+D876</x:f>
        <x:v>3480761</x:v>
      </x:c>
      <x:c r="I876" s="68" t="n">
        <x:f>H876-G876</x:f>
        <x:v>0</x:v>
      </x:c>
      <x:c r="J876" s="14" t="n">
        <x:v>22660735</x:v>
      </x:c>
      <x:c r="K876" s="14" t="n">
        <x:f>INT(H876*'공식·설정'!$B$10/'공식·설정'!$B$15)</x:f>
        <x:v>22660735</x:v>
      </x:c>
      <x:c r="L876" s="68" t="n">
        <x:f>K876-J876</x:f>
        <x:v>0</x:v>
      </x:c>
      <x:c r="M876" s="65" t="n">
        <x:f>J876/'공식·설정'!$B$7</x:f>
        <x:v>88518.49609375</x:v>
      </x:c>
      <x:c r="N876" s="65" t="n">
        <x:f>K876/'공식·설정'!$B$7</x:f>
        <x:v>88518.49609375</x:v>
      </x:c>
      <x:c r="O876" s="14" t="n">
        <x:v>8852</x:v>
      </x:c>
      <x:c r="P876" s="14" t="n">
        <x:f>MIN(32767,MAX(0,INT((K876+INT('공식·설정'!$B$12/2))/'공식·설정'!$B$12)))</x:f>
        <x:v>8852</x:v>
      </x:c>
      <x:c r="Q876" s="68" t="n">
        <x:f>P876-O876</x:f>
        <x:v>0</x:v>
      </x:c>
      <x:c r="R876" s="14" t="n">
        <x:v>22669568</x:v>
      </x:c>
      <x:c r="S876" s="14" t="n">
        <x:f>P876*'공식·설정'!$B$12+'공식·설정'!$B$14</x:f>
        <x:v>22669568</x:v>
      </x:c>
      <x:c r="T876" s="68" t="n">
        <x:f>S876-R876</x:f>
        <x:v>0</x:v>
      </x:c>
      <x:c r="U876" s="65" t="n">
        <x:f>R876/'공식·설정'!$B$7</x:f>
        <x:v>88553</x:v>
      </x:c>
      <x:c r="V876" s="65" t="n">
        <x:f>S876/'공식·설정'!$B$7</x:f>
        <x:v>88553</x:v>
      </x:c>
      <x:c r="W876" s="14" t="n">
        <x:v>663</x:v>
      </x:c>
      <x:c r="X876" s="14" t="n">
        <x:f>INT(ABS(K877-K876)*'공식·설정'!$B$8/K876)</x:f>
        <x:v>663</x:v>
      </x:c>
      <x:c r="Y876" s="68" t="n">
        <x:f>X876-W876</x:f>
        <x:v>0</x:v>
      </x:c>
      <x:c r="Z876" s="66" t="n">
        <x:f>W876/'공식·설정'!$B$8</x:f>
        <x:v>0.0101165771484375</x:v>
      </x:c>
      <x:c r="AA876" s="66" t="n">
        <x:f>X876/'공식·설정'!$B$8</x:f>
        <x:v>0.0101165771484375</x:v>
      </x:c>
      <x:c r="AB876" s="67" t="str">
        <x:f>IF(AND(I876=0,L876=0,Q876=0,T876=0,Y876=0),"PASS","FAIL")</x:f>
        <x:v>PASS</x:v>
      </x:c>
    </x:row>
    <x:row r="877" ht="18" customHeight="1">
      <x:c r="A877" s="14" t="n">
        <x:v>980</x:v>
      </x:c>
      <x:c r="B877" s="14" t="n">
        <x:v>872</x:v>
      </x:c>
      <x:c r="C877" s="14" t="n">
        <x:v>980</x:v>
      </x:c>
      <x:c r="D877" s="14" t="n">
        <x:v>3515984</x:v>
      </x:c>
      <x:c r="E877" s="14" t="n">
        <x:v>994</x:v>
      </x:c>
      <x:c r="F877" s="14" t="n">
        <x:v>4089531</x:v>
      </x:c>
      <x:c r="G877" s="14" t="n">
        <x:v>3515984</x:v>
      </x:c>
      <x:c r="H877" s="14" t="n">
        <x:f>INT((F877-D877)*(A877-C877)/(E877-C877))+D877</x:f>
        <x:v>3515984</x:v>
      </x:c>
      <x:c r="I877" s="68" t="n">
        <x:f>H877-G877</x:f>
        <x:v>0</x:v>
      </x:c>
      <x:c r="J877" s="14" t="n">
        <x:v>22890047</x:v>
      </x:c>
      <x:c r="K877" s="14" t="n">
        <x:f>INT(H877*'공식·설정'!$B$10/'공식·설정'!$B$15)</x:f>
        <x:v>22890047</x:v>
      </x:c>
      <x:c r="L877" s="68" t="n">
        <x:f>K877-J877</x:f>
        <x:v>0</x:v>
      </x:c>
      <x:c r="M877" s="65" t="n">
        <x:f>J877/'공식·설정'!$B$7</x:f>
        <x:v>89414.24609375</x:v>
      </x:c>
      <x:c r="N877" s="65" t="n">
        <x:f>K877/'공식·설정'!$B$7</x:f>
        <x:v>89414.24609375</x:v>
      </x:c>
      <x:c r="O877" s="14" t="n">
        <x:v>8941</x:v>
      </x:c>
      <x:c r="P877" s="14" t="n">
        <x:f>MIN(32767,MAX(0,INT((K877+INT('공식·설정'!$B$12/2))/'공식·설정'!$B$12)))</x:f>
        <x:v>8941</x:v>
      </x:c>
      <x:c r="Q877" s="68" t="n">
        <x:f>P877-O877</x:f>
        <x:v>0</x:v>
      </x:c>
      <x:c r="R877" s="14" t="n">
        <x:v>22897408</x:v>
      </x:c>
      <x:c r="S877" s="14" t="n">
        <x:f>P877*'공식·설정'!$B$12+'공식·설정'!$B$14</x:f>
        <x:v>22897408</x:v>
      </x:c>
      <x:c r="T877" s="68" t="n">
        <x:f>S877-R877</x:f>
        <x:v>0</x:v>
      </x:c>
      <x:c r="U877" s="65" t="n">
        <x:f>R877/'공식·설정'!$B$7</x:f>
        <x:v>89443</x:v>
      </x:c>
      <x:c r="V877" s="65" t="n">
        <x:f>S877/'공식·설정'!$B$7</x:f>
        <x:v>89443</x:v>
      </x:c>
      <x:c r="W877" s="14" t="n">
        <x:v>763</x:v>
      </x:c>
      <x:c r="X877" s="14" t="n">
        <x:f>INT(ABS(K878-K877)*'공식·설정'!$B$8/K877)</x:f>
        <x:v>763</x:v>
      </x:c>
      <x:c r="Y877" s="68" t="n">
        <x:f>X877-W877</x:f>
        <x:v>0</x:v>
      </x:c>
      <x:c r="Z877" s="66" t="n">
        <x:f>W877/'공식·설정'!$B$8</x:f>
        <x:v>0.0116424560546875</x:v>
      </x:c>
      <x:c r="AA877" s="66" t="n">
        <x:f>X877/'공식·설정'!$B$8</x:f>
        <x:v>0.0116424560546875</x:v>
      </x:c>
      <x:c r="AB877" s="67" t="str">
        <x:f>IF(AND(I877=0,L877=0,Q877=0,T877=0,Y877=0),"PASS","FAIL")</x:f>
        <x:v>PASS</x:v>
      </x:c>
    </x:row>
    <x:row r="878" ht="18" customHeight="1">
      <x:c r="A878" s="14" t="n">
        <x:v>981</x:v>
      </x:c>
      <x:c r="B878" s="14" t="n">
        <x:v>873</x:v>
      </x:c>
      <x:c r="C878" s="14" t="n">
        <x:v>980</x:v>
      </x:c>
      <x:c r="D878" s="14" t="n">
        <x:v>3515984</x:v>
      </x:c>
      <x:c r="E878" s="14" t="n">
        <x:v>994</x:v>
      </x:c>
      <x:c r="F878" s="14" t="n">
        <x:v>4089531</x:v>
      </x:c>
      <x:c r="G878" s="14" t="n">
        <x:v>3556951</x:v>
      </x:c>
      <x:c r="H878" s="14" t="n">
        <x:f>INT((F878-D878)*(A878-C878)/(E878-C878))+D878</x:f>
        <x:v>3556951</x:v>
      </x:c>
      <x:c r="I878" s="68" t="n">
        <x:f>H878-G878</x:f>
        <x:v>0</x:v>
      </x:c>
      <x:c r="J878" s="14" t="n">
        <x:v>23156754</x:v>
      </x:c>
      <x:c r="K878" s="14" t="n">
        <x:f>INT(H878*'공식·설정'!$B$10/'공식·설정'!$B$15)</x:f>
        <x:v>23156754</x:v>
      </x:c>
      <x:c r="L878" s="68" t="n">
        <x:f>K878-J878</x:f>
        <x:v>0</x:v>
      </x:c>
      <x:c r="M878" s="65" t="n">
        <x:f>J878/'공식·설정'!$B$7</x:f>
        <x:v>90456.0703125</x:v>
      </x:c>
      <x:c r="N878" s="65" t="n">
        <x:f>K878/'공식·설정'!$B$7</x:f>
        <x:v>90456.0703125</x:v>
      </x:c>
      <x:c r="O878" s="14" t="n">
        <x:v>9046</x:v>
      </x:c>
      <x:c r="P878" s="14" t="n">
        <x:f>MIN(32767,MAX(0,INT((K878+INT('공식·설정'!$B$12/2))/'공식·설정'!$B$12)))</x:f>
        <x:v>9046</x:v>
      </x:c>
      <x:c r="Q878" s="68" t="n">
        <x:f>P878-O878</x:f>
        <x:v>0</x:v>
      </x:c>
      <x:c r="R878" s="14" t="n">
        <x:v>23166208</x:v>
      </x:c>
      <x:c r="S878" s="14" t="n">
        <x:f>P878*'공식·설정'!$B$12+'공식·설정'!$B$14</x:f>
        <x:v>23166208</x:v>
      </x:c>
      <x:c r="T878" s="68" t="n">
        <x:f>S878-R878</x:f>
        <x:v>0</x:v>
      </x:c>
      <x:c r="U878" s="65" t="n">
        <x:f>R878/'공식·설정'!$B$7</x:f>
        <x:v>90493</x:v>
      </x:c>
      <x:c r="V878" s="65" t="n">
        <x:f>S878/'공식·설정'!$B$7</x:f>
        <x:v>90493</x:v>
      </x:c>
      <x:c r="W878" s="14" t="n">
        <x:v>754</x:v>
      </x:c>
      <x:c r="X878" s="14" t="n">
        <x:f>INT(ABS(K879-K878)*'공식·설정'!$B$8/K878)</x:f>
        <x:v>754</x:v>
      </x:c>
      <x:c r="Y878" s="68" t="n">
        <x:f>X878-W878</x:f>
        <x:v>0</x:v>
      </x:c>
      <x:c r="Z878" s="66" t="n">
        <x:f>W878/'공식·설정'!$B$8</x:f>
        <x:v>0.011505126953125</x:v>
      </x:c>
      <x:c r="AA878" s="66" t="n">
        <x:f>X878/'공식·설정'!$B$8</x:f>
        <x:v>0.011505126953125</x:v>
      </x:c>
      <x:c r="AB878" s="67" t="str">
        <x:f>IF(AND(I878=0,L878=0,Q878=0,T878=0,Y878=0),"PASS","FAIL")</x:f>
        <x:v>PASS</x:v>
      </x:c>
    </x:row>
    <x:row r="879" ht="18" customHeight="1">
      <x:c r="A879" s="14" t="n">
        <x:v>982</x:v>
      </x:c>
      <x:c r="B879" s="14" t="n">
        <x:v>874</x:v>
      </x:c>
      <x:c r="C879" s="14" t="n">
        <x:v>980</x:v>
      </x:c>
      <x:c r="D879" s="14" t="n">
        <x:v>3515984</x:v>
      </x:c>
      <x:c r="E879" s="14" t="n">
        <x:v>994</x:v>
      </x:c>
      <x:c r="F879" s="14" t="n">
        <x:v>4089531</x:v>
      </x:c>
      <x:c r="G879" s="14" t="n">
        <x:v>3597919</x:v>
      </x:c>
      <x:c r="H879" s="14" t="n">
        <x:f>INT((F879-D879)*(A879-C879)/(E879-C879))+D879</x:f>
        <x:v>3597919</x:v>
      </x:c>
      <x:c r="I879" s="68" t="n">
        <x:f>H879-G879</x:f>
        <x:v>0</x:v>
      </x:c>
      <x:c r="J879" s="14" t="n">
        <x:v>23423467</x:v>
      </x:c>
      <x:c r="K879" s="14" t="n">
        <x:f>INT(H879*'공식·설정'!$B$10/'공식·설정'!$B$15)</x:f>
        <x:v>23423467</x:v>
      </x:c>
      <x:c r="L879" s="68" t="n">
        <x:f>K879-J879</x:f>
        <x:v>0</x:v>
      </x:c>
      <x:c r="M879" s="65" t="n">
        <x:f>J879/'공식·설정'!$B$7</x:f>
        <x:v>91497.91796875</x:v>
      </x:c>
      <x:c r="N879" s="65" t="n">
        <x:f>K879/'공식·설정'!$B$7</x:f>
        <x:v>91497.91796875</x:v>
      </x:c>
      <x:c r="O879" s="14" t="n">
        <x:v>9150</x:v>
      </x:c>
      <x:c r="P879" s="14" t="n">
        <x:f>MIN(32767,MAX(0,INT((K879+INT('공식·설정'!$B$12/2))/'공식·설정'!$B$12)))</x:f>
        <x:v>9150</x:v>
      </x:c>
      <x:c r="Q879" s="68" t="n">
        <x:f>P879-O879</x:f>
        <x:v>0</x:v>
      </x:c>
      <x:c r="R879" s="14" t="n">
        <x:v>23432448</x:v>
      </x:c>
      <x:c r="S879" s="14" t="n">
        <x:f>P879*'공식·설정'!$B$12+'공식·설정'!$B$14</x:f>
        <x:v>23432448</x:v>
      </x:c>
      <x:c r="T879" s="68" t="n">
        <x:f>S879-R879</x:f>
        <x:v>0</x:v>
      </x:c>
      <x:c r="U879" s="65" t="n">
        <x:f>R879/'공식·설정'!$B$7</x:f>
        <x:v>91533</x:v>
      </x:c>
      <x:c r="V879" s="65" t="n">
        <x:f>S879/'공식·설정'!$B$7</x:f>
        <x:v>91533</x:v>
      </x:c>
      <x:c r="W879" s="14" t="n">
        <x:v>746</x:v>
      </x:c>
      <x:c r="X879" s="14" t="n">
        <x:f>INT(ABS(K880-K879)*'공식·설정'!$B$8/K879)</x:f>
        <x:v>746</x:v>
      </x:c>
      <x:c r="Y879" s="68" t="n">
        <x:f>X879-W879</x:f>
        <x:v>0</x:v>
      </x:c>
      <x:c r="Z879" s="66" t="n">
        <x:f>W879/'공식·설정'!$B$8</x:f>
        <x:v>0.011383056640625</x:v>
      </x:c>
      <x:c r="AA879" s="66" t="n">
        <x:f>X879/'공식·설정'!$B$8</x:f>
        <x:v>0.011383056640625</x:v>
      </x:c>
      <x:c r="AB879" s="67" t="str">
        <x:f>IF(AND(I879=0,L879=0,Q879=0,T879=0,Y879=0),"PASS","FAIL")</x:f>
        <x:v>PASS</x:v>
      </x:c>
    </x:row>
    <x:row r="880" ht="18" customHeight="1">
      <x:c r="A880" s="14" t="n">
        <x:v>983</x:v>
      </x:c>
      <x:c r="B880" s="14" t="n">
        <x:v>875</x:v>
      </x:c>
      <x:c r="C880" s="14" t="n">
        <x:v>980</x:v>
      </x:c>
      <x:c r="D880" s="14" t="n">
        <x:v>3515984</x:v>
      </x:c>
      <x:c r="E880" s="14" t="n">
        <x:v>994</x:v>
      </x:c>
      <x:c r="F880" s="14" t="n">
        <x:v>4089531</x:v>
      </x:c>
      <x:c r="G880" s="14" t="n">
        <x:v>3638886</x:v>
      </x:c>
      <x:c r="H880" s="14" t="n">
        <x:f>INT((F880-D880)*(A880-C880)/(E880-C880))+D880</x:f>
        <x:v>3638886</x:v>
      </x:c>
      <x:c r="I880" s="68" t="n">
        <x:f>H880-G880</x:f>
        <x:v>0</x:v>
      </x:c>
      <x:c r="J880" s="14" t="n">
        <x:v>23690173</x:v>
      </x:c>
      <x:c r="K880" s="14" t="n">
        <x:f>INT(H880*'공식·설정'!$B$10/'공식·설정'!$B$15)</x:f>
        <x:v>23690173</x:v>
      </x:c>
      <x:c r="L880" s="68" t="n">
        <x:f>K880-J880</x:f>
        <x:v>0</x:v>
      </x:c>
      <x:c r="M880" s="65" t="n">
        <x:f>J880/'공식·설정'!$B$7</x:f>
        <x:v>92539.73828125</x:v>
      </x:c>
      <x:c r="N880" s="65" t="n">
        <x:f>K880/'공식·설정'!$B$7</x:f>
        <x:v>92539.73828125</x:v>
      </x:c>
      <x:c r="O880" s="14" t="n">
        <x:v>9254</x:v>
      </x:c>
      <x:c r="P880" s="14" t="n">
        <x:f>MIN(32767,MAX(0,INT((K880+INT('공식·설정'!$B$12/2))/'공식·설정'!$B$12)))</x:f>
        <x:v>9254</x:v>
      </x:c>
      <x:c r="Q880" s="68" t="n">
        <x:f>P880-O880</x:f>
        <x:v>0</x:v>
      </x:c>
      <x:c r="R880" s="14" t="n">
        <x:v>23698688</x:v>
      </x:c>
      <x:c r="S880" s="14" t="n">
        <x:f>P880*'공식·설정'!$B$12+'공식·설정'!$B$14</x:f>
        <x:v>23698688</x:v>
      </x:c>
      <x:c r="T880" s="68" t="n">
        <x:f>S880-R880</x:f>
        <x:v>0</x:v>
      </x:c>
      <x:c r="U880" s="65" t="n">
        <x:f>R880/'공식·설정'!$B$7</x:f>
        <x:v>92573</x:v>
      </x:c>
      <x:c r="V880" s="65" t="n">
        <x:f>S880/'공식·설정'!$B$7</x:f>
        <x:v>92573</x:v>
      </x:c>
      <x:c r="W880" s="14" t="n">
        <x:v>737</x:v>
      </x:c>
      <x:c r="X880" s="14" t="n">
        <x:f>INT(ABS(K881-K880)*'공식·설정'!$B$8/K880)</x:f>
        <x:v>737</x:v>
      </x:c>
      <x:c r="Y880" s="68" t="n">
        <x:f>X880-W880</x:f>
        <x:v>0</x:v>
      </x:c>
      <x:c r="Z880" s="66" t="n">
        <x:f>W880/'공식·설정'!$B$8</x:f>
        <x:v>0.0112457275390625</x:v>
      </x:c>
      <x:c r="AA880" s="66" t="n">
        <x:f>X880/'공식·설정'!$B$8</x:f>
        <x:v>0.0112457275390625</x:v>
      </x:c>
      <x:c r="AB880" s="67" t="str">
        <x:f>IF(AND(I880=0,L880=0,Q880=0,T880=0,Y880=0),"PASS","FAIL")</x:f>
        <x:v>PASS</x:v>
      </x:c>
    </x:row>
    <x:row r="881" ht="18" customHeight="1">
      <x:c r="A881" s="14" t="n">
        <x:v>984</x:v>
      </x:c>
      <x:c r="B881" s="14" t="n">
        <x:v>876</x:v>
      </x:c>
      <x:c r="C881" s="14" t="n">
        <x:v>980</x:v>
      </x:c>
      <x:c r="D881" s="14" t="n">
        <x:v>3515984</x:v>
      </x:c>
      <x:c r="E881" s="14" t="n">
        <x:v>994</x:v>
      </x:c>
      <x:c r="F881" s="14" t="n">
        <x:v>4089531</x:v>
      </x:c>
      <x:c r="G881" s="14" t="n">
        <x:v>3679854</x:v>
      </x:c>
      <x:c r="H881" s="14" t="n">
        <x:f>INT((F881-D881)*(A881-C881)/(E881-C881))+D881</x:f>
        <x:v>3679854</x:v>
      </x:c>
      <x:c r="I881" s="68" t="n">
        <x:f>H881-G881</x:f>
        <x:v>0</x:v>
      </x:c>
      <x:c r="J881" s="14" t="n">
        <x:v>23956887</x:v>
      </x:c>
      <x:c r="K881" s="14" t="n">
        <x:f>INT(H881*'공식·설정'!$B$10/'공식·설정'!$B$15)</x:f>
        <x:v>23956887</x:v>
      </x:c>
      <x:c r="L881" s="68" t="n">
        <x:f>K881-J881</x:f>
        <x:v>0</x:v>
      </x:c>
      <x:c r="M881" s="65" t="n">
        <x:f>J881/'공식·설정'!$B$7</x:f>
        <x:v>93581.58984375</x:v>
      </x:c>
      <x:c r="N881" s="65" t="n">
        <x:f>K881/'공식·설정'!$B$7</x:f>
        <x:v>93581.58984375</x:v>
      </x:c>
      <x:c r="O881" s="14" t="n">
        <x:v>9358</x:v>
      </x:c>
      <x:c r="P881" s="14" t="n">
        <x:f>MIN(32767,MAX(0,INT((K881+INT('공식·설정'!$B$12/2))/'공식·설정'!$B$12)))</x:f>
        <x:v>9358</x:v>
      </x:c>
      <x:c r="Q881" s="68" t="n">
        <x:f>P881-O881</x:f>
        <x:v>0</x:v>
      </x:c>
      <x:c r="R881" s="14" t="n">
        <x:v>23964928</x:v>
      </x:c>
      <x:c r="S881" s="14" t="n">
        <x:f>P881*'공식·설정'!$B$12+'공식·설정'!$B$14</x:f>
        <x:v>23964928</x:v>
      </x:c>
      <x:c r="T881" s="68" t="n">
        <x:f>S881-R881</x:f>
        <x:v>0</x:v>
      </x:c>
      <x:c r="U881" s="65" t="n">
        <x:f>R881/'공식·설정'!$B$7</x:f>
        <x:v>93613</x:v>
      </x:c>
      <x:c r="V881" s="65" t="n">
        <x:f>S881/'공식·설정'!$B$7</x:f>
        <x:v>93613</x:v>
      </x:c>
      <x:c r="W881" s="14" t="n">
        <x:v>729</x:v>
      </x:c>
      <x:c r="X881" s="14" t="n">
        <x:f>INT(ABS(K882-K881)*'공식·설정'!$B$8/K881)</x:f>
        <x:v>729</x:v>
      </x:c>
      <x:c r="Y881" s="68" t="n">
        <x:f>X881-W881</x:f>
        <x:v>0</x:v>
      </x:c>
      <x:c r="Z881" s="66" t="n">
        <x:f>W881/'공식·설정'!$B$8</x:f>
        <x:v>0.0111236572265625</x:v>
      </x:c>
      <x:c r="AA881" s="66" t="n">
        <x:f>X881/'공식·설정'!$B$8</x:f>
        <x:v>0.0111236572265625</x:v>
      </x:c>
      <x:c r="AB881" s="67" t="str">
        <x:f>IF(AND(I881=0,L881=0,Q881=0,T881=0,Y881=0),"PASS","FAIL")</x:f>
        <x:v>PASS</x:v>
      </x:c>
    </x:row>
    <x:row r="882" ht="18" customHeight="1">
      <x:c r="A882" s="14" t="n">
        <x:v>985</x:v>
      </x:c>
      <x:c r="B882" s="14" t="n">
        <x:v>877</x:v>
      </x:c>
      <x:c r="C882" s="14" t="n">
        <x:v>980</x:v>
      </x:c>
      <x:c r="D882" s="14" t="n">
        <x:v>3515984</x:v>
      </x:c>
      <x:c r="E882" s="14" t="n">
        <x:v>994</x:v>
      </x:c>
      <x:c r="F882" s="14" t="n">
        <x:v>4089531</x:v>
      </x:c>
      <x:c r="G882" s="14" t="n">
        <x:v>3720822</x:v>
      </x:c>
      <x:c r="H882" s="14" t="n">
        <x:f>INT((F882-D882)*(A882-C882)/(E882-C882))+D882</x:f>
        <x:v>3720822</x:v>
      </x:c>
      <x:c r="I882" s="68" t="n">
        <x:f>H882-G882</x:f>
        <x:v>0</x:v>
      </x:c>
      <x:c r="J882" s="14" t="n">
        <x:v>24223600</x:v>
      </x:c>
      <x:c r="K882" s="14" t="n">
        <x:f>INT(H882*'공식·설정'!$B$10/'공식·설정'!$B$15)</x:f>
        <x:v>24223600</x:v>
      </x:c>
      <x:c r="L882" s="68" t="n">
        <x:f>K882-J882</x:f>
        <x:v>0</x:v>
      </x:c>
      <x:c r="M882" s="65" t="n">
        <x:f>J882/'공식·설정'!$B$7</x:f>
        <x:v>94623.4375</x:v>
      </x:c>
      <x:c r="N882" s="65" t="n">
        <x:f>K882/'공식·설정'!$B$7</x:f>
        <x:v>94623.4375</x:v>
      </x:c>
      <x:c r="O882" s="14" t="n">
        <x:v>9462</x:v>
      </x:c>
      <x:c r="P882" s="14" t="n">
        <x:f>MIN(32767,MAX(0,INT((K882+INT('공식·설정'!$B$12/2))/'공식·설정'!$B$12)))</x:f>
        <x:v>9462</x:v>
      </x:c>
      <x:c r="Q882" s="68" t="n">
        <x:f>P882-O882</x:f>
        <x:v>0</x:v>
      </x:c>
      <x:c r="R882" s="14" t="n">
        <x:v>24231168</x:v>
      </x:c>
      <x:c r="S882" s="14" t="n">
        <x:f>P882*'공식·설정'!$B$12+'공식·설정'!$B$14</x:f>
        <x:v>24231168</x:v>
      </x:c>
      <x:c r="T882" s="68" t="n">
        <x:f>S882-R882</x:f>
        <x:v>0</x:v>
      </x:c>
      <x:c r="U882" s="65" t="n">
        <x:f>R882/'공식·설정'!$B$7</x:f>
        <x:v>94653</x:v>
      </x:c>
      <x:c r="V882" s="65" t="n">
        <x:f>S882/'공식·설정'!$B$7</x:f>
        <x:v>94653</x:v>
      </x:c>
      <x:c r="W882" s="14" t="n">
        <x:v>721</x:v>
      </x:c>
      <x:c r="X882" s="14" t="n">
        <x:f>INT(ABS(K883-K882)*'공식·설정'!$B$8/K882)</x:f>
        <x:v>721</x:v>
      </x:c>
      <x:c r="Y882" s="68" t="n">
        <x:f>X882-W882</x:f>
        <x:v>0</x:v>
      </x:c>
      <x:c r="Z882" s="66" t="n">
        <x:f>W882/'공식·설정'!$B$8</x:f>
        <x:v>0.0110015869140625</x:v>
      </x:c>
      <x:c r="AA882" s="66" t="n">
        <x:f>X882/'공식·설정'!$B$8</x:f>
        <x:v>0.0110015869140625</x:v>
      </x:c>
      <x:c r="AB882" s="67" t="str">
        <x:f>IF(AND(I882=0,L882=0,Q882=0,T882=0,Y882=0),"PASS","FAIL")</x:f>
        <x:v>PASS</x:v>
      </x:c>
    </x:row>
    <x:row r="883" ht="18" customHeight="1">
      <x:c r="A883" s="14" t="n">
        <x:v>986</x:v>
      </x:c>
      <x:c r="B883" s="14" t="n">
        <x:v>878</x:v>
      </x:c>
      <x:c r="C883" s="14" t="n">
        <x:v>980</x:v>
      </x:c>
      <x:c r="D883" s="14" t="n">
        <x:v>3515984</x:v>
      </x:c>
      <x:c r="E883" s="14" t="n">
        <x:v>994</x:v>
      </x:c>
      <x:c r="F883" s="14" t="n">
        <x:v>4089531</x:v>
      </x:c>
      <x:c r="G883" s="14" t="n">
        <x:v>3761789</x:v>
      </x:c>
      <x:c r="H883" s="14" t="n">
        <x:f>INT((F883-D883)*(A883-C883)/(E883-C883))+D883</x:f>
        <x:v>3761789</x:v>
      </x:c>
      <x:c r="I883" s="68" t="n">
        <x:f>H883-G883</x:f>
        <x:v>0</x:v>
      </x:c>
      <x:c r="J883" s="14" t="n">
        <x:v>24490307</x:v>
      </x:c>
      <x:c r="K883" s="14" t="n">
        <x:f>INT(H883*'공식·설정'!$B$10/'공식·설정'!$B$15)</x:f>
        <x:v>24490307</x:v>
      </x:c>
      <x:c r="L883" s="68" t="n">
        <x:f>K883-J883</x:f>
        <x:v>0</x:v>
      </x:c>
      <x:c r="M883" s="65" t="n">
        <x:f>J883/'공식·설정'!$B$7</x:f>
        <x:v>95665.26171875</x:v>
      </x:c>
      <x:c r="N883" s="65" t="n">
        <x:f>K883/'공식·설정'!$B$7</x:f>
        <x:v>95665.26171875</x:v>
      </x:c>
      <x:c r="O883" s="14" t="n">
        <x:v>9567</x:v>
      </x:c>
      <x:c r="P883" s="14" t="n">
        <x:f>MIN(32767,MAX(0,INT((K883+INT('공식·설정'!$B$12/2))/'공식·설정'!$B$12)))</x:f>
        <x:v>9567</x:v>
      </x:c>
      <x:c r="Q883" s="68" t="n">
        <x:f>P883-O883</x:f>
        <x:v>0</x:v>
      </x:c>
      <x:c r="R883" s="14" t="n">
        <x:v>24499968</x:v>
      </x:c>
      <x:c r="S883" s="14" t="n">
        <x:f>P883*'공식·설정'!$B$12+'공식·설정'!$B$14</x:f>
        <x:v>24499968</x:v>
      </x:c>
      <x:c r="T883" s="68" t="n">
        <x:f>S883-R883</x:f>
        <x:v>0</x:v>
      </x:c>
      <x:c r="U883" s="65" t="n">
        <x:f>R883/'공식·설정'!$B$7</x:f>
        <x:v>95703</x:v>
      </x:c>
      <x:c r="V883" s="65" t="n">
        <x:f>S883/'공식·설정'!$B$7</x:f>
        <x:v>95703</x:v>
      </x:c>
      <x:c r="W883" s="14" t="n">
        <x:v>713</x:v>
      </x:c>
      <x:c r="X883" s="14" t="n">
        <x:f>INT(ABS(K884-K883)*'공식·설정'!$B$8/K883)</x:f>
        <x:v>713</x:v>
      </x:c>
      <x:c r="Y883" s="68" t="n">
        <x:f>X883-W883</x:f>
        <x:v>0</x:v>
      </x:c>
      <x:c r="Z883" s="66" t="n">
        <x:f>W883/'공식·설정'!$B$8</x:f>
        <x:v>0.0108795166015625</x:v>
      </x:c>
      <x:c r="AA883" s="66" t="n">
        <x:f>X883/'공식·설정'!$B$8</x:f>
        <x:v>0.0108795166015625</x:v>
      </x:c>
      <x:c r="AB883" s="67" t="str">
        <x:f>IF(AND(I883=0,L883=0,Q883=0,T883=0,Y883=0),"PASS","FAIL")</x:f>
        <x:v>PASS</x:v>
      </x:c>
    </x:row>
    <x:row r="884" ht="18" customHeight="1">
      <x:c r="A884" s="14" t="n">
        <x:v>987</x:v>
      </x:c>
      <x:c r="B884" s="14" t="n">
        <x:v>879</x:v>
      </x:c>
      <x:c r="C884" s="14" t="n">
        <x:v>980</x:v>
      </x:c>
      <x:c r="D884" s="14" t="n">
        <x:v>3515984</x:v>
      </x:c>
      <x:c r="E884" s="14" t="n">
        <x:v>994</x:v>
      </x:c>
      <x:c r="F884" s="14" t="n">
        <x:v>4089531</x:v>
      </x:c>
      <x:c r="G884" s="14" t="n">
        <x:v>3802757</x:v>
      </x:c>
      <x:c r="H884" s="14" t="n">
        <x:f>INT((F884-D884)*(A884-C884)/(E884-C884))+D884</x:f>
        <x:v>3802757</x:v>
      </x:c>
      <x:c r="I884" s="68" t="n">
        <x:f>H884-G884</x:f>
        <x:v>0</x:v>
      </x:c>
      <x:c r="J884" s="14" t="n">
        <x:v>24757020</x:v>
      </x:c>
      <x:c r="K884" s="14" t="n">
        <x:f>INT(H884*'공식·설정'!$B$10/'공식·설정'!$B$15)</x:f>
        <x:v>24757020</x:v>
      </x:c>
      <x:c r="L884" s="68" t="n">
        <x:f>K884-J884</x:f>
        <x:v>0</x:v>
      </x:c>
      <x:c r="M884" s="65" t="n">
        <x:f>J884/'공식·설정'!$B$7</x:f>
        <x:v>96707.109375</x:v>
      </x:c>
      <x:c r="N884" s="65" t="n">
        <x:f>K884/'공식·설정'!$B$7</x:f>
        <x:v>96707.109375</x:v>
      </x:c>
      <x:c r="O884" s="14" t="n">
        <x:v>9671</x:v>
      </x:c>
      <x:c r="P884" s="14" t="n">
        <x:f>MIN(32767,MAX(0,INT((K884+INT('공식·설정'!$B$12/2))/'공식·설정'!$B$12)))</x:f>
        <x:v>9671</x:v>
      </x:c>
      <x:c r="Q884" s="68" t="n">
        <x:f>P884-O884</x:f>
        <x:v>0</x:v>
      </x:c>
      <x:c r="R884" s="14" t="n">
        <x:v>24766208</x:v>
      </x:c>
      <x:c r="S884" s="14" t="n">
        <x:f>P884*'공식·설정'!$B$12+'공식·설정'!$B$14</x:f>
        <x:v>24766208</x:v>
      </x:c>
      <x:c r="T884" s="68" t="n">
        <x:f>S884-R884</x:f>
        <x:v>0</x:v>
      </x:c>
      <x:c r="U884" s="65" t="n">
        <x:f>R884/'공식·설정'!$B$7</x:f>
        <x:v>96743</x:v>
      </x:c>
      <x:c r="V884" s="65" t="n">
        <x:f>S884/'공식·설정'!$B$7</x:f>
        <x:v>96743</x:v>
      </x:c>
      <x:c r="W884" s="14" t="n">
        <x:v>706</x:v>
      </x:c>
      <x:c r="X884" s="14" t="n">
        <x:f>INT(ABS(K885-K884)*'공식·설정'!$B$8/K884)</x:f>
        <x:v>706</x:v>
      </x:c>
      <x:c r="Y884" s="68" t="n">
        <x:f>X884-W884</x:f>
        <x:v>0</x:v>
      </x:c>
      <x:c r="Z884" s="66" t="n">
        <x:f>W884/'공식·설정'!$B$8</x:f>
        <x:v>0.010772705078125</x:v>
      </x:c>
      <x:c r="AA884" s="66" t="n">
        <x:f>X884/'공식·설정'!$B$8</x:f>
        <x:v>0.010772705078125</x:v>
      </x:c>
      <x:c r="AB884" s="67" t="str">
        <x:f>IF(AND(I884=0,L884=0,Q884=0,T884=0,Y884=0),"PASS","FAIL")</x:f>
        <x:v>PASS</x:v>
      </x:c>
    </x:row>
    <x:row r="885" ht="18" customHeight="1">
      <x:c r="A885" s="14" t="n">
        <x:v>988</x:v>
      </x:c>
      <x:c r="B885" s="14" t="n">
        <x:v>880</x:v>
      </x:c>
      <x:c r="C885" s="14" t="n">
        <x:v>980</x:v>
      </x:c>
      <x:c r="D885" s="14" t="n">
        <x:v>3515984</x:v>
      </x:c>
      <x:c r="E885" s="14" t="n">
        <x:v>994</x:v>
      </x:c>
      <x:c r="F885" s="14" t="n">
        <x:v>4089531</x:v>
      </x:c>
      <x:c r="G885" s="14" t="n">
        <x:v>3843725</x:v>
      </x:c>
      <x:c r="H885" s="14" t="n">
        <x:f>INT((F885-D885)*(A885-C885)/(E885-C885))+D885</x:f>
        <x:v>3843725</x:v>
      </x:c>
      <x:c r="I885" s="68" t="n">
        <x:f>H885-G885</x:f>
        <x:v>0</x:v>
      </x:c>
      <x:c r="J885" s="14" t="n">
        <x:v>25023733</x:v>
      </x:c>
      <x:c r="K885" s="14" t="n">
        <x:f>INT(H885*'공식·설정'!$B$10/'공식·설정'!$B$15)</x:f>
        <x:v>25023733</x:v>
      </x:c>
      <x:c r="L885" s="68" t="n">
        <x:f>K885-J885</x:f>
        <x:v>0</x:v>
      </x:c>
      <x:c r="M885" s="65" t="n">
        <x:f>J885/'공식·설정'!$B$7</x:f>
        <x:v>97748.95703125</x:v>
      </x:c>
      <x:c r="N885" s="65" t="n">
        <x:f>K885/'공식·설정'!$B$7</x:f>
        <x:v>97748.95703125</x:v>
      </x:c>
      <x:c r="O885" s="14" t="n">
        <x:v>9775</x:v>
      </x:c>
      <x:c r="P885" s="14" t="n">
        <x:f>MIN(32767,MAX(0,INT((K885+INT('공식·설정'!$B$12/2))/'공식·설정'!$B$12)))</x:f>
        <x:v>9775</x:v>
      </x:c>
      <x:c r="Q885" s="68" t="n">
        <x:f>P885-O885</x:f>
        <x:v>0</x:v>
      </x:c>
      <x:c r="R885" s="14" t="n">
        <x:v>25032448</x:v>
      </x:c>
      <x:c r="S885" s="14" t="n">
        <x:f>P885*'공식·설정'!$B$12+'공식·설정'!$B$14</x:f>
        <x:v>25032448</x:v>
      </x:c>
      <x:c r="T885" s="68" t="n">
        <x:f>S885-R885</x:f>
        <x:v>0</x:v>
      </x:c>
      <x:c r="U885" s="65" t="n">
        <x:f>R885/'공식·설정'!$B$7</x:f>
        <x:v>97783</x:v>
      </x:c>
      <x:c r="V885" s="65" t="n">
        <x:f>S885/'공식·설정'!$B$7</x:f>
        <x:v>97783</x:v>
      </x:c>
      <x:c r="W885" s="14" t="n">
        <x:v>698</x:v>
      </x:c>
      <x:c r="X885" s="14" t="n">
        <x:f>INT(ABS(K886-K885)*'공식·설정'!$B$8/K885)</x:f>
        <x:v>698</x:v>
      </x:c>
      <x:c r="Y885" s="68" t="n">
        <x:f>X885-W885</x:f>
        <x:v>0</x:v>
      </x:c>
      <x:c r="Z885" s="66" t="n">
        <x:f>W885/'공식·설정'!$B$8</x:f>
        <x:v>0.010650634765625</x:v>
      </x:c>
      <x:c r="AA885" s="66" t="n">
        <x:f>X885/'공식·설정'!$B$8</x:f>
        <x:v>0.010650634765625</x:v>
      </x:c>
      <x:c r="AB885" s="67" t="str">
        <x:f>IF(AND(I885=0,L885=0,Q885=0,T885=0,Y885=0),"PASS","FAIL")</x:f>
        <x:v>PASS</x:v>
      </x:c>
    </x:row>
    <x:row r="886" ht="18" customHeight="1">
      <x:c r="A886" s="14" t="n">
        <x:v>989</x:v>
      </x:c>
      <x:c r="B886" s="14" t="n">
        <x:v>881</x:v>
      </x:c>
      <x:c r="C886" s="14" t="n">
        <x:v>980</x:v>
      </x:c>
      <x:c r="D886" s="14" t="n">
        <x:v>3515984</x:v>
      </x:c>
      <x:c r="E886" s="14" t="n">
        <x:v>994</x:v>
      </x:c>
      <x:c r="F886" s="14" t="n">
        <x:v>4089531</x:v>
      </x:c>
      <x:c r="G886" s="14" t="n">
        <x:v>3884692</x:v>
      </x:c>
      <x:c r="H886" s="14" t="n">
        <x:f>INT((F886-D886)*(A886-C886)/(E886-C886))+D886</x:f>
        <x:v>3884692</x:v>
      </x:c>
      <x:c r="I886" s="68" t="n">
        <x:f>H886-G886</x:f>
        <x:v>0</x:v>
      </x:c>
      <x:c r="J886" s="14" t="n">
        <x:v>25290440</x:v>
      </x:c>
      <x:c r="K886" s="14" t="n">
        <x:f>INT(H886*'공식·설정'!$B$10/'공식·설정'!$B$15)</x:f>
        <x:v>25290440</x:v>
      </x:c>
      <x:c r="L886" s="68" t="n">
        <x:f>K886-J886</x:f>
        <x:v>0</x:v>
      </x:c>
      <x:c r="M886" s="65" t="n">
        <x:f>J886/'공식·설정'!$B$7</x:f>
        <x:v>98790.78125</x:v>
      </x:c>
      <x:c r="N886" s="65" t="n">
        <x:f>K886/'공식·설정'!$B$7</x:f>
        <x:v>98790.78125</x:v>
      </x:c>
      <x:c r="O886" s="14" t="n">
        <x:v>9879</x:v>
      </x:c>
      <x:c r="P886" s="14" t="n">
        <x:f>MIN(32767,MAX(0,INT((K886+INT('공식·설정'!$B$12/2))/'공식·설정'!$B$12)))</x:f>
        <x:v>9879</x:v>
      </x:c>
      <x:c r="Q886" s="68" t="n">
        <x:f>P886-O886</x:f>
        <x:v>0</x:v>
      </x:c>
      <x:c r="R886" s="14" t="n">
        <x:v>25298688</x:v>
      </x:c>
      <x:c r="S886" s="14" t="n">
        <x:f>P886*'공식·설정'!$B$12+'공식·설정'!$B$14</x:f>
        <x:v>25298688</x:v>
      </x:c>
      <x:c r="T886" s="68" t="n">
        <x:f>S886-R886</x:f>
        <x:v>0</x:v>
      </x:c>
      <x:c r="U886" s="65" t="n">
        <x:f>R886/'공식·설정'!$B$7</x:f>
        <x:v>98823</x:v>
      </x:c>
      <x:c r="V886" s="65" t="n">
        <x:f>S886/'공식·설정'!$B$7</x:f>
        <x:v>98823</x:v>
      </x:c>
      <x:c r="W886" s="14" t="n">
        <x:v>691</x:v>
      </x:c>
      <x:c r="X886" s="14" t="n">
        <x:f>INT(ABS(K887-K886)*'공식·설정'!$B$8/K886)</x:f>
        <x:v>691</x:v>
      </x:c>
      <x:c r="Y886" s="68" t="n">
        <x:f>X886-W886</x:f>
        <x:v>0</x:v>
      </x:c>
      <x:c r="Z886" s="66" t="n">
        <x:f>W886/'공식·설정'!$B$8</x:f>
        <x:v>0.0105438232421875</x:v>
      </x:c>
      <x:c r="AA886" s="66" t="n">
        <x:f>X886/'공식·설정'!$B$8</x:f>
        <x:v>0.0105438232421875</x:v>
      </x:c>
      <x:c r="AB886" s="67" t="str">
        <x:f>IF(AND(I886=0,L886=0,Q886=0,T886=0,Y886=0),"PASS","FAIL")</x:f>
        <x:v>PASS</x:v>
      </x:c>
    </x:row>
    <x:row r="887" ht="18" customHeight="1">
      <x:c r="A887" s="14" t="n">
        <x:v>990</x:v>
      </x:c>
      <x:c r="B887" s="14" t="n">
        <x:v>882</x:v>
      </x:c>
      <x:c r="C887" s="14" t="n">
        <x:v>980</x:v>
      </x:c>
      <x:c r="D887" s="14" t="n">
        <x:v>3515984</x:v>
      </x:c>
      <x:c r="E887" s="14" t="n">
        <x:v>994</x:v>
      </x:c>
      <x:c r="F887" s="14" t="n">
        <x:v>4089531</x:v>
      </x:c>
      <x:c r="G887" s="14" t="n">
        <x:v>3925660</x:v>
      </x:c>
      <x:c r="H887" s="14" t="n">
        <x:f>INT((F887-D887)*(A887-C887)/(E887-C887))+D887</x:f>
        <x:v>3925660</x:v>
      </x:c>
      <x:c r="I887" s="68" t="n">
        <x:f>H887-G887</x:f>
        <x:v>0</x:v>
      </x:c>
      <x:c r="J887" s="14" t="n">
        <x:v>25557153</x:v>
      </x:c>
      <x:c r="K887" s="14" t="n">
        <x:f>INT(H887*'공식·설정'!$B$10/'공식·설정'!$B$15)</x:f>
        <x:v>25557153</x:v>
      </x:c>
      <x:c r="L887" s="68" t="n">
        <x:f>K887-J887</x:f>
        <x:v>0</x:v>
      </x:c>
      <x:c r="M887" s="65" t="n">
        <x:f>J887/'공식·설정'!$B$7</x:f>
        <x:v>99832.62890625</x:v>
      </x:c>
      <x:c r="N887" s="65" t="n">
        <x:f>K887/'공식·설정'!$B$7</x:f>
        <x:v>99832.62890625</x:v>
      </x:c>
      <x:c r="O887" s="14" t="n">
        <x:v>9983</x:v>
      </x:c>
      <x:c r="P887" s="14" t="n">
        <x:f>MIN(32767,MAX(0,INT((K887+INT('공식·설정'!$B$12/2))/'공식·설정'!$B$12)))</x:f>
        <x:v>9983</x:v>
      </x:c>
      <x:c r="Q887" s="68" t="n">
        <x:f>P887-O887</x:f>
        <x:v>0</x:v>
      </x:c>
      <x:c r="R887" s="14" t="n">
        <x:v>25564928</x:v>
      </x:c>
      <x:c r="S887" s="14" t="n">
        <x:f>P887*'공식·설정'!$B$12+'공식·설정'!$B$14</x:f>
        <x:v>25564928</x:v>
      </x:c>
      <x:c r="T887" s="68" t="n">
        <x:f>S887-R887</x:f>
        <x:v>0</x:v>
      </x:c>
      <x:c r="U887" s="65" t="n">
        <x:f>R887/'공식·설정'!$B$7</x:f>
        <x:v>99863</x:v>
      </x:c>
      <x:c r="V887" s="65" t="n">
        <x:f>S887/'공식·설정'!$B$7</x:f>
        <x:v>99863</x:v>
      </x:c>
      <x:c r="W887" s="14" t="n">
        <x:v>683</x:v>
      </x:c>
      <x:c r="X887" s="14" t="n">
        <x:f>INT(ABS(K888-K887)*'공식·설정'!$B$8/K887)</x:f>
        <x:v>683</x:v>
      </x:c>
      <x:c r="Y887" s="68" t="n">
        <x:f>X887-W887</x:f>
        <x:v>0</x:v>
      </x:c>
      <x:c r="Z887" s="66" t="n">
        <x:f>W887/'공식·설정'!$B$8</x:f>
        <x:v>0.0104217529296875</x:v>
      </x:c>
      <x:c r="AA887" s="66" t="n">
        <x:f>X887/'공식·설정'!$B$8</x:f>
        <x:v>0.0104217529296875</x:v>
      </x:c>
      <x:c r="AB887" s="67" t="str">
        <x:f>IF(AND(I887=0,L887=0,Q887=0,T887=0,Y887=0),"PASS","FAIL")</x:f>
        <x:v>PASS</x:v>
      </x:c>
    </x:row>
    <x:row r="888" ht="18" customHeight="1">
      <x:c r="A888" s="14" t="n">
        <x:v>991</x:v>
      </x:c>
      <x:c r="B888" s="14" t="n">
        <x:v>883</x:v>
      </x:c>
      <x:c r="C888" s="14" t="n">
        <x:v>980</x:v>
      </x:c>
      <x:c r="D888" s="14" t="n">
        <x:v>3515984</x:v>
      </x:c>
      <x:c r="E888" s="14" t="n">
        <x:v>994</x:v>
      </x:c>
      <x:c r="F888" s="14" t="n">
        <x:v>4089531</x:v>
      </x:c>
      <x:c r="G888" s="14" t="n">
        <x:v>3966628</x:v>
      </x:c>
      <x:c r="H888" s="14" t="n">
        <x:f>INT((F888-D888)*(A888-C888)/(E888-C888))+D888</x:f>
        <x:v>3966628</x:v>
      </x:c>
      <x:c r="I888" s="68" t="n">
        <x:f>H888-G888</x:f>
        <x:v>0</x:v>
      </x:c>
      <x:c r="J888" s="14" t="n">
        <x:v>25823866</x:v>
      </x:c>
      <x:c r="K888" s="14" t="n">
        <x:f>INT(H888*'공식·설정'!$B$10/'공식·설정'!$B$15)</x:f>
        <x:v>25823866</x:v>
      </x:c>
      <x:c r="L888" s="68" t="n">
        <x:f>K888-J888</x:f>
        <x:v>0</x:v>
      </x:c>
      <x:c r="M888" s="65" t="n">
        <x:f>J888/'공식·설정'!$B$7</x:f>
        <x:v>100874.4765625</x:v>
      </x:c>
      <x:c r="N888" s="65" t="n">
        <x:f>K888/'공식·설정'!$B$7</x:f>
        <x:v>100874.4765625</x:v>
      </x:c>
      <x:c r="O888" s="14" t="n">
        <x:v>10087</x:v>
      </x:c>
      <x:c r="P888" s="14" t="n">
        <x:f>MIN(32767,MAX(0,INT((K888+INT('공식·설정'!$B$12/2))/'공식·설정'!$B$12)))</x:f>
        <x:v>10087</x:v>
      </x:c>
      <x:c r="Q888" s="68" t="n">
        <x:f>P888-O888</x:f>
        <x:v>0</x:v>
      </x:c>
      <x:c r="R888" s="14" t="n">
        <x:v>25831168</x:v>
      </x:c>
      <x:c r="S888" s="14" t="n">
        <x:f>P888*'공식·설정'!$B$12+'공식·설정'!$B$14</x:f>
        <x:v>25831168</x:v>
      </x:c>
      <x:c r="T888" s="68" t="n">
        <x:f>S888-R888</x:f>
        <x:v>0</x:v>
      </x:c>
      <x:c r="U888" s="65" t="n">
        <x:f>R888/'공식·설정'!$B$7</x:f>
        <x:v>100903</x:v>
      </x:c>
      <x:c r="V888" s="65" t="n">
        <x:f>S888/'공식·설정'!$B$7</x:f>
        <x:v>100903</x:v>
      </x:c>
      <x:c r="W888" s="14" t="n">
        <x:v>676</x:v>
      </x:c>
      <x:c r="X888" s="14" t="n">
        <x:f>INT(ABS(K889-K888)*'공식·설정'!$B$8/K888)</x:f>
        <x:v>676</x:v>
      </x:c>
      <x:c r="Y888" s="68" t="n">
        <x:f>X888-W888</x:f>
        <x:v>0</x:v>
      </x:c>
      <x:c r="Z888" s="66" t="n">
        <x:f>W888/'공식·설정'!$B$8</x:f>
        <x:v>0.01031494140625</x:v>
      </x:c>
      <x:c r="AA888" s="66" t="n">
        <x:f>X888/'공식·설정'!$B$8</x:f>
        <x:v>0.01031494140625</x:v>
      </x:c>
      <x:c r="AB888" s="67" t="str">
        <x:f>IF(AND(I888=0,L888=0,Q888=0,T888=0,Y888=0),"PASS","FAIL")</x:f>
        <x:v>PASS</x:v>
      </x:c>
    </x:row>
    <x:row r="889" ht="18" customHeight="1">
      <x:c r="A889" s="14" t="n">
        <x:v>992</x:v>
      </x:c>
      <x:c r="B889" s="14" t="n">
        <x:v>884</x:v>
      </x:c>
      <x:c r="C889" s="14" t="n">
        <x:v>980</x:v>
      </x:c>
      <x:c r="D889" s="14" t="n">
        <x:v>3515984</x:v>
      </x:c>
      <x:c r="E889" s="14" t="n">
        <x:v>994</x:v>
      </x:c>
      <x:c r="F889" s="14" t="n">
        <x:v>4089531</x:v>
      </x:c>
      <x:c r="G889" s="14" t="n">
        <x:v>4007595</x:v>
      </x:c>
      <x:c r="H889" s="14" t="n">
        <x:f>INT((F889-D889)*(A889-C889)/(E889-C889))+D889</x:f>
        <x:v>4007595</x:v>
      </x:c>
      <x:c r="I889" s="68" t="n">
        <x:f>H889-G889</x:f>
        <x:v>0</x:v>
      </x:c>
      <x:c r="J889" s="14" t="n">
        <x:v>26090573</x:v>
      </x:c>
      <x:c r="K889" s="14" t="n">
        <x:f>INT(H889*'공식·설정'!$B$10/'공식·설정'!$B$15)</x:f>
        <x:v>26090573</x:v>
      </x:c>
      <x:c r="L889" s="68" t="n">
        <x:f>K889-J889</x:f>
        <x:v>0</x:v>
      </x:c>
      <x:c r="M889" s="65" t="n">
        <x:f>J889/'공식·설정'!$B$7</x:f>
        <x:v>101916.30078125</x:v>
      </x:c>
      <x:c r="N889" s="65" t="n">
        <x:f>K889/'공식·설정'!$B$7</x:f>
        <x:v>101916.30078125</x:v>
      </x:c>
      <x:c r="O889" s="14" t="n">
        <x:v>10192</x:v>
      </x:c>
      <x:c r="P889" s="14" t="n">
        <x:f>MIN(32767,MAX(0,INT((K889+INT('공식·설정'!$B$12/2))/'공식·설정'!$B$12)))</x:f>
        <x:v>10192</x:v>
      </x:c>
      <x:c r="Q889" s="68" t="n">
        <x:f>P889-O889</x:f>
        <x:v>0</x:v>
      </x:c>
      <x:c r="R889" s="14" t="n">
        <x:v>26099968</x:v>
      </x:c>
      <x:c r="S889" s="14" t="n">
        <x:f>P889*'공식·설정'!$B$12+'공식·설정'!$B$14</x:f>
        <x:v>26099968</x:v>
      </x:c>
      <x:c r="T889" s="68" t="n">
        <x:f>S889-R889</x:f>
        <x:v>0</x:v>
      </x:c>
      <x:c r="U889" s="65" t="n">
        <x:f>R889/'공식·설정'!$B$7</x:f>
        <x:v>101953</x:v>
      </x:c>
      <x:c r="V889" s="65" t="n">
        <x:f>S889/'공식·설정'!$B$7</x:f>
        <x:v>101953</x:v>
      </x:c>
      <x:c r="W889" s="14" t="n">
        <x:v>669</x:v>
      </x:c>
      <x:c r="X889" s="14" t="n">
        <x:f>INT(ABS(K890-K889)*'공식·설정'!$B$8/K889)</x:f>
        <x:v>669</x:v>
      </x:c>
      <x:c r="Y889" s="68" t="n">
        <x:f>X889-W889</x:f>
        <x:v>0</x:v>
      </x:c>
      <x:c r="Z889" s="66" t="n">
        <x:f>W889/'공식·설정'!$B$8</x:f>
        <x:v>0.0102081298828125</x:v>
      </x:c>
      <x:c r="AA889" s="66" t="n">
        <x:f>X889/'공식·설정'!$B$8</x:f>
        <x:v>0.0102081298828125</x:v>
      </x:c>
      <x:c r="AB889" s="67" t="str">
        <x:f>IF(AND(I889=0,L889=0,Q889=0,T889=0,Y889=0),"PASS","FAIL")</x:f>
        <x:v>PASS</x:v>
      </x:c>
    </x:row>
    <x:row r="890" ht="18" customHeight="1">
      <x:c r="A890" s="14" t="n">
        <x:v>993</x:v>
      </x:c>
      <x:c r="B890" s="14" t="n">
        <x:v>885</x:v>
      </x:c>
      <x:c r="C890" s="14" t="n">
        <x:v>980</x:v>
      </x:c>
      <x:c r="D890" s="14" t="n">
        <x:v>3515984</x:v>
      </x:c>
      <x:c r="E890" s="14" t="n">
        <x:v>994</x:v>
      </x:c>
      <x:c r="F890" s="14" t="n">
        <x:v>4089531</x:v>
      </x:c>
      <x:c r="G890" s="14" t="n">
        <x:v>4048563</x:v>
      </x:c>
      <x:c r="H890" s="14" t="n">
        <x:f>INT((F890-D890)*(A890-C890)/(E890-C890))+D890</x:f>
        <x:v>4048563</x:v>
      </x:c>
      <x:c r="I890" s="68" t="n">
        <x:f>H890-G890</x:f>
        <x:v>0</x:v>
      </x:c>
      <x:c r="J890" s="14" t="n">
        <x:v>26357286</x:v>
      </x:c>
      <x:c r="K890" s="14" t="n">
        <x:f>INT(H890*'공식·설정'!$B$10/'공식·설정'!$B$15)</x:f>
        <x:v>26357286</x:v>
      </x:c>
      <x:c r="L890" s="68" t="n">
        <x:f>K890-J890</x:f>
        <x:v>0</x:v>
      </x:c>
      <x:c r="M890" s="65" t="n">
        <x:f>J890/'공식·설정'!$B$7</x:f>
        <x:v>102958.1484375</x:v>
      </x:c>
      <x:c r="N890" s="65" t="n">
        <x:f>K890/'공식·설정'!$B$7</x:f>
        <x:v>102958.1484375</x:v>
      </x:c>
      <x:c r="O890" s="14" t="n">
        <x:v>10296</x:v>
      </x:c>
      <x:c r="P890" s="14" t="n">
        <x:f>MIN(32767,MAX(0,INT((K890+INT('공식·설정'!$B$12/2))/'공식·설정'!$B$12)))</x:f>
        <x:v>10296</x:v>
      </x:c>
      <x:c r="Q890" s="68" t="n">
        <x:f>P890-O890</x:f>
        <x:v>0</x:v>
      </x:c>
      <x:c r="R890" s="14" t="n">
        <x:v>26366208</x:v>
      </x:c>
      <x:c r="S890" s="14" t="n">
        <x:f>P890*'공식·설정'!$B$12+'공식·설정'!$B$14</x:f>
        <x:v>26366208</x:v>
      </x:c>
      <x:c r="T890" s="68" t="n">
        <x:f>S890-R890</x:f>
        <x:v>0</x:v>
      </x:c>
      <x:c r="U890" s="65" t="n">
        <x:f>R890/'공식·설정'!$B$7</x:f>
        <x:v>102993</x:v>
      </x:c>
      <x:c r="V890" s="65" t="n">
        <x:f>S890/'공식·설정'!$B$7</x:f>
        <x:v>102993</x:v>
      </x:c>
      <x:c r="W890" s="14" t="n">
        <x:v>663</x:v>
      </x:c>
      <x:c r="X890" s="14" t="n">
        <x:f>INT(ABS(K891-K890)*'공식·설정'!$B$8/K890)</x:f>
        <x:v>663</x:v>
      </x:c>
      <x:c r="Y890" s="68" t="n">
        <x:f>X890-W890</x:f>
        <x:v>0</x:v>
      </x:c>
      <x:c r="Z890" s="66" t="n">
        <x:f>W890/'공식·설정'!$B$8</x:f>
        <x:v>0.0101165771484375</x:v>
      </x:c>
      <x:c r="AA890" s="66" t="n">
        <x:f>X890/'공식·설정'!$B$8</x:f>
        <x:v>0.0101165771484375</x:v>
      </x:c>
      <x:c r="AB890" s="67" t="str">
        <x:f>IF(AND(I890=0,L890=0,Q890=0,T890=0,Y890=0),"PASS","FAIL")</x:f>
        <x:v>PASS</x:v>
      </x:c>
    </x:row>
    <x:row r="891" ht="18" customHeight="1">
      <x:c r="A891" s="14" t="n">
        <x:v>994</x:v>
      </x:c>
      <x:c r="B891" s="14" t="n">
        <x:v>886</x:v>
      </x:c>
      <x:c r="C891" s="14" t="n">
        <x:v>980</x:v>
      </x:c>
      <x:c r="D891" s="14" t="n">
        <x:v>3515984</x:v>
      </x:c>
      <x:c r="E891" s="14" t="n">
        <x:v>994</x:v>
      </x:c>
      <x:c r="F891" s="14" t="n">
        <x:v>4089531</x:v>
      </x:c>
      <x:c r="G891" s="14" t="n">
        <x:v>4089531</x:v>
      </x:c>
      <x:c r="H891" s="14" t="n">
        <x:f>INT((F891-D891)*(A891-C891)/(E891-C891))+D891</x:f>
        <x:v>4089531</x:v>
      </x:c>
      <x:c r="I891" s="68" t="n">
        <x:f>H891-G891</x:f>
        <x:v>0</x:v>
      </x:c>
      <x:c r="J891" s="14" t="n">
        <x:v>26624000</x:v>
      </x:c>
      <x:c r="K891" s="14" t="n">
        <x:f>INT(H891*'공식·설정'!$B$10/'공식·설정'!$B$15)</x:f>
        <x:v>26624000</x:v>
      </x:c>
      <x:c r="L891" s="68" t="n">
        <x:f>K891-J891</x:f>
        <x:v>0</x:v>
      </x:c>
      <x:c r="M891" s="65" t="n">
        <x:f>J891/'공식·설정'!$B$7</x:f>
        <x:v>104000</x:v>
      </x:c>
      <x:c r="N891" s="65" t="n">
        <x:f>K891/'공식·설정'!$B$7</x:f>
        <x:v>104000</x:v>
      </x:c>
      <x:c r="O891" s="14" t="n">
        <x:v>10400</x:v>
      </x:c>
      <x:c r="P891" s="14" t="n">
        <x:f>MIN(32767,MAX(0,INT((K891+INT('공식·설정'!$B$12/2))/'공식·설정'!$B$12)))</x:f>
        <x:v>10400</x:v>
      </x:c>
      <x:c r="Q891" s="68" t="n">
        <x:f>P891-O891</x:f>
        <x:v>0</x:v>
      </x:c>
      <x:c r="R891" s="14" t="n">
        <x:v>26632448</x:v>
      </x:c>
      <x:c r="S891" s="14" t="n">
        <x:f>P891*'공식·설정'!$B$12+'공식·설정'!$B$14</x:f>
        <x:v>26632448</x:v>
      </x:c>
      <x:c r="T891" s="68" t="n">
        <x:f>S891-R891</x:f>
        <x:v>0</x:v>
      </x:c>
      <x:c r="U891" s="65" t="n">
        <x:f>R891/'공식·설정'!$B$7</x:f>
        <x:v>104033</x:v>
      </x:c>
      <x:c r="V891" s="65" t="n">
        <x:f>S891/'공식·설정'!$B$7</x:f>
        <x:v>104033</x:v>
      </x:c>
      <x:c r="W891" s="14" t="n">
        <x:v>0</x:v>
      </x:c>
      <x:c r="X891" s="14" t="n">
        <x:f>0</x:f>
        <x:v>0</x:v>
      </x:c>
      <x:c r="Y891" s="68" t="n">
        <x:f>X891-W891</x:f>
        <x:v>0</x:v>
      </x:c>
      <x:c r="Z891" s="66" t="n">
        <x:f>W891/'공식·설정'!$B$8</x:f>
        <x:v>0</x:v>
      </x:c>
      <x:c r="AA891" s="66" t="n">
        <x:f>X891/'공식·설정'!$B$8</x:f>
        <x:v>0</x:v>
      </x:c>
      <x:c r="AB891" s="67" t="str">
        <x:f>IF(AND(I891=0,L891=0,Q891=0,T891=0,Y891=0),"PASS","FAIL")</x:f>
        <x:v>PASS</x:v>
      </x:c>
    </x:row>
  </x:sheetData>
  <x:conditionalFormatting sqref="I5:I891">
    <x:cfRule type="cellIs" dxfId="0" priority="1" operator="notEqual">
      <x:formula>0</x:formula>
    </x:cfRule>
  </x:conditionalFormatting>
  <x:conditionalFormatting sqref="L5:L891">
    <x:cfRule type="cellIs" dxfId="1" priority="2" operator="notEqual">
      <x:formula>0</x:formula>
    </x:cfRule>
  </x:conditionalFormatting>
  <x:conditionalFormatting sqref="Q5:Q891">
    <x:cfRule type="cellIs" dxfId="2" priority="3" operator="notEqual">
      <x:formula>0</x:formula>
    </x:cfRule>
  </x:conditionalFormatting>
  <x:conditionalFormatting sqref="T5:T891">
    <x:cfRule type="cellIs" dxfId="3" priority="4" operator="notEqual">
      <x:formula>0</x:formula>
    </x:cfRule>
  </x:conditionalFormatting>
  <x:conditionalFormatting sqref="Y5:Y891">
    <x:cfRule type="cellIs" dxfId="4" priority="5" operator="notEqual">
      <x:formula>0</x:formula>
    </x:cfRule>
  </x:conditionalFormatting>
  <x:conditionalFormatting sqref="AB5:AB891">
    <x:cfRule type="containsText" dxfId="5" priority="6" operator="containsText" text="FAI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559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72" hidden="0" customWidth="1"/>
    <x:col min="3" max="3" width="32" hidden="0" customWidth="1"/>
    <x:col min="4" max="4" width="52" hidden="0" customWidth="1"/>
  </x:cols>
  <x:sheetData>
    <x:row r="2" ht="24" customHeight="1">
      <x:c r="A2" s="1" t="str">
        <x:v>Calculation Settings &amp; Formulas / 계산 설정과 공식</x:v>
      </x:c>
      <x:c r="B2" s="1"/>
      <x:c r="C2" s="1"/>
      <x:c r="D2" s="1"/>
    </x:row>
    <x:row r="3" ht="22" customHeight="1">
      <x:c r="A3" s="15" t="str">
        <x:v>노란색 셀은 계산 기준 입력입니다. 값을 바꾸면 '축 검증'의 Excel 계산값과 검증 결과가 즉시 바뀝니다.</x:v>
      </x:c>
      <x:c r="B3" s="15"/>
      <x:c r="C3" s="15"/>
      <x:c r="D3" s="15"/>
    </x:row>
    <x:row r="4" ht="34" customHeight="1">
      <x:c r="A4" s="21" t="str">
        <x:v>Parameter / 파라미터</x:v>
      </x:c>
      <x:c r="B4" s="22" t="str">
        <x:v>Value / 값</x:v>
      </x:c>
      <x:c r="C4" s="22" t="str">
        <x:v>Unit / 단위</x:v>
      </x:c>
      <x:c r="D4" s="23" t="str">
        <x:v>Code source / 코드 근거</x:v>
      </x:c>
    </x:row>
    <x:row r="5" ht="18" customHeight="1">
      <x:c r="A5" s="13" t="str">
        <x:v>code_min</x:v>
      </x:c>
      <x:c r="B5" s="25" t="n">
        <x:v>108</x:v>
      </x:c>
      <x:c r="C5" s="13" t="str">
        <x:v>code</x:v>
      </x:c>
      <x:c r="D5" s="13" t="str">
        <x:v>LogExposureAxisParams::code_min</x:v>
      </x:c>
    </x:row>
    <x:row r="6" ht="18" customHeight="1">
      <x:c r="A6" s="13" t="str">
        <x:v>code_max</x:v>
      </x:c>
      <x:c r="B6" s="25" t="n">
        <x:v>994</x:v>
      </x:c>
      <x:c r="C6" s="13" t="str">
        <x:v>code</x:v>
      </x:c>
      <x:c r="D6" s="13" t="str">
        <x:v>LogExposureAxisParams::code_max</x:v>
      </x:c>
    </x:row>
    <x:row r="7" ht="18" customHeight="1">
      <x:c r="A7" s="13" t="str">
        <x:v>Q8 스케일</x:v>
      </x:c>
      <x:c r="B7" s="25" t="n">
        <x:v>256</x:v>
      </x:c>
      <x:c r="C7" s="13" t="str">
        <x:v>1.0 = 256</x:v>
      </x:c>
      <x:c r="D7" s="13" t="str">
        <x:v>fx::kOne_q8</x:v>
      </x:c>
    </x:row>
    <x:row r="8" ht="18" customHeight="1">
      <x:c r="A8" s="13" t="str">
        <x:v>Q16 스케일</x:v>
      </x:c>
      <x:c r="B8" s="25" t="n">
        <x:v>65536</x:v>
      </x:c>
      <x:c r="C8" s="13" t="str">
        <x:v>1.0 = 65536</x:v>
      </x:c>
      <x:c r="D8" s="13" t="str">
        <x:v>fx::kOne_q16</x:v>
      </x:c>
    </x:row>
    <x:row r="9" ht="18" customHeight="1">
      <x:c r="A9" s="13" t="str">
        <x:v>최대 nominal 시간</x:v>
      </x:c>
      <x:c r="B9" s="25" t="n">
        <x:v>104000</x:v>
      </x:c>
      <x:c r="C9" s="13" t="str">
        <x:v>us</x:v>
      </x:c>
      <x:c r="D9" s="13" t="str">
        <x:v>5fps 운용 상한</x:v>
      </x:c>
    </x:row>
    <x:row r="10" ht="18" customHeight="1">
      <x:c r="A10" s="13" t="str">
        <x:v>최대 nominal 시간(Q8)</x:v>
      </x:c>
      <x:c r="B10" s="14" t="n">
        <x:f>B9*B7</x:f>
        <x:v>26624000</x:v>
      </x:c>
      <x:c r="C10" s="13" t="str">
        <x:v>Q8 us</x:v>
      </x:c>
      <x:c r="D10" s="13" t="str">
        <x:v>max_nominal_us × Q8</x:v>
      </x:c>
    </x:row>
    <x:row r="11" ht="18" customHeight="1">
      <x:c r="A11" s="13" t="str">
        <x:v>EXPOSURE STEP</x:v>
      </x:c>
      <x:c r="B11" s="25" t="n">
        <x:v>10</x:v>
      </x:c>
      <x:c r="C11" s="13" t="str">
        <x:v>us/register</x:v>
      </x:c>
      <x:c r="D11" s="13" t="str">
        <x:v>ExposureStep::kStep10us</x:v>
      </x:c>
    </x:row>
    <x:row r="12" ht="18" customHeight="1">
      <x:c r="A12" s="13" t="str">
        <x:v>EXPOSURE STEP(Q8)</x:v>
      </x:c>
      <x:c r="B12" s="14" t="n">
        <x:f>B11*B7</x:f>
        <x:v>2560</x:v>
      </x:c>
      <x:c r="C12" s="13" t="str">
        <x:v>Q8 us/register</x:v>
      </x:c>
      <x:c r="D12" s="13" t="str">
        <x:v>step_us × Q8</x:v>
      </x:c>
    </x:row>
    <x:row r="13" ht="18" customHeight="1">
      <x:c r="A13" s="13" t="str">
        <x:v>고정 오버헤드</x:v>
      </x:c>
      <x:c r="B13" s="25" t="n">
        <x:v>33</x:v>
      </x:c>
      <x:c r="C13" s="13" t="str">
        <x:v>us</x:v>
      </x:c>
      <x:c r="D13" s="13" t="str">
        <x:v>kExposureOverhead</x:v>
      </x:c>
    </x:row>
    <x:row r="14" ht="18" customHeight="1">
      <x:c r="A14" s="13" t="str">
        <x:v>고정 오버헤드(Q8)</x:v>
      </x:c>
      <x:c r="B14" s="14" t="n">
        <x:f>B13*B7</x:f>
        <x:v>8448</x:v>
      </x:c>
      <x:c r="C14" s="13" t="str">
        <x:v>Q8 us</x:v>
      </x:c>
      <x:c r="D14" s="13" t="str">
        <x:v>overhead_us × Q8</x:v>
      </x:c>
    </x:row>
    <x:row r="15" ht="18" customHeight="1">
      <x:c r="A15" s="13" t="str">
        <x:v>최대 LUT 가중치</x:v>
      </x:c>
      <x:c r="B15" s="14" t="n">
        <x:f>MAX('LUT 원본'!$C$5:$C$77)</x:f>
        <x:v>4089531</x:v>
      </x:c>
      <x:c r="C15" s="13" t="str">
        <x:v>Q7 raw</x:v>
      </x:c>
      <x:c r="D15" s="13" t="str">
        <x:v>LUT의 max linear_q7</x:v>
      </x:c>
    </x:row>
    <x:row r="18" ht="34" customHeight="1">
      <x:c r="A18" s="31" t="str">
        <x:v>Item / 계산 항목</x:v>
      </x:c>
      <x:c r="B18" s="32" t="str">
        <x:v>Excel formula / 입력 공식</x:v>
      </x:c>
      <x:c r="C18" s="32" t="str">
        <x:v>C++ function / 대응 함수</x:v>
      </x:c>
      <x:c r="D18" s="33" t="str">
        <x:v>Description / 설명</x:v>
      </x:c>
    </x:row>
    <x:row r="19" ht="36" customHeight="1">
      <x:c r="A19" s="34" t="str">
        <x:v>interpolated_q7</x:v>
      </x:c>
      <x:c r="B19" s="34" t="str">
        <x:v>=INT((upper_q7-lower_q7)*(code-lower_code)/(upper_code-lower_code))+lower_q7</x:v>
      </x:c>
      <x:c r="C19" s="34" t="str">
        <x:v>ShutterLUT::interp1d()</x:v>
      </x:c>
      <x:c r="D19" s="34" t="str">
        <x:v>두 LUT 점 사이를 정수 선형보간</x:v>
      </x:c>
    </x:row>
    <x:row r="20" ht="36" customHeight="1">
      <x:c r="A20" s="34" t="str">
        <x:v>nominal_time_Q8</x:v>
      </x:c>
      <x:c r="B20" s="34" t="str">
        <x:v>=INT(interpolated_q7*max_nominal_time_Q8/max_q7)</x:v>
      </x:c>
      <x:c r="C20" s="34" t="str">
        <x:v>weight_to_command_time()</x:v>
      </x:c>
      <x:c r="D20" s="34" t="str">
        <x:v>Q7 가중치를 최대 명령시간에 비례 배분</x:v>
      </x:c>
    </x:row>
    <x:row r="21" ht="36" customHeight="1">
      <x:c r="A21" s="34" t="str">
        <x:v>register</x:v>
      </x:c>
      <x:c r="B21" s="34" t="str">
        <x:v>=MIN(32767,MAX(0,INT((nominal_Q8+step_Q8/2)/step_Q8)))</x:v>
      </x:c>
      <x:c r="C21" s="34" t="str">
        <x:v>command_time_to_register()</x:v>
      </x:c>
      <x:c r="D21" s="34" t="str">
        <x:v>STEP 단위로 가장 가까운 정수 레지스터에 반올림</x:v>
      </x:c>
    </x:row>
    <x:row r="22" ht="36" customHeight="1">
      <x:c r="A22" s="34" t="str">
        <x:v>effective_time_Q8</x:v>
      </x:c>
      <x:c r="B22" s="34" t="str">
        <x:v>=register*step_Q8+overhead_Q8</x:v>
      </x:c>
      <x:c r="C22" s="34" t="str">
        <x:v>register_to_effective_time()</x:v>
      </x:c>
      <x:c r="D22" s="34" t="str">
        <x:v>센서 공식: 레지스터×STEP+33us</x:v>
      </x:c>
    </x:row>
    <x:row r="23" ht="36" customHeight="1">
      <x:c r="A23" s="34" t="str">
        <x:v>step_ratio_Q16</x:v>
      </x:c>
      <x:c r="B23" s="34" t="str">
        <x:v>=INT(ABS(next_nominal_Q8-current_nominal_Q8)*65536/current_nominal_Q8)</x:v>
      </x:c>
      <x:c r="C23" s="34" t="str">
        <x:v>fx::ratio_q16()</x:v>
      </x:c>
      <x:c r="D23" s="34" t="str">
        <x:v>다음 code 한 칸의 nominal 상대 변화율; 마지막 code는 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6" hidden="0" customWidth="1"/>
    <x:col min="4" max="4" width="19" hidden="0" customWidth="1"/>
  </x:cols>
  <x:sheetData>
    <x:row r="2" ht="24" customHeight="1">
      <x:c r="A2" s="1" t="str">
        <x:v>MCAMv4 셔터 LUT 원본</x:v>
      </x:c>
      <x:c r="B2" s="1"/>
      <x:c r="C2" s="1"/>
      <x:c r="D2" s="1"/>
    </x:row>
    <x:row r="3">
      <x:c r="A3" s="3" t="str">
        <x:v>출처</x:v>
      </x:c>
      <x:c r="B3" s="3" t="str">
        <x:v>mcamv4_ae/ae_shutter_table_data.hpp</x:v>
      </x:c>
      <x:c r="C3" s="3" t="str">
        <x:v>항목 수</x:v>
      </x:c>
      <x:c r="D3" s="3" t="n">
        <x:v>73</x:v>
      </x:c>
    </x:row>
    <x:row r="4" ht="34" customHeight="1">
      <x:c r="A4" s="9" t="str">
        <x:v>LUT index</x:v>
      </x:c>
      <x:c r="B4" s="10" t="str">
        <x:v>code</x:v>
      </x:c>
      <x:c r="C4" s="10" t="str">
        <x:v>linear_q7</x:v>
      </x:c>
      <x:c r="D4" s="11" t="str">
        <x:v>설명</x:v>
      </x:c>
    </x:row>
    <x:row r="5" ht="18" customHeight="1">
      <x:c r="A5" s="14" t="n">
        <x:v>0</x:v>
      </x:c>
      <x:c r="B5" s="14" t="n">
        <x:v>0</x:v>
      </x:c>
      <x:c r="C5" s="14" t="n">
        <x:v>0</x:v>
      </x:c>
      <x:c r="D5" s="13" t="str">
        <x:v>최소점</x:v>
      </x:c>
    </x:row>
    <x:row r="6" ht="18" customHeight="1">
      <x:c r="A6" s="14" t="n">
        <x:v>1</x:v>
      </x:c>
      <x:c r="B6" s="14" t="n">
        <x:v>14</x:v>
      </x:c>
      <x:c r="C6" s="14" t="n">
        <x:v>15</x:v>
      </x:c>
      <x:c r="D6" s="13" t="str">
        <x:v>선형보간 기준점</x:v>
      </x:c>
    </x:row>
    <x:row r="7" ht="18" customHeight="1">
      <x:c r="A7" s="14" t="n">
        <x:v>2</x:v>
      </x:c>
      <x:c r="B7" s="14" t="n">
        <x:v>28</x:v>
      </x:c>
      <x:c r="C7" s="14" t="n">
        <x:v>32</x:v>
      </x:c>
      <x:c r="D7" s="13" t="str">
        <x:v>선형보간 기준점</x:v>
      </x:c>
    </x:row>
    <x:row r="8" ht="18" customHeight="1">
      <x:c r="A8" s="14" t="n">
        <x:v>3</x:v>
      </x:c>
      <x:c r="B8" s="14" t="n">
        <x:v>42</x:v>
      </x:c>
      <x:c r="C8" s="14" t="n">
        <x:v>51</x:v>
      </x:c>
      <x:c r="D8" s="13" t="str">
        <x:v>선형보간 기준점</x:v>
      </x:c>
    </x:row>
    <x:row r="9" ht="18" customHeight="1">
      <x:c r="A9" s="14" t="n">
        <x:v>4</x:v>
      </x:c>
      <x:c r="B9" s="14" t="n">
        <x:v>56</x:v>
      </x:c>
      <x:c r="C9" s="14" t="n">
        <x:v>74</x:v>
      </x:c>
      <x:c r="D9" s="13" t="str">
        <x:v>선형보간 기준점</x:v>
      </x:c>
    </x:row>
    <x:row r="10" ht="18" customHeight="1">
      <x:c r="A10" s="14" t="n">
        <x:v>5</x:v>
      </x:c>
      <x:c r="B10" s="14" t="n">
        <x:v>70</x:v>
      </x:c>
      <x:c r="C10" s="14" t="n">
        <x:v>101</x:v>
      </x:c>
      <x:c r="D10" s="13" t="str">
        <x:v>선형보간 기준점</x:v>
      </x:c>
    </x:row>
    <x:row r="11" ht="18" customHeight="1">
      <x:c r="A11" s="14" t="n">
        <x:v>6</x:v>
      </x:c>
      <x:c r="B11" s="14" t="n">
        <x:v>84</x:v>
      </x:c>
      <x:c r="C11" s="14" t="n">
        <x:v>132</x:v>
      </x:c>
      <x:c r="D11" s="13" t="str">
        <x:v>선형보간 기준점</x:v>
      </x:c>
    </x:row>
    <x:row r="12" ht="18" customHeight="1">
      <x:c r="A12" s="14" t="n">
        <x:v>7</x:v>
      </x:c>
      <x:c r="B12" s="14" t="n">
        <x:v>98</x:v>
      </x:c>
      <x:c r="C12" s="14" t="n">
        <x:v>168</x:v>
      </x:c>
      <x:c r="D12" s="13" t="str">
        <x:v>선형보간 기준점</x:v>
      </x:c>
    </x:row>
    <x:row r="13" ht="18" customHeight="1">
      <x:c r="A13" s="14" t="n">
        <x:v>8</x:v>
      </x:c>
      <x:c r="B13" s="14" t="n">
        <x:v>112</x:v>
      </x:c>
      <x:c r="C13" s="14" t="n">
        <x:v>211</x:v>
      </x:c>
      <x:c r="D13" s="13" t="str">
        <x:v>선형보간 기준점</x:v>
      </x:c>
    </x:row>
    <x:row r="14" ht="18" customHeight="1">
      <x:c r="A14" s="14" t="n">
        <x:v>9</x:v>
      </x:c>
      <x:c r="B14" s="14" t="n">
        <x:v>126</x:v>
      </x:c>
      <x:c r="C14" s="14" t="n">
        <x:v>259</x:v>
      </x:c>
      <x:c r="D14" s="13" t="str">
        <x:v>선형보간 기준점</x:v>
      </x:c>
    </x:row>
    <x:row r="15" ht="18" customHeight="1">
      <x:c r="A15" s="14" t="n">
        <x:v>10</x:v>
      </x:c>
      <x:c r="B15" s="14" t="n">
        <x:v>140</x:v>
      </x:c>
      <x:c r="C15" s="14" t="n">
        <x:v>316</x:v>
      </x:c>
      <x:c r="D15" s="13" t="str">
        <x:v>선형보간 기준점</x:v>
      </x:c>
    </x:row>
    <x:row r="16" ht="18" customHeight="1">
      <x:c r="A16" s="14" t="n">
        <x:v>11</x:v>
      </x:c>
      <x:c r="B16" s="14" t="n">
        <x:v>154</x:v>
      </x:c>
      <x:c r="C16" s="14" t="n">
        <x:v>383</x:v>
      </x:c>
      <x:c r="D16" s="13" t="str">
        <x:v>선형보간 기준점</x:v>
      </x:c>
    </x:row>
    <x:row r="17" ht="18" customHeight="1">
      <x:c r="A17" s="14" t="n">
        <x:v>12</x:v>
      </x:c>
      <x:c r="B17" s="14" t="n">
        <x:v>168</x:v>
      </x:c>
      <x:c r="C17" s="14" t="n">
        <x:v>460</x:v>
      </x:c>
      <x:c r="D17" s="13" t="str">
        <x:v>선형보간 기준점</x:v>
      </x:c>
    </x:row>
    <x:row r="18" ht="18" customHeight="1">
      <x:c r="A18" s="14" t="n">
        <x:v>13</x:v>
      </x:c>
      <x:c r="B18" s="14" t="n">
        <x:v>182</x:v>
      </x:c>
      <x:c r="C18" s="14" t="n">
        <x:v>549</x:v>
      </x:c>
      <x:c r="D18" s="13" t="str">
        <x:v>선형보간 기준점</x:v>
      </x:c>
    </x:row>
    <x:row r="19" ht="18" customHeight="1">
      <x:c r="A19" s="14" t="n">
        <x:v>14</x:v>
      </x:c>
      <x:c r="B19" s="14" t="n">
        <x:v>196</x:v>
      </x:c>
      <x:c r="C19" s="14" t="n">
        <x:v>654</x:v>
      </x:c>
      <x:c r="D19" s="13" t="str">
        <x:v>선형보간 기준점</x:v>
      </x:c>
    </x:row>
    <x:row r="20" ht="18" customHeight="1">
      <x:c r="A20" s="14" t="n">
        <x:v>15</x:v>
      </x:c>
      <x:c r="B20" s="14" t="n">
        <x:v>210</x:v>
      </x:c>
      <x:c r="C20" s="14" t="n">
        <x:v>775</x:v>
      </x:c>
      <x:c r="D20" s="13" t="str">
        <x:v>선형보간 기준점</x:v>
      </x:c>
    </x:row>
    <x:row r="21" ht="18" customHeight="1">
      <x:c r="A21" s="14" t="n">
        <x:v>16</x:v>
      </x:c>
      <x:c r="B21" s="14" t="n">
        <x:v>224</x:v>
      </x:c>
      <x:c r="C21" s="14" t="n">
        <x:v>916</x:v>
      </x:c>
      <x:c r="D21" s="13" t="str">
        <x:v>선형보간 기준점</x:v>
      </x:c>
    </x:row>
    <x:row r="22" ht="18" customHeight="1">
      <x:c r="A22" s="14" t="n">
        <x:v>17</x:v>
      </x:c>
      <x:c r="B22" s="14" t="n">
        <x:v>238</x:v>
      </x:c>
      <x:c r="C22" s="14" t="n">
        <x:v>1080</x:v>
      </x:c>
      <x:c r="D22" s="13" t="str">
        <x:v>선형보간 기준점</x:v>
      </x:c>
    </x:row>
    <x:row r="23" ht="18" customHeight="1">
      <x:c r="A23" s="14" t="n">
        <x:v>18</x:v>
      </x:c>
      <x:c r="B23" s="14" t="n">
        <x:v>252</x:v>
      </x:c>
      <x:c r="C23" s="14" t="n">
        <x:v>1270</x:v>
      </x:c>
      <x:c r="D23" s="13" t="str">
        <x:v>선형보간 기준점</x:v>
      </x:c>
    </x:row>
    <x:row r="24" ht="18" customHeight="1">
      <x:c r="A24" s="14" t="n">
        <x:v>19</x:v>
      </x:c>
      <x:c r="B24" s="14" t="n">
        <x:v>266</x:v>
      </x:c>
      <x:c r="C24" s="14" t="n">
        <x:v>1492</x:v>
      </x:c>
      <x:c r="D24" s="13" t="str">
        <x:v>선형보간 기준점</x:v>
      </x:c>
    </x:row>
    <x:row r="25" ht="18" customHeight="1">
      <x:c r="A25" s="14" t="n">
        <x:v>20</x:v>
      </x:c>
      <x:c r="B25" s="14" t="n">
        <x:v>280</x:v>
      </x:c>
      <x:c r="C25" s="14" t="n">
        <x:v>1750</x:v>
      </x:c>
      <x:c r="D25" s="13" t="str">
        <x:v>선형보간 기준점</x:v>
      </x:c>
    </x:row>
    <x:row r="26" ht="18" customHeight="1">
      <x:c r="A26" s="14" t="n">
        <x:v>21</x:v>
      </x:c>
      <x:c r="B26" s="14" t="n">
        <x:v>294</x:v>
      </x:c>
      <x:c r="C26" s="14" t="n">
        <x:v>2050</x:v>
      </x:c>
      <x:c r="D26" s="13" t="str">
        <x:v>선형보간 기준점</x:v>
      </x:c>
    </x:row>
    <x:row r="27" ht="18" customHeight="1">
      <x:c r="A27" s="14" t="n">
        <x:v>22</x:v>
      </x:c>
      <x:c r="B27" s="14" t="n">
        <x:v>308</x:v>
      </x:c>
      <x:c r="C27" s="14" t="n">
        <x:v>2400</x:v>
      </x:c>
      <x:c r="D27" s="13" t="str">
        <x:v>선형보간 기준점</x:v>
      </x:c>
    </x:row>
    <x:row r="28" ht="18" customHeight="1">
      <x:c r="A28" s="14" t="n">
        <x:v>23</x:v>
      </x:c>
      <x:c r="B28" s="14" t="n">
        <x:v>322</x:v>
      </x:c>
      <x:c r="C28" s="14" t="n">
        <x:v>2806</x:v>
      </x:c>
      <x:c r="D28" s="13" t="str">
        <x:v>선형보간 기준점</x:v>
      </x:c>
    </x:row>
    <x:row r="29" ht="18" customHeight="1">
      <x:c r="A29" s="14" t="n">
        <x:v>24</x:v>
      </x:c>
      <x:c r="B29" s="14" t="n">
        <x:v>336</x:v>
      </x:c>
      <x:c r="C29" s="14" t="n">
        <x:v>3278</x:v>
      </x:c>
      <x:c r="D29" s="13" t="str">
        <x:v>선형보간 기준점</x:v>
      </x:c>
    </x:row>
    <x:row r="30" ht="18" customHeight="1">
      <x:c r="A30" s="14" t="n">
        <x:v>25</x:v>
      </x:c>
      <x:c r="B30" s="14" t="n">
        <x:v>350</x:v>
      </x:c>
      <x:c r="C30" s="14" t="n">
        <x:v>3827</x:v>
      </x:c>
      <x:c r="D30" s="13" t="str">
        <x:v>선형보간 기준점</x:v>
      </x:c>
    </x:row>
    <x:row r="31" ht="18" customHeight="1">
      <x:c r="A31" s="14" t="n">
        <x:v>26</x:v>
      </x:c>
      <x:c r="B31" s="14" t="n">
        <x:v>364</x:v>
      </x:c>
      <x:c r="C31" s="14" t="n">
        <x:v>4466</x:v>
      </x:c>
      <x:c r="D31" s="13" t="str">
        <x:v>선형보간 기준점</x:v>
      </x:c>
    </x:row>
    <x:row r="32" ht="18" customHeight="1">
      <x:c r="A32" s="14" t="n">
        <x:v>27</x:v>
      </x:c>
      <x:c r="B32" s="14" t="n">
        <x:v>378</x:v>
      </x:c>
      <x:c r="C32" s="14" t="n">
        <x:v>5209</x:v>
      </x:c>
      <x:c r="D32" s="13" t="str">
        <x:v>선형보간 기준점</x:v>
      </x:c>
    </x:row>
    <x:row r="33" ht="18" customHeight="1">
      <x:c r="A33" s="14" t="n">
        <x:v>28</x:v>
      </x:c>
      <x:c r="B33" s="14" t="n">
        <x:v>392</x:v>
      </x:c>
      <x:c r="C33" s="14" t="n">
        <x:v>6074</x:v>
      </x:c>
      <x:c r="D33" s="13" t="str">
        <x:v>선형보간 기준점</x:v>
      </x:c>
    </x:row>
    <x:row r="34" ht="18" customHeight="1">
      <x:c r="A34" s="14" t="n">
        <x:v>29</x:v>
      </x:c>
      <x:c r="B34" s="14" t="n">
        <x:v>406</x:v>
      </x:c>
      <x:c r="C34" s="14" t="n">
        <x:v>7079</x:v>
      </x:c>
      <x:c r="D34" s="13" t="str">
        <x:v>선형보간 기준점</x:v>
      </x:c>
    </x:row>
    <x:row r="35" ht="18" customHeight="1">
      <x:c r="A35" s="14" t="n">
        <x:v>30</x:v>
      </x:c>
      <x:c r="B35" s="14" t="n">
        <x:v>420</x:v>
      </x:c>
      <x:c r="C35" s="14" t="n">
        <x:v>8248</x:v>
      </x:c>
      <x:c r="D35" s="13" t="str">
        <x:v>선형보간 기준점</x:v>
      </x:c>
    </x:row>
    <x:row r="36" ht="18" customHeight="1">
      <x:c r="A36" s="14" t="n">
        <x:v>31</x:v>
      </x:c>
      <x:c r="B36" s="14" t="n">
        <x:v>434</x:v>
      </x:c>
      <x:c r="C36" s="14" t="n">
        <x:v>9608</x:v>
      </x:c>
      <x:c r="D36" s="13" t="str">
        <x:v>선형보간 기준점</x:v>
      </x:c>
    </x:row>
    <x:row r="37" ht="18" customHeight="1">
      <x:c r="A37" s="14" t="n">
        <x:v>32</x:v>
      </x:c>
      <x:c r="B37" s="14" t="n">
        <x:v>448</x:v>
      </x:c>
      <x:c r="C37" s="14" t="n">
        <x:v>11190</x:v>
      </x:c>
      <x:c r="D37" s="13" t="str">
        <x:v>선형보간 기준점</x:v>
      </x:c>
    </x:row>
    <x:row r="38" ht="18" customHeight="1">
      <x:c r="A38" s="14" t="n">
        <x:v>33</x:v>
      </x:c>
      <x:c r="B38" s="14" t="n">
        <x:v>462</x:v>
      </x:c>
      <x:c r="C38" s="14" t="n">
        <x:v>13030</x:v>
      </x:c>
      <x:c r="D38" s="13" t="str">
        <x:v>선형보간 기준점</x:v>
      </x:c>
    </x:row>
    <x:row r="39" ht="18" customHeight="1">
      <x:c r="A39" s="14" t="n">
        <x:v>34</x:v>
      </x:c>
      <x:c r="B39" s="14" t="n">
        <x:v>476</x:v>
      </x:c>
      <x:c r="C39" s="14" t="n">
        <x:v>15171</x:v>
      </x:c>
      <x:c r="D39" s="13" t="str">
        <x:v>선형보간 기준점</x:v>
      </x:c>
    </x:row>
    <x:row r="40" ht="18" customHeight="1">
      <x:c r="A40" s="14" t="n">
        <x:v>35</x:v>
      </x:c>
      <x:c r="B40" s="14" t="n">
        <x:v>490</x:v>
      </x:c>
      <x:c r="C40" s="14" t="n">
        <x:v>17660</x:v>
      </x:c>
      <x:c r="D40" s="13" t="str">
        <x:v>선형보간 기준점</x:v>
      </x:c>
    </x:row>
    <x:row r="41" ht="18" customHeight="1">
      <x:c r="A41" s="14" t="n">
        <x:v>36</x:v>
      </x:c>
      <x:c r="B41" s="14" t="n">
        <x:v>504</x:v>
      </x:c>
      <x:c r="C41" s="14" t="n">
        <x:v>20555</x:v>
      </x:c>
      <x:c r="D41" s="13" t="str">
        <x:v>선형보간 기준점</x:v>
      </x:c>
    </x:row>
    <x:row r="42" ht="18" customHeight="1">
      <x:c r="A42" s="14" t="n">
        <x:v>37</x:v>
      </x:c>
      <x:c r="B42" s="14" t="n">
        <x:v>518</x:v>
      </x:c>
      <x:c r="C42" s="14" t="n">
        <x:v>23923</x:v>
      </x:c>
      <x:c r="D42" s="13" t="str">
        <x:v>선형보간 기준점</x:v>
      </x:c>
    </x:row>
    <x:row r="43" ht="18" customHeight="1">
      <x:c r="A43" s="14" t="n">
        <x:v>38</x:v>
      </x:c>
      <x:c r="B43" s="14" t="n">
        <x:v>532</x:v>
      </x:c>
      <x:c r="C43" s="14" t="n">
        <x:v>27840</x:v>
      </x:c>
      <x:c r="D43" s="13" t="str">
        <x:v>선형보간 기준점</x:v>
      </x:c>
    </x:row>
    <x:row r="44" ht="18" customHeight="1">
      <x:c r="A44" s="14" t="n">
        <x:v>39</x:v>
      </x:c>
      <x:c r="B44" s="14" t="n">
        <x:v>546</x:v>
      </x:c>
      <x:c r="C44" s="14" t="n">
        <x:v>32395</x:v>
      </x:c>
      <x:c r="D44" s="13" t="str">
        <x:v>선형보간 기준점</x:v>
      </x:c>
    </x:row>
    <x:row r="45" ht="18" customHeight="1">
      <x:c r="A45" s="14" t="n">
        <x:v>40</x:v>
      </x:c>
      <x:c r="B45" s="14" t="n">
        <x:v>560</x:v>
      </x:c>
      <x:c r="C45" s="14" t="n">
        <x:v>37694</x:v>
      </x:c>
      <x:c r="D45" s="13" t="str">
        <x:v>선형보간 기준점</x:v>
      </x:c>
    </x:row>
    <x:row r="46" ht="18" customHeight="1">
      <x:c r="A46" s="14" t="n">
        <x:v>41</x:v>
      </x:c>
      <x:c r="B46" s="14" t="n">
        <x:v>574</x:v>
      </x:c>
      <x:c r="C46" s="14" t="n">
        <x:v>43858</x:v>
      </x:c>
      <x:c r="D46" s="13" t="str">
        <x:v>선형보간 기준점</x:v>
      </x:c>
    </x:row>
    <x:row r="47" ht="18" customHeight="1">
      <x:c r="A47" s="14" t="n">
        <x:v>42</x:v>
      </x:c>
      <x:c r="B47" s="14" t="n">
        <x:v>588</x:v>
      </x:c>
      <x:c r="C47" s="14" t="n">
        <x:v>51027</x:v>
      </x:c>
      <x:c r="D47" s="13" t="str">
        <x:v>선형보간 기준점</x:v>
      </x:c>
    </x:row>
    <x:row r="48" ht="18" customHeight="1">
      <x:c r="A48" s="14" t="n">
        <x:v>43</x:v>
      </x:c>
      <x:c r="B48" s="14" t="n">
        <x:v>602</x:v>
      </x:c>
      <x:c r="C48" s="14" t="n">
        <x:v>59365</x:v>
      </x:c>
      <x:c r="D48" s="13" t="str">
        <x:v>선형보간 기준점</x:v>
      </x:c>
    </x:row>
    <x:row r="49" ht="18" customHeight="1">
      <x:c r="A49" s="14" t="n">
        <x:v>44</x:v>
      </x:c>
      <x:c r="B49" s="14" t="n">
        <x:v>616</x:v>
      </x:c>
      <x:c r="C49" s="14" t="n">
        <x:v>69063</x:v>
      </x:c>
      <x:c r="D49" s="13" t="str">
        <x:v>선형보간 기준점</x:v>
      </x:c>
    </x:row>
    <x:row r="50" ht="18" customHeight="1">
      <x:c r="A50" s="14" t="n">
        <x:v>45</x:v>
      </x:c>
      <x:c r="B50" s="14" t="n">
        <x:v>630</x:v>
      </x:c>
      <x:c r="C50" s="14" t="n">
        <x:v>80343</x:v>
      </x:c>
      <x:c r="D50" s="13" t="str">
        <x:v>선형보간 기준점</x:v>
      </x:c>
    </x:row>
    <x:row r="51" ht="18" customHeight="1">
      <x:c r="A51" s="14" t="n">
        <x:v>46</x:v>
      </x:c>
      <x:c r="B51" s="14" t="n">
        <x:v>644</x:v>
      </x:c>
      <x:c r="C51" s="14" t="n">
        <x:v>93463</x:v>
      </x:c>
      <x:c r="D51" s="13" t="str">
        <x:v>선형보간 기준점</x:v>
      </x:c>
    </x:row>
    <x:row r="52" ht="18" customHeight="1">
      <x:c r="A52" s="14" t="n">
        <x:v>47</x:v>
      </x:c>
      <x:c r="B52" s="14" t="n">
        <x:v>658</x:v>
      </x:c>
      <x:c r="C52" s="14" t="n">
        <x:v>108724</x:v>
      </x:c>
      <x:c r="D52" s="13" t="str">
        <x:v>선형보간 기준점</x:v>
      </x:c>
    </x:row>
    <x:row r="53" ht="18" customHeight="1">
      <x:c r="A53" s="14" t="n">
        <x:v>48</x:v>
      </x:c>
      <x:c r="B53" s="14" t="n">
        <x:v>672</x:v>
      </x:c>
      <x:c r="C53" s="14" t="n">
        <x:v>126474</x:v>
      </x:c>
      <x:c r="D53" s="13" t="str">
        <x:v>선형보간 기준점</x:v>
      </x:c>
    </x:row>
    <x:row r="54" ht="18" customHeight="1">
      <x:c r="A54" s="14" t="n">
        <x:v>49</x:v>
      </x:c>
      <x:c r="B54" s="14" t="n">
        <x:v>686</x:v>
      </x:c>
      <x:c r="C54" s="14" t="n">
        <x:v>147119</x:v>
      </x:c>
      <x:c r="D54" s="13" t="str">
        <x:v>선형보간 기준점</x:v>
      </x:c>
    </x:row>
    <x:row r="55" ht="18" customHeight="1">
      <x:c r="A55" s="14" t="n">
        <x:v>50</x:v>
      </x:c>
      <x:c r="B55" s="14" t="n">
        <x:v>700</x:v>
      </x:c>
      <x:c r="C55" s="14" t="n">
        <x:v>171132</x:v>
      </x:c>
      <x:c r="D55" s="13" t="str">
        <x:v>선형보간 기준점</x:v>
      </x:c>
    </x:row>
    <x:row r="56" ht="18" customHeight="1">
      <x:c r="A56" s="14" t="n">
        <x:v>51</x:v>
      </x:c>
      <x:c r="B56" s="14" t="n">
        <x:v>714</x:v>
      </x:c>
      <x:c r="C56" s="14" t="n">
        <x:v>199062</x:v>
      </x:c>
      <x:c r="D56" s="13" t="str">
        <x:v>선형보간 기준점</x:v>
      </x:c>
    </x:row>
    <x:row r="57" ht="18" customHeight="1">
      <x:c r="A57" s="14" t="n">
        <x:v>52</x:v>
      </x:c>
      <x:c r="B57" s="14" t="n">
        <x:v>721</x:v>
      </x:c>
      <x:c r="C57" s="14" t="n">
        <x:v>215304</x:v>
      </x:c>
      <x:c r="D57" s="13" t="str">
        <x:v>선형보간 기준점</x:v>
      </x:c>
    </x:row>
    <x:row r="58" ht="18" customHeight="1">
      <x:c r="A58" s="14" t="n">
        <x:v>53</x:v>
      </x:c>
      <x:c r="B58" s="14" t="n">
        <x:v>728</x:v>
      </x:c>
      <x:c r="C58" s="14" t="n">
        <x:v>231547</x:v>
      </x:c>
      <x:c r="D58" s="13" t="str">
        <x:v>선형보간 기준점</x:v>
      </x:c>
    </x:row>
    <x:row r="59" ht="18" customHeight="1">
      <x:c r="A59" s="14" t="n">
        <x:v>54</x:v>
      </x:c>
      <x:c r="B59" s="14" t="n">
        <x:v>742</x:v>
      </x:c>
      <x:c r="C59" s="14" t="n">
        <x:v>269332</x:v>
      </x:c>
      <x:c r="D59" s="13" t="str">
        <x:v>선형보간 기준점</x:v>
      </x:c>
    </x:row>
    <x:row r="60" ht="18" customHeight="1">
      <x:c r="A60" s="14" t="n">
        <x:v>55</x:v>
      </x:c>
      <x:c r="B60" s="14" t="n">
        <x:v>756</x:v>
      </x:c>
      <x:c r="C60" s="14" t="n">
        <x:v>313281</x:v>
      </x:c>
      <x:c r="D60" s="13" t="str">
        <x:v>선형보간 기준점</x:v>
      </x:c>
    </x:row>
    <x:row r="61" ht="18" customHeight="1">
      <x:c r="A61" s="14" t="n">
        <x:v>56</x:v>
      </x:c>
      <x:c r="B61" s="14" t="n">
        <x:v>770</x:v>
      </x:c>
      <x:c r="C61" s="14" t="n">
        <x:v>364398</x:v>
      </x:c>
      <x:c r="D61" s="13" t="str">
        <x:v>선형보간 기준점</x:v>
      </x:c>
    </x:row>
    <x:row r="62" ht="18" customHeight="1">
      <x:c r="A62" s="14" t="n">
        <x:v>57</x:v>
      </x:c>
      <x:c r="B62" s="14" t="n">
        <x:v>784</x:v>
      </x:c>
      <x:c r="C62" s="14" t="n">
        <x:v>423854</x:v>
      </x:c>
      <x:c r="D62" s="13" t="str">
        <x:v>선형보간 기준점</x:v>
      </x:c>
    </x:row>
    <x:row r="63" ht="18" customHeight="1">
      <x:c r="A63" s="14" t="n">
        <x:v>58</x:v>
      </x:c>
      <x:c r="B63" s="14" t="n">
        <x:v>798</x:v>
      </x:c>
      <x:c r="C63" s="14" t="n">
        <x:v>493008</x:v>
      </x:c>
      <x:c r="D63" s="13" t="str">
        <x:v>선형보간 기준점</x:v>
      </x:c>
    </x:row>
    <x:row r="64" ht="18" customHeight="1">
      <x:c r="A64" s="14" t="n">
        <x:v>59</x:v>
      </x:c>
      <x:c r="B64" s="14" t="n">
        <x:v>812</x:v>
      </x:c>
      <x:c r="C64" s="14" t="n">
        <x:v>573443</x:v>
      </x:c>
      <x:c r="D64" s="13" t="str">
        <x:v>선형보간 기준점</x:v>
      </x:c>
    </x:row>
    <x:row r="65" ht="18" customHeight="1">
      <x:c r="A65" s="14" t="n">
        <x:v>60</x:v>
      </x:c>
      <x:c r="B65" s="14" t="n">
        <x:v>826</x:v>
      </x:c>
      <x:c r="C65" s="14" t="n">
        <x:v>666998</x:v>
      </x:c>
      <x:c r="D65" s="13" t="str">
        <x:v>선형보간 기준점</x:v>
      </x:c>
    </x:row>
    <x:row r="66" ht="18" customHeight="1">
      <x:c r="A66" s="14" t="n">
        <x:v>61</x:v>
      </x:c>
      <x:c r="B66" s="14" t="n">
        <x:v>840</x:v>
      </x:c>
      <x:c r="C66" s="14" t="n">
        <x:v>775814</x:v>
      </x:c>
      <x:c r="D66" s="13" t="str">
        <x:v>선형보간 기준점</x:v>
      </x:c>
    </x:row>
    <x:row r="67" ht="18" customHeight="1">
      <x:c r="A67" s="14" t="n">
        <x:v>62</x:v>
      </x:c>
      <x:c r="B67" s="14" t="n">
        <x:v>854</x:v>
      </x:c>
      <x:c r="C67" s="14" t="n">
        <x:v>902381</x:v>
      </x:c>
      <x:c r="D67" s="13" t="str">
        <x:v>선형보간 기준점</x:v>
      </x:c>
    </x:row>
    <x:row r="68" ht="18" customHeight="1">
      <x:c r="A68" s="14" t="n">
        <x:v>63</x:v>
      </x:c>
      <x:c r="B68" s="14" t="n">
        <x:v>868</x:v>
      </x:c>
      <x:c r="C68" s="14" t="n">
        <x:v>1049593</x:v>
      </x:c>
      <x:c r="D68" s="13" t="str">
        <x:v>선형보간 기준점</x:v>
      </x:c>
    </x:row>
    <x:row r="69" ht="18" customHeight="1">
      <x:c r="A69" s="14" t="n">
        <x:v>64</x:v>
      </x:c>
      <x:c r="B69" s="14" t="n">
        <x:v>882</x:v>
      </x:c>
      <x:c r="C69" s="14" t="n">
        <x:v>1220819</x:v>
      </x:c>
      <x:c r="D69" s="13" t="str">
        <x:v>선형보간 기준점</x:v>
      </x:c>
    </x:row>
    <x:row r="70" ht="18" customHeight="1">
      <x:c r="A70" s="14" t="n">
        <x:v>65</x:v>
      </x:c>
      <x:c r="B70" s="14" t="n">
        <x:v>896</x:v>
      </x:c>
      <x:c r="C70" s="14" t="n">
        <x:v>1419975</x:v>
      </x:c>
      <x:c r="D70" s="13" t="str">
        <x:v>선형보간 기준점</x:v>
      </x:c>
    </x:row>
    <x:row r="71" ht="18" customHeight="1">
      <x:c r="A71" s="14" t="n">
        <x:v>66</x:v>
      </x:c>
      <x:c r="B71" s="14" t="n">
        <x:v>910</x:v>
      </x:c>
      <x:c r="C71" s="14" t="n">
        <x:v>1651617</x:v>
      </x:c>
      <x:c r="D71" s="13" t="str">
        <x:v>선형보간 기준점</x:v>
      </x:c>
    </x:row>
    <x:row r="72" ht="18" customHeight="1">
      <x:c r="A72" s="14" t="n">
        <x:v>67</x:v>
      </x:c>
      <x:c r="B72" s="14" t="n">
        <x:v>924</x:v>
      </x:c>
      <x:c r="C72" s="14" t="n">
        <x:v>1921046</x:v>
      </x:c>
      <x:c r="D72" s="13" t="str">
        <x:v>선형보간 기준점</x:v>
      </x:c>
    </x:row>
    <x:row r="73" ht="18" customHeight="1">
      <x:c r="A73" s="14" t="n">
        <x:v>68</x:v>
      </x:c>
      <x:c r="B73" s="14" t="n">
        <x:v>938</x:v>
      </x:c>
      <x:c r="C73" s="14" t="n">
        <x:v>2234424</x:v>
      </x:c>
      <x:c r="D73" s="13" t="str">
        <x:v>선형보간 기준점</x:v>
      </x:c>
    </x:row>
    <x:row r="74" ht="18" customHeight="1">
      <x:c r="A74" s="14" t="n">
        <x:v>69</x:v>
      </x:c>
      <x:c r="B74" s="14" t="n">
        <x:v>952</x:v>
      </x:c>
      <x:c r="C74" s="14" t="n">
        <x:v>2598921</x:v>
      </x:c>
      <x:c r="D74" s="13" t="str">
        <x:v>선형보간 기준점</x:v>
      </x:c>
    </x:row>
    <x:row r="75" ht="18" customHeight="1">
      <x:c r="A75" s="14" t="n">
        <x:v>70</x:v>
      </x:c>
      <x:c r="B75" s="14" t="n">
        <x:v>966</x:v>
      </x:c>
      <x:c r="C75" s="14" t="n">
        <x:v>3022875</x:v>
      </x:c>
      <x:c r="D75" s="13" t="str">
        <x:v>선형보간 기준점</x:v>
      </x:c>
    </x:row>
    <x:row r="76" ht="18" customHeight="1">
      <x:c r="A76" s="14" t="n">
        <x:v>71</x:v>
      </x:c>
      <x:c r="B76" s="14" t="n">
        <x:v>980</x:v>
      </x:c>
      <x:c r="C76" s="14" t="n">
        <x:v>3515984</x:v>
      </x:c>
      <x:c r="D76" s="13" t="str">
        <x:v>선형보간 기준점</x:v>
      </x:c>
    </x:row>
    <x:row r="77" ht="18" customHeight="1">
      <x:c r="A77" s="14" t="n">
        <x:v>72</x:v>
      </x:c>
      <x:c r="B77" s="14" t="n">
        <x:v>994</x:v>
      </x:c>
      <x:c r="C77" s="14" t="n">
        <x:v>4089531</x:v>
      </x:c>
      <x:c r="D77" s="13" t="str">
        <x:v>최대점</x:v>
      </x:c>
    </x:row>
  </x:sheetData>
  <x:pageMargins left="0.7" right="0.7" top="0.75" bottom="0.75" header="0.3" footer="0.3"/>
</x:worksheet>
</file>